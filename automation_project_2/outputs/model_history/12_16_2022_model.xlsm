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showPivotChartFilter="1" autoCompressPictures="0"/>
  <mc:AlternateContent xmlns:mc="http://schemas.openxmlformats.org/markup-compatibility/2006">
    <mc:Choice Requires="x15">
      <x15ac:absPath xmlns:x15ac="http://schemas.microsoft.com/office/spreadsheetml/2010/11/ac" url="C:\Users\bjcas\Documents\GitHub\public_scripts\automation_project_2\inputs\"/>
    </mc:Choice>
  </mc:AlternateContent>
  <xr:revisionPtr revIDLastSave="0" documentId="13_ncr:1_{E6175D7E-7853-4F91-B961-772241C630FA}" xr6:coauthVersionLast="47" xr6:coauthVersionMax="47" xr10:uidLastSave="{00000000-0000-0000-0000-000000000000}"/>
  <bookViews>
    <workbookView xWindow="29925" yWindow="1125" windowWidth="21600" windowHeight="11385" tabRatio="837" firstSheet="1" activeTab="1" xr2:uid="{00000000-000D-0000-FFFF-FFFF00000000}"/>
  </bookViews>
  <sheets>
    <sheet name="__snloffice" sheetId="182" state="veryHidden" r:id="rId1"/>
    <sheet name="ICE Curves" sheetId="174" r:id="rId2"/>
    <sheet name="Inputs" sheetId="200" r:id="rId3"/>
    <sheet name="11vs10" sheetId="37" state="hidden" r:id="rId4"/>
  </sheets>
  <functionGroups builtInGroupCount="19"/>
  <externalReferences>
    <externalReference r:id="rId5"/>
    <externalReference r:id="rId6"/>
    <externalReference r:id="rId7"/>
    <externalReference r:id="rId8"/>
  </externalReferences>
  <definedNames>
    <definedName name="___www1" hidden="1">{#N/A,#N/A,FALSE,"schA"}</definedName>
    <definedName name="__123Graph_X" hidden="1">[1]Cases!#REF!</definedName>
    <definedName name="__www1" hidden="1">{#N/A,#N/A,FALSE,"schA"}</definedName>
    <definedName name="_bdm.0FF451F33C0C4524BB70A0E59AD54DF8.edm" hidden="1">#REF!</definedName>
    <definedName name="_bdm.4F16EFC0C24445FC83917996AF426619.edm" hidden="1">[2]EBITDA.Charts!$1:$1048576</definedName>
    <definedName name="_bdm.56A563213F5C4030A6C0F885531909A7.edm" hidden="1">#REF!</definedName>
    <definedName name="_bdm.731F11687BF94FC0B87C3356352AEA93.edm" hidden="1">#REF!</definedName>
    <definedName name="_bdm.81E13A082D3245FBAEBFBE7886A94D90.edm" hidden="1">#REF!</definedName>
    <definedName name="_bdm.AAC9A20AAF6642B594A0E1BE7739E85A.edm" hidden="1">#REF!</definedName>
    <definedName name="_bdm.AB3553C11FEF4551B93592BED02B300A.edm" hidden="1">#REF!</definedName>
    <definedName name="_bdm.B844691EBA0D434198F90001F0A0958F.edm" hidden="1">#REF!</definedName>
    <definedName name="_bdm.D7E0D8EBAF284539A467C150C4A23A2A.edm" hidden="1">#REF!</definedName>
    <definedName name="_bdm.E3A829B3D22540349B2398BF75AF1490.edm" hidden="1">#REF!</definedName>
    <definedName name="_Key1" hidden="1">#REF!</definedName>
    <definedName name="_Order1" hidden="1">255</definedName>
    <definedName name="_Order2" hidden="1">0</definedName>
    <definedName name="_Sort" hidden="1">#REF!</definedName>
    <definedName name="_Table1_In1" hidden="1">#REF!</definedName>
    <definedName name="_Table1_Out" hidden="1">#REF!</definedName>
    <definedName name="_Table2_In2" hidden="1">#REF!</definedName>
    <definedName name="_Table2_Out" hidden="1">#REF!</definedName>
    <definedName name="_www1" hidden="1">{#N/A,#N/A,FALSE,"schA"}</definedName>
    <definedName name="a" hidden="1">{"Summary sheet",#N/A,TRUE,"Output pres";"Proforma 1 and 2",#N/A,TRUE,"Ratios";"Proforma 3,4 and 5",#N/A,TRUE,"FS";"Proforma 8,9 and 10",#N/A,TRUE,"Calcs"}</definedName>
    <definedName name="aaaaa" hidden="1">{"Summary sheet",#N/A,TRUE,"Output pres";"Proforma 1 and 2",#N/A,TRUE,"Ratios";"Proforma 3,4 and 5",#N/A,TRUE,"FS";"Proforma 8,9 and 10",#N/A,TRUE,"Calcs"}</definedName>
    <definedName name="aaaaaa" hidden="1">IF(COUNTA(#REF!)=0,0,INDEX(#REF!,MATCH(ROW(#REF!),#REF!,TRUE)))+1</definedName>
    <definedName name="aaaas" hidden="1">IF(COUNTA(#REF!)=0,0,INDEX(#REF!,MATCH(ROW(#REF!),#REF!,TRUE)))+1</definedName>
    <definedName name="AASSS" hidden="1">IF(COUNTA(#REF!)=0,0,INDEX(#REF!,MATCH(ROW(#REF!),#REF!,TRUE)))+1</definedName>
    <definedName name="anscount" hidden="1">2</definedName>
    <definedName name="AS2DocOpenMode" hidden="1">"AS2DocumentEdit"</definedName>
    <definedName name="AuraStyleDefaultsReset" hidden="1">#N/A</definedName>
    <definedName name="bbacc" hidden="1">{#N/A,#N/A,FALSE,"Template"}</definedName>
    <definedName name="CBWorkbookPriority" hidden="1">-2082472701</definedName>
    <definedName name="CIQWBGuid" hidden="1">"2f8cc142-3398-4c48-be56-7717db84fe33"</definedName>
    <definedName name="d" hidden="1">[3]Inputs!#REF!</definedName>
    <definedName name="Date" hidden="1">[4]Assumptions!$B$5</definedName>
    <definedName name="dd" hidden="1">{#N/A,#N/A,FALSE,"COMPLETE";#N/A,#N/A,FALSE,"WARRANTY";#N/A,#N/A,FALSE,"HOUSTON"}</definedName>
    <definedName name="dddddddd" hidden="1">{"Income Statement",#N/A,FALSE,"CFMODEL";"Balance Sheet",#N/A,FALSE,"CFMODEL"}</definedName>
    <definedName name="g" hidden="1">{"SourcesUses",#N/A,TRUE,#N/A;"TransOverview",#N/A,TRUE,"CFMODEL"}</definedName>
    <definedName name="gggg" hidden="1">{"SourcesUses",#N/A,TRUE,#N/A;"TransOverview",#N/A,TRUE,"CFMODEL"}</definedName>
    <definedName name="Header" hidden="1">IF(COUNTA(#REF!)=0,0,INDEX(#REF!,MATCH(ROW(#REF!),#REF!,TRUE)))+1</definedName>
    <definedName name="Header1" hidden="1">IF(COUNTA(#REF!)=0,0,INDEX(#REF!,MATCH(ROW(#REF!),#REF!,TRUE)))+1</definedName>
    <definedName name="Header2" hidden="1">[0]!Header1-1 &amp; "." &amp; MAX(1,COUNTA(INDEX(#REF!,MATCH([0]!Header1-1,#REF!,FALSE)):#REF!))</definedName>
    <definedName name="Header77" hidden="1">IF(COUNTA(#REF!)=0,0,INDEX(#REF!,MATCH(ROW(#REF!),#REF!,TRUE)))+1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41745.9222800926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ane" hidden="1">{#N/A,#N/A,FALSE,"Expenditures";#N/A,#N/A,FALSE,"Property Placed In-Service";#N/A,#N/A,FALSE,"Removals";#N/A,#N/A,FALSE,"Retirements";#N/A,#N/A,FALSE,"CWIP Balances";#N/A,#N/A,FALSE,"CWIP_Expend_Ratios";#N/A,#N/A,FALSE,"CWIP_Yr_End"}</definedName>
    <definedName name="mb_inputLocation" hidden="1">[3]Inputs!#REF!</definedName>
    <definedName name="Miller" hidden="1">{#N/A,#N/A,FALSE,"Expenditures";#N/A,#N/A,FALSE,"Property Placed In-Service";#N/A,#N/A,FALSE,"CWIP Balances"}</definedName>
    <definedName name="NewHeader1" hidden="1">IF(COUNTA(#REF!)=0,0,INDEX(#REF!,MATCH(ROW(#REF!),#REF!,TRUE)))+1</definedName>
    <definedName name="plantwrn2000._.Basic." hidden="1">{"2000 Basic",#N/A,FALSE,"Accrual Summary";"2000 Basic",#N/A,FALSE,"Accrual-Detail";"2000 Basic",#N/A,FALSE,"Production";"2000 Basic",#N/A,FALSE,"Support1";"2000 Basic",#N/A,FALSE,"Support2";"2000 Basic",#N/A,FALSE,"Cash Summary";"2000 Basic",#N/A,FALSE,"Cash-Detail";"2000 Basic",#N/A,FALSE,"Analysis";"2000 Basic",#N/A,FALSE,"VarExp";"2000 Basic",#N/A,FALSE,"O&amp;M2%Analysis";"2000 Basic",#N/A,FALSE,"Assumptions&amp;Notes";"2000 Basic",#N/A,FALSE,"Title"}</definedName>
    <definedName name="prints" hidden="1">{#N/A,#N/A,FALSE,"Template"}</definedName>
    <definedName name="qqq" hidden="1">{#N/A,#N/A,FALSE,"schA"}</definedName>
    <definedName name="reference3" hidden="1">{"SourcesUses",#N/A,TRUE,"CFMODEL";"TransOverview",#N/A,TRUE,"CFMODEL"}</definedName>
    <definedName name="rrrrrr" hidden="1">{"SourcesUses",#N/A,TRUE,"FundsFlow";"TransOverview",#N/A,TRUE,"FundsFlow"}</definedName>
    <definedName name="SAPBEXrevision" hidden="1">1</definedName>
    <definedName name="SAPBEXsysID" hidden="1">"BPR"</definedName>
    <definedName name="SAPBEXwbID" hidden="1">"3L52B3SQMCHPEWS7F56TVFWW6"</definedName>
    <definedName name="sencount" hidden="1">1</definedName>
    <definedName name="sssss" hidden="1">IF(COUNTA(#REF!)=0,0,INDEX(#REF!,MATCH(ROW(#REF!),#REF!,TRUE)))+1</definedName>
    <definedName name="TBA" hidden="1">{#N/A,#N/A,FALSE,"Template"}</definedName>
    <definedName name="test" hidden="1">{#N/A,#N/A,TRUE,"Initial";#N/A,#N/A,TRUE,"Graphs"}</definedName>
    <definedName name="TextRefCopyRangeCount" hidden="1">12</definedName>
    <definedName name="ttt" hidden="1">{"2001 Basic",#N/A,FALSE,"Accrual Summary";"2001 Basic",#N/A,FALSE,"Accrual-Detail";"2001 Basic",#N/A,FALSE,"Production";"2001 Basic",#N/A,FALSE,"Support1";"2001 Basic",#N/A,FALSE,"Support2";"2001 Basic",#N/A,FALSE,"Cash Summary";"2001 Basic",#N/A,FALSE,"Cash-Detail";"2001 Basic",#N/A,FALSE,"Title"}</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w" hidden="1">{"SourcesUses",#N/A,TRUE,"CFMODEL";"TransOverview",#N/A,TRUE,"CFMODEL"}</definedName>
    <definedName name="wrn.2000._.Basic." hidden="1">{"2000 Basic",#N/A,FALSE,"Accrual Summary";"2000 Basic",#N/A,FALSE,"Accrual-Detail";"2000 Basic",#N/A,FALSE,"Production";"2000 Basic",#N/A,FALSE,"Support1";"2000 Basic",#N/A,FALSE,"Support2";"2000 Basic",#N/A,FALSE,"Cash Summary";"2000 Basic",#N/A,FALSE,"Cash-Detail";"2000 Basic",#N/A,FALSE,"Analysis";"2000 Basic",#N/A,FALSE,"VarExp";"2000 Basic",#N/A,FALSE,"O&amp;M2%Analysis";"2000 Basic",#N/A,FALSE,"Assumptions&amp;Notes";"2000 Basic",#N/A,FALSE,"Title"}</definedName>
    <definedName name="wrn.2001._.Basic." hidden="1">{"2001 Basic",#N/A,FALSE,"Accrual Summary";"2001 Basic",#N/A,FALSE,"Accrual-Detail";"2001 Basic",#N/A,FALSE,"Production";"2001 Basic",#N/A,FALSE,"Support1";"2001 Basic",#N/A,FALSE,"Support2";"2001 Basic",#N/A,FALSE,"Cash Summary";"2001 Basic",#N/A,FALSE,"Cash-Detail";"2001 Basic",#N/A,FALSE,"Title"}</definedName>
    <definedName name="wrn.2002._.Basic." hidden="1">{"2002 Basic",#N/A,FALSE,"Accrual Summary";"2002 Basic",#N/A,FALSE,"Accrual-Detail";"2002 Basic",#N/A,FALSE,"Production";"2002 Basic",#N/A,FALSE,"Support1";"2002 Basic",#N/A,FALSE,"Support2";"2002 Basic",#N/A,FALSE,"Cash Summary";"2002 Basic",#N/A,FALSE,"Cash-Detail";"2002 Basic",#N/A,FALSE,"Title"}</definedName>
    <definedName name="wrn.2003._.Basic." hidden="1">{"2003 Basic",#N/A,FALSE,"Accrual Summary";"2003 Basic",#N/A,FALSE,"Accrual-Detail";"2003 Basic",#N/A,FALSE,"Production";"2003 Basic",#N/A,FALSE,"Support1";"2003 Basic",#N/A,FALSE,"Support2";"2003 Basic",#N/A,FALSE,"Cash Summary";"2003 Basic",#N/A,FALSE,"Cash-Detail";"2003 Basic",#N/A,FALSE,"Debt Covenants";"2003 Basic",#N/A,FALSE,"Title"}</definedName>
    <definedName name="wrn.2004._.Basic." hidden="1">{"2004 Basic",#N/A,FALSE,"Accrual Summary";"2004 Basic",#N/A,FALSE,"Accrual-Detail";"2004 Basic",#N/A,FALSE,"Production";"2004 Basic",#N/A,FALSE,"Support1";"2004 Basic",#N/A,FALSE,"Support2";"2004 Basic",#N/A,FALSE,"Cash Summary";"2004 Basic",#N/A,FALSE,"Cash-Detail";"2004 Basic",#N/A,FALSE,"Title"}</definedName>
    <definedName name="wrn.5YP._.report." hidden="1">{"Summary CAPEX",#N/A,FALSE,"CAPEX by year";"Summary CAPEX (detail years)",#N/A,FALSE,"CAPEX by year";"Summary OPEX (Excl FTE)",#N/A,FALSE,"Opex by year";"Summary OPEX (Incl FTE)",#N/A,FALSE,"Opex by year"}</definedName>
    <definedName name="wrn.Admin." hidden="1">{#N/A,#N/A,FALSE,"Exp Detail";#N/A,#N/A,FALSE,"Headcount";#N/A,#N/A,FALSE,"Travel";#N/A,#N/A,FALSE,"Summary";#N/A,#N/A,FALSE,"Cap Ex"}</definedName>
    <definedName name="wrn.All._.Views." hidden="1">{"Core Business",#N/A,FALSE,"FY97 Budget";"Core Business Ad Hoc",#N/A,FALSE,"FY97 Budget";"Disney Channels",#N/A,FALSE,"FY97 Budget"}</definedName>
    <definedName name="wrn.Bcast._.P8." hidden="1">{"P8Actuals",#N/A,FALSE,"SAP Report";"Fcast completion",#N/A,FALSE,"SAP Report";"F'cast",#N/A,FALSE,"SAP Report";"Budget",#N/A,FALSE,"SAP Report";"F'cast Var",#N/A,FALSE,"SAP Report";"Budget Var",#N/A,FALSE,"SAP Report"}</definedName>
    <definedName name="wrn.BE577." hidden="1">{"Page1",#N/A,FALSE,"BE-577 Form";"Page2",#N/A,FALSE,"BE-577 Form";"Page3",#N/A,FALSE,"BE-577 Form";"Page4",#N/A,FALSE,"BE-577 Form"}</definedName>
    <definedName name="wrn.BUDGET." hidden="1">{#N/A,#N/A,FALSE,"COMPLETE";#N/A,#N/A,FALSE,"WARRANTY";#N/A,#N/A,FALSE,"HOUSTON"}</definedName>
    <definedName name="wrn.CAPEX._.REPORT." hidden="1">{"CAPEX SUMMARY",#N/A,FALSE,"CAPEX";"CAPEX DETAIL",#N/A,FALSE,"CAPEX"}</definedName>
    <definedName name="wrn.COST." hidden="1">{#N/A,#N/A,FALSE,"T COST";#N/A,#N/A,FALSE,"COST_FH"}</definedName>
    <definedName name="wrn.ECR." hidden="1">{#N/A,#N/A,FALSE,"schA"}</definedName>
    <definedName name="wrn.Income._.Statement." hidden="1">{"VIEW1",#N/A,FALSE,"IS";"VIEW2",#N/A,FALSE,"IS";"VIEW3",#N/A,FALSE,"IS";"VIEW4",#N/A,FALSE,"IS";"VIEW5",#N/A,FALSE,"IS";"VIEW6",#N/A,FALSE,"IS";"VIEW7",#N/A,FALSE,"IS";"VIEW8",#N/A,FALSE,"IS";"VIEW9",#N/A,FALSE,"IS";"VIEW10",#N/A,FALSE,"IS";"VIEW11",#N/A,FALSE,"IS";"VIEW12",#N/A,FALSE,"IS";"VIEW13",#N/A,FALSE,"IS"}</definedName>
    <definedName name="wrn.MoD._.Summary." hidden="1">{"Summary sheet",#N/A,TRUE,"Output pres";"Proforma 1 and 2",#N/A,TRUE,"Ratios";"Proforma 3,4 and 5",#N/A,TRUE,"FS";"Proforma 8,9 and 10",#N/A,TRUE,"Calcs"}</definedName>
    <definedName name="wrn.Mod._.summary2." hidden="1">{"Summary sheet",#N/A,TRUE,"Output pres";"Proforma 1 and 2",#N/A,TRUE,"Ratios";"Proforma 3,4 and 5",#N/A,TRUE,"FS";"Proforma 8,9 and 10",#N/A,TRUE,"Calcs"}</definedName>
    <definedName name="wrn.Nov._.Fcst._.review." hidden="1">{"Budget and Prior Year Var",#N/A,FALSE,"EIG";"Nov Fcst",#N/A,FALSE,"EIG Nov Fcst"}</definedName>
    <definedName name="wrn.PRINT_EVERYTHING." hidden="1">{#N/A,#N/A,FALSE,"GRAND-TOTAL";#N/A,#N/A,FALSE,"By Category &amp; Country";#N/A,#N/A,FALSE,"FRANCE";#N/A,#N/A,FALSE,"ITALY";#N/A,#N/A,FALSE,"SPAIN";#N/A,#N/A,FALSE,"GERMANY";#N/A,#N/A,FALSE,"UK";#N/A,#N/A,FALSE,"Indirect";#N/A,#N/A,FALSE,"1st Submission - By Category";#N/A,#N/A,FALSE,"1st Submission - By Country";#N/A,#N/A,FALSE,"Diff to 1st Sub - By Category";#N/A,#N/A,FALSE,"Diff to 1st Sub - By Country"}</definedName>
    <definedName name="wrn.print1." hidden="1">{"assumption1",#N/A,FALSE,"Assumptions";"assumption2",#N/A,FALSE,"Assumptions";"assumption3",#N/A,FALSE,"Assumptions";"prod",#N/A,FALSE,"Financials";"prod2",#N/A,FALSE,"Financials";"pnl",#N/A,FALSE,"Financials";"pnl2",#N/A,FALSE,"Financials";"cash",#N/A,FALSE,"Financials";"cash2",#N/A,FALSE,"Financials"}</definedName>
    <definedName name="wrn.REFURBISHMENT._.COSTS." hidden="1">{#N/A,#N/A,FALSE,"COMPLETE";#N/A,#N/A,FALSE,"WARRANTY";#N/A,#N/A,FALSE,"HOUSTON";#N/A,#N/A,FALSE,"CAPITAL";#N/A,#N/A,FALSE,"PROJECTIONS"}</definedName>
    <definedName name="wrn.Summ_Assum_Graphs." hidden="1">{#N/A,#N/A,TRUE,"Initial";#N/A,#N/A,TRUE,"Graphs"}</definedName>
    <definedName name="wrn.Summary._.Basic." hidden="1">{"Summary Basic",#N/A,FALSE,"Accrual Summary";"Summary Basic",#N/A,FALSE,"Accrual-Detail";"Summary Basic",#N/A,FALSE,"Cash Summary";"Summary Basic",#N/A,FALSE,"Cash-Detail"}</definedName>
    <definedName name="wrn.test1." hidden="1">{"Income Statement",#N/A,FALSE,"CFMODEL";"Balance Sheet",#N/A,FALSE,"CFMODEL"}</definedName>
    <definedName name="wrn.test2." hidden="1">{"SourcesUses",#N/A,TRUE,"CFMODEL";"TransOverview",#N/A,TRUE,"CFMODEL"}</definedName>
    <definedName name="wrn.test3." hidden="1">{"SourcesUses",#N/A,TRUE,#N/A;"TransOverview",#N/A,TRUE,"CFMODEL"}</definedName>
    <definedName name="wrn.test4." hidden="1">{"SourcesUses",#N/A,TRUE,"FundsFlow";"TransOverview",#N/A,TRUE,"FundsFlow"}</definedName>
    <definedName name="wrn.USIM_Data." hidden="1">{#N/A,#N/A,FALSE,"Expenditures";#N/A,#N/A,FALSE,"Property Placed In-Service";#N/A,#N/A,FALSE,"Removals";#N/A,#N/A,FALSE,"Retirements";#N/A,#N/A,FALSE,"CWIP Balances";#N/A,#N/A,FALSE,"CWIP_Expend_Ratios";#N/A,#N/A,FALSE,"CWIP_Yr_End";#N/A,#N/A,FALSE,"Nuc_Fuel";#N/A,#N/A,FALSE,"New_Gen";#N/A,#N/A,FALSE,"New_Trans";#N/A,#N/A,FALSE,"DSM";#N/A,#N/A,FALSE,"Factors"}</definedName>
    <definedName name="wrn.USIM_Data_Abbrev." hidden="1">{#N/A,#N/A,FALSE,"Expenditures";#N/A,#N/A,FALSE,"Property Placed In-Service";#N/A,#N/A,FALSE,"Removals";#N/A,#N/A,FALSE,"Retirements";#N/A,#N/A,FALSE,"CWIP Balances";#N/A,#N/A,FALSE,"CWIP_Expend_Ratios";#N/A,#N/A,FALSE,"CWIP_Yr_End"}</definedName>
    <definedName name="wrn.USIM_Data_Abbrev3." hidden="1">{#N/A,#N/A,FALSE,"Expenditures";#N/A,#N/A,FALSE,"Property Placed In-Service";#N/A,#N/A,FALSE,"CWIP Balances"}</definedName>
    <definedName name="wrn.WholeModel." hidden="1">{#N/A,#N/A,TRUE,"Initial";#N/A,#N/A,TRUE,"CFs_P&amp;L_B&amp;S";#N/A,#N/A,TRUE,"Inv&amp;Fin";#N/A,#N/A,TRUE,"Depreciation";#N/A,#N/A,TRUE,"Energy";#N/A,#N/A,TRUE,"Index";#N/A,#N/A,TRUE,"Graphs";#N/A,#N/A,TRUE,"T_Contest"}</definedName>
    <definedName name="www" hidden="1">{#N/A,#N/A,FALSE,"schA"}</definedName>
    <definedName name="wwww" hidden="1">{#N/A,#N/A,FALSE,"schA"}</definedName>
    <definedName name="xxx.detail" hidden="1">{"detail305",#N/A,FALSE,"BI-305"}</definedName>
    <definedName name="xxx.directory" hidden="1">{"summary",#N/A,FALSE,"PCR DIRECTORY"}</definedName>
    <definedName name="Z_3F84D7F5_9C87_11D5_BA56_00508BDABC29_.wvu.Cols" hidden="1">#REF!</definedName>
    <definedName name="Z_3F84D7F5_9C87_11D5_BA56_00508BDABC29_.wvu.PrintArea" hidden="1">#REF!</definedName>
    <definedName name="Z_3F84D7F5_9C87_11D5_BA56_00508BDABC29_.wvu.PrintTitles" hidden="1">#REF!</definedName>
    <definedName name="zzz" hidden="1">IF(COUNTA(#REF!)=0,0,INDEX(#REF!,MATCH(ROW(#REF!),#REF!,TRUE)))+1</definedName>
    <definedName name="zzzz" hidden="1">{"Summary sheet",#N/A,TRUE,"Output pres";"Proforma 1 and 2",#N/A,TRUE,"Ratios";"Proforma 3,4 and 5",#N/A,TRUE,"FS";"Proforma 8,9 and 10",#N/A,TRUE,"Calcs"}</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74" l="1"/>
  <c r="Z4" i="174" l="1"/>
  <c r="Z5" i="174" s="1"/>
  <c r="Z6" i="174" s="1"/>
  <c r="Z7" i="174" s="1"/>
  <c r="Z8" i="174" s="1"/>
  <c r="Z9" i="174" s="1"/>
  <c r="Z10" i="174" s="1"/>
  <c r="Z11" i="174" s="1"/>
  <c r="Z12" i="174" s="1"/>
  <c r="Z13" i="174" s="1"/>
  <c r="Z14" i="174" s="1"/>
  <c r="Z15" i="174" s="1"/>
  <c r="Z16" i="174" s="1"/>
  <c r="Z17" i="174" s="1"/>
  <c r="Z18" i="174" s="1"/>
  <c r="Z19" i="174" s="1"/>
  <c r="Z20" i="174" s="1"/>
  <c r="Z21" i="174" s="1"/>
  <c r="Z22" i="174" s="1"/>
  <c r="Z23" i="174" s="1"/>
  <c r="Z24" i="174" s="1"/>
  <c r="Z25" i="174" s="1"/>
  <c r="Z26" i="174" s="1"/>
  <c r="Z27" i="174" s="1"/>
  <c r="Z28" i="174" s="1"/>
  <c r="Z29" i="174" s="1"/>
  <c r="Z30" i="174" s="1"/>
  <c r="Z31" i="174" s="1"/>
  <c r="Z32" i="174" s="1"/>
  <c r="Z33" i="174" s="1"/>
  <c r="Z34" i="174" s="1"/>
  <c r="Z35" i="174" s="1"/>
  <c r="Z36" i="174" s="1"/>
  <c r="Z37" i="174" s="1"/>
  <c r="Z38" i="174" s="1"/>
  <c r="Z39" i="174" s="1"/>
  <c r="Z40" i="174" s="1"/>
  <c r="Z41" i="174" s="1"/>
  <c r="Z42" i="174" s="1"/>
  <c r="Z43" i="174" s="1"/>
  <c r="Z44" i="174" s="1"/>
  <c r="Z45" i="174" s="1"/>
  <c r="Z46" i="174" s="1"/>
  <c r="Z47" i="174" s="1"/>
  <c r="Z48" i="174" s="1"/>
  <c r="Z49" i="174" s="1"/>
  <c r="Z50" i="174" s="1"/>
  <c r="Z51" i="174" s="1"/>
  <c r="Z52" i="174" s="1"/>
  <c r="Z53" i="174" s="1"/>
  <c r="Z54" i="174" s="1"/>
  <c r="Z55" i="174" s="1"/>
  <c r="Z56" i="174" s="1"/>
  <c r="Z57" i="174" s="1"/>
  <c r="Z58" i="174" s="1"/>
  <c r="Z59" i="174" s="1"/>
  <c r="Z60" i="174" s="1"/>
  <c r="Z61" i="174" s="1"/>
  <c r="Z62" i="174" s="1"/>
  <c r="Z63" i="174" s="1"/>
  <c r="Z64" i="174" s="1"/>
  <c r="Z65" i="174" s="1"/>
  <c r="Z66" i="174" s="1"/>
  <c r="Z67" i="174" s="1"/>
  <c r="Z68" i="174" s="1"/>
  <c r="Z69" i="174" s="1"/>
  <c r="Z70" i="174" s="1"/>
  <c r="Z71" i="174" s="1"/>
  <c r="Z72" i="174" s="1"/>
  <c r="Z73" i="174" s="1"/>
  <c r="Z74" i="174" s="1"/>
  <c r="Z75" i="174" s="1"/>
  <c r="Z76" i="174" s="1"/>
  <c r="Z77" i="174" s="1"/>
  <c r="Z78" i="174" s="1"/>
  <c r="Z79" i="174" s="1"/>
  <c r="Z80" i="174" s="1"/>
  <c r="Z81" i="174" s="1"/>
  <c r="Z82" i="174" s="1"/>
  <c r="Z83" i="174" s="1"/>
  <c r="Z84" i="174" s="1"/>
  <c r="Z85" i="174" s="1"/>
  <c r="Z86" i="174" s="1"/>
  <c r="Z87" i="174" s="1"/>
  <c r="Z88" i="174" s="1"/>
  <c r="Z89" i="174" s="1"/>
  <c r="Z90" i="174" s="1"/>
  <c r="Z91" i="174" s="1"/>
  <c r="Z92" i="174" s="1"/>
  <c r="Z93" i="174" s="1"/>
  <c r="Z94" i="174" s="1"/>
  <c r="Z95" i="174" s="1"/>
  <c r="Z96" i="174" s="1"/>
  <c r="Z97" i="174" s="1"/>
  <c r="Z98" i="174" s="1"/>
  <c r="Z99" i="174" s="1"/>
  <c r="Z100" i="174" s="1"/>
  <c r="Z101" i="174" s="1"/>
  <c r="Z102" i="174" s="1"/>
  <c r="Z103" i="174" s="1"/>
  <c r="Z104" i="174" s="1"/>
  <c r="Z105" i="174" s="1"/>
  <c r="Z106" i="174" s="1"/>
  <c r="Z107" i="174" s="1"/>
  <c r="Z108" i="174" s="1"/>
  <c r="Z109" i="174" s="1"/>
  <c r="Z110" i="174" s="1"/>
  <c r="Z111" i="174" s="1"/>
  <c r="Z112" i="174" s="1"/>
  <c r="Z113" i="174" s="1"/>
  <c r="Z114" i="174" s="1"/>
  <c r="Z115" i="174" s="1"/>
  <c r="Z116" i="174" s="1"/>
  <c r="Z117" i="174" s="1"/>
  <c r="Z118" i="174" s="1"/>
  <c r="Z119" i="174" s="1"/>
  <c r="Z120" i="174" s="1"/>
  <c r="Z121" i="174" s="1"/>
  <c r="Z122" i="174" s="1"/>
  <c r="Z123" i="174" s="1"/>
  <c r="Z124" i="174" s="1"/>
  <c r="Z125" i="174" s="1"/>
  <c r="Z126" i="174" s="1"/>
  <c r="Z127" i="174" s="1"/>
  <c r="Z128" i="174" s="1"/>
  <c r="Z129" i="174" s="1"/>
  <c r="Z130" i="174" s="1"/>
  <c r="Z131" i="174" s="1"/>
  <c r="Z132" i="174" s="1"/>
  <c r="AV168" i="174"/>
  <c r="AW168" i="174" s="1" a="1"/>
  <c r="AW168" i="174" s="1"/>
  <c r="AT168" i="174"/>
  <c r="AU168" i="174" s="1"/>
  <c r="AV167" i="174"/>
  <c r="AW167" i="174" s="1" a="1"/>
  <c r="AW167" i="174" s="1"/>
  <c r="AT167" i="174"/>
  <c r="AU167" i="174" s="1"/>
  <c r="AV166" i="174"/>
  <c r="AW166" i="174" s="1" a="1"/>
  <c r="AW166" i="174" s="1"/>
  <c r="AT166" i="174"/>
  <c r="AU166" i="174" s="1"/>
  <c r="AV165" i="174"/>
  <c r="AW165" i="174" s="1" a="1"/>
  <c r="AW165" i="174" s="1"/>
  <c r="AT165" i="174"/>
  <c r="AU165" i="174" s="1"/>
  <c r="AV164" i="174"/>
  <c r="AW164" i="174" s="1" a="1"/>
  <c r="AW164" i="174" s="1"/>
  <c r="AT164" i="174"/>
  <c r="AU164" i="174" s="1"/>
  <c r="AV163" i="174"/>
  <c r="AW163" i="174" s="1" a="1"/>
  <c r="AW163" i="174" s="1"/>
  <c r="AT163" i="174"/>
  <c r="AU163" i="174" s="1"/>
  <c r="AV162" i="174"/>
  <c r="AW162" i="174" s="1" a="1"/>
  <c r="AW162" i="174" s="1"/>
  <c r="AT162" i="174"/>
  <c r="AU162" i="174" s="1"/>
  <c r="AV161" i="174"/>
  <c r="AW161" i="174" s="1" a="1"/>
  <c r="AW161" i="174" s="1"/>
  <c r="AT161" i="174"/>
  <c r="AU161" i="174" s="1"/>
  <c r="AV160" i="174"/>
  <c r="AW160" i="174" s="1" a="1"/>
  <c r="AW160" i="174" s="1"/>
  <c r="AT160" i="174"/>
  <c r="AU160" i="174" s="1"/>
  <c r="AV159" i="174"/>
  <c r="AW159" i="174" s="1" a="1"/>
  <c r="AW159" i="174" s="1"/>
  <c r="AT159" i="174"/>
  <c r="AU159" i="174" s="1"/>
  <c r="AV158" i="174"/>
  <c r="AW158" i="174" s="1" a="1"/>
  <c r="AW158" i="174" s="1"/>
  <c r="AT158" i="174"/>
  <c r="AU158" i="174" s="1"/>
  <c r="AV157" i="174"/>
  <c r="AW157" i="174" s="1" a="1"/>
  <c r="AW157" i="174" s="1"/>
  <c r="AT157" i="174"/>
  <c r="AU157" i="174" s="1"/>
  <c r="AV156" i="174"/>
  <c r="AW156" i="174" s="1" a="1"/>
  <c r="AW156" i="174" s="1"/>
  <c r="AT156" i="174"/>
  <c r="AU156" i="174" s="1"/>
  <c r="AV155" i="174"/>
  <c r="AW155" i="174" s="1" a="1"/>
  <c r="AW155" i="174" s="1"/>
  <c r="AT155" i="174"/>
  <c r="AU155" i="174" s="1"/>
  <c r="AV154" i="174"/>
  <c r="AW154" i="174" s="1" a="1"/>
  <c r="AW154" i="174" s="1"/>
  <c r="AT154" i="174"/>
  <c r="AU154" i="174" s="1"/>
  <c r="AV153" i="174"/>
  <c r="AW153" i="174" s="1" a="1"/>
  <c r="AW153" i="174" s="1"/>
  <c r="AT153" i="174"/>
  <c r="AU153" i="174" s="1"/>
  <c r="AV152" i="174"/>
  <c r="AW152" i="174" s="1" a="1"/>
  <c r="AW152" i="174" s="1"/>
  <c r="AT152" i="174"/>
  <c r="AU152" i="174" s="1"/>
  <c r="AV151" i="174"/>
  <c r="AW151" i="174" s="1" a="1"/>
  <c r="AW151" i="174" s="1"/>
  <c r="AT151" i="174"/>
  <c r="AU151" i="174" s="1"/>
  <c r="AV150" i="174"/>
  <c r="AW150" i="174" s="1" a="1"/>
  <c r="AW150" i="174" s="1"/>
  <c r="AT150" i="174"/>
  <c r="AU150" i="174" s="1"/>
  <c r="AV149" i="174"/>
  <c r="AW149" i="174" s="1" a="1"/>
  <c r="AW149" i="174" s="1"/>
  <c r="AT149" i="174"/>
  <c r="AU149" i="174" s="1"/>
  <c r="AV148" i="174"/>
  <c r="AW148" i="174" s="1" a="1"/>
  <c r="AW148" i="174" s="1"/>
  <c r="AT148" i="174"/>
  <c r="AU148" i="174" s="1"/>
  <c r="AV147" i="174"/>
  <c r="AW147" i="174" s="1" a="1"/>
  <c r="AW147" i="174" s="1"/>
  <c r="AT147" i="174"/>
  <c r="AU147" i="174" s="1"/>
  <c r="AV146" i="174"/>
  <c r="AW146" i="174" s="1" a="1"/>
  <c r="AW146" i="174" s="1"/>
  <c r="AT146" i="174"/>
  <c r="AU146" i="174" s="1"/>
  <c r="AV145" i="174"/>
  <c r="AW145" i="174" s="1" a="1"/>
  <c r="AW145" i="174" s="1"/>
  <c r="BB145" i="174" s="1"/>
  <c r="AT145" i="174"/>
  <c r="AU145" i="174" s="1"/>
  <c r="AV144" i="174"/>
  <c r="AW144" i="174" s="1" a="1"/>
  <c r="AW144" i="174" s="1"/>
  <c r="AT144" i="174"/>
  <c r="AU144" i="174" s="1"/>
  <c r="AV143" i="174"/>
  <c r="AW143" i="174" s="1" a="1"/>
  <c r="AW143" i="174" s="1"/>
  <c r="AT143" i="174"/>
  <c r="AU143" i="174" s="1"/>
  <c r="AV142" i="174"/>
  <c r="AW142" i="174" s="1" a="1"/>
  <c r="AW142" i="174" s="1"/>
  <c r="AT142" i="174"/>
  <c r="AU142" i="174" s="1"/>
  <c r="AV141" i="174"/>
  <c r="AW141" i="174" s="1" a="1"/>
  <c r="AW141" i="174" s="1"/>
  <c r="AT141" i="174"/>
  <c r="AU141" i="174" s="1"/>
  <c r="AV140" i="174"/>
  <c r="AW140" i="174" s="1" a="1"/>
  <c r="AW140" i="174" s="1"/>
  <c r="AT140" i="174"/>
  <c r="AU140" i="174" s="1"/>
  <c r="AV139" i="174"/>
  <c r="AW139" i="174" s="1" a="1"/>
  <c r="AW139" i="174" s="1"/>
  <c r="AT139" i="174"/>
  <c r="AU139" i="174" s="1"/>
  <c r="AV138" i="174"/>
  <c r="AW138" i="174" s="1" a="1"/>
  <c r="AW138" i="174" s="1"/>
  <c r="BB138" i="174" s="1"/>
  <c r="AT138" i="174"/>
  <c r="AU138" i="174" s="1"/>
  <c r="BB137" i="174"/>
  <c r="AV137" i="174"/>
  <c r="AW137" i="174" s="1" a="1"/>
  <c r="AW137" i="174" s="1"/>
  <c r="AT137" i="174"/>
  <c r="AU137" i="174" s="1"/>
  <c r="AV136" i="174"/>
  <c r="AW136" i="174" s="1" a="1"/>
  <c r="AW136" i="174" s="1"/>
  <c r="AT136" i="174"/>
  <c r="AU136" i="174" s="1"/>
  <c r="AV135" i="174"/>
  <c r="AW135" i="174" s="1" a="1"/>
  <c r="AW135" i="174" s="1"/>
  <c r="AT135" i="174"/>
  <c r="AU135" i="174" s="1"/>
  <c r="AV134" i="174"/>
  <c r="AW134" i="174" s="1" a="1"/>
  <c r="AW134" i="174" s="1"/>
  <c r="AT134" i="174"/>
  <c r="AU134" i="174" s="1"/>
  <c r="AV133" i="174"/>
  <c r="AW133" i="174" s="1" a="1"/>
  <c r="AW133" i="174" s="1"/>
  <c r="AT133" i="174"/>
  <c r="AU133" i="174" s="1"/>
  <c r="B4" i="174" l="1"/>
  <c r="B5" i="174" s="1"/>
  <c r="B6" i="174" s="1"/>
  <c r="B7" i="174" s="1"/>
  <c r="B8" i="174" s="1"/>
  <c r="B9" i="174" s="1"/>
  <c r="B10" i="174" s="1"/>
  <c r="B11" i="174" s="1"/>
  <c r="B12" i="174" s="1"/>
  <c r="B13" i="174" s="1"/>
  <c r="B14" i="174" s="1"/>
  <c r="B15" i="174" s="1"/>
  <c r="B16" i="174" s="1"/>
  <c r="B17" i="174" s="1"/>
  <c r="B18" i="174" s="1"/>
  <c r="B19" i="174" s="1"/>
  <c r="B20" i="174" s="1"/>
  <c r="B21" i="174" s="1"/>
  <c r="B22" i="174" s="1"/>
  <c r="B23" i="174" s="1"/>
  <c r="B24" i="174" s="1"/>
  <c r="B25" i="174" s="1"/>
  <c r="B26" i="174" s="1"/>
  <c r="B27" i="174" s="1"/>
  <c r="B28" i="174" s="1"/>
  <c r="B29" i="174" s="1"/>
  <c r="B30" i="174" s="1"/>
  <c r="B31" i="174" s="1"/>
  <c r="B32" i="174" s="1"/>
  <c r="B33" i="174" s="1"/>
  <c r="B34" i="174" s="1"/>
  <c r="B35" i="174" s="1"/>
  <c r="B36" i="174" s="1"/>
  <c r="B37" i="174" s="1"/>
  <c r="B38" i="174" s="1"/>
  <c r="B39" i="174" s="1"/>
  <c r="B40" i="174" s="1"/>
  <c r="B41" i="174" s="1"/>
  <c r="B42" i="174" s="1"/>
  <c r="B43" i="174" s="1"/>
  <c r="B44" i="174" s="1"/>
  <c r="B45" i="174" s="1"/>
  <c r="B46" i="174" s="1"/>
  <c r="B47" i="174" s="1"/>
  <c r="B48" i="174" s="1"/>
  <c r="B49" i="174" s="1"/>
  <c r="B50" i="174" s="1"/>
  <c r="B51" i="174" s="1"/>
  <c r="B52" i="174" s="1"/>
  <c r="B53" i="174" s="1"/>
  <c r="B54" i="174" s="1"/>
  <c r="B55" i="174" s="1"/>
  <c r="B56" i="174" s="1"/>
  <c r="B57" i="174" s="1"/>
  <c r="B58" i="174" s="1"/>
  <c r="B59" i="174" s="1"/>
  <c r="B60" i="174" s="1"/>
  <c r="B61" i="174" s="1"/>
  <c r="B62" i="174" s="1"/>
  <c r="B63" i="174" s="1"/>
  <c r="B64" i="174" s="1"/>
  <c r="B65" i="174" s="1"/>
  <c r="B66" i="174" s="1"/>
  <c r="B67" i="174" s="1"/>
  <c r="B68" i="174" s="1"/>
  <c r="B69" i="174" s="1"/>
  <c r="B70" i="174" s="1"/>
  <c r="B71" i="174" s="1"/>
  <c r="B72" i="174" s="1"/>
  <c r="B73" i="174" s="1"/>
  <c r="B74" i="174" s="1"/>
  <c r="B75" i="174" s="1"/>
  <c r="B76" i="174" s="1"/>
  <c r="B77" i="174" s="1"/>
  <c r="B78" i="174" s="1"/>
  <c r="B79" i="174" s="1"/>
  <c r="B80" i="174" s="1"/>
  <c r="B81" i="174" s="1"/>
  <c r="B82" i="174" s="1"/>
  <c r="B83" i="174" s="1"/>
  <c r="B84" i="174" s="1"/>
  <c r="B85" i="174" s="1"/>
  <c r="B86" i="174" s="1"/>
  <c r="B87" i="174" s="1"/>
  <c r="B88" i="174" s="1"/>
  <c r="B89" i="174" s="1"/>
  <c r="B90" i="174" s="1"/>
  <c r="B91" i="174" s="1"/>
  <c r="B92" i="174" s="1"/>
  <c r="B93" i="174" s="1"/>
  <c r="B94" i="174" s="1"/>
  <c r="B95" i="174" s="1"/>
  <c r="B96" i="174" s="1"/>
  <c r="B97" i="174" s="1"/>
  <c r="B98" i="174" s="1"/>
  <c r="B99" i="174" s="1"/>
  <c r="B100" i="174" s="1"/>
  <c r="B101" i="174" s="1"/>
  <c r="B102" i="174" s="1"/>
  <c r="B103" i="174" s="1"/>
  <c r="B104" i="174" s="1"/>
  <c r="B105" i="174" s="1"/>
  <c r="B106" i="174" s="1"/>
  <c r="B107" i="174" s="1"/>
  <c r="B108" i="174" s="1"/>
  <c r="B109" i="174" s="1"/>
  <c r="B110" i="174" s="1"/>
  <c r="B111" i="174" s="1"/>
  <c r="B112" i="174" s="1"/>
  <c r="B113" i="174" s="1"/>
  <c r="B114" i="174" s="1"/>
  <c r="B115" i="174" s="1"/>
  <c r="B116" i="174" s="1"/>
  <c r="B117" i="174" s="1"/>
  <c r="B118" i="174" s="1"/>
  <c r="B119" i="174" s="1"/>
  <c r="B120" i="174" s="1"/>
  <c r="B121" i="174" s="1"/>
  <c r="B122" i="174" s="1"/>
  <c r="B123" i="174" s="1"/>
  <c r="B124" i="174" s="1"/>
  <c r="B125" i="174" s="1"/>
  <c r="B126" i="174" s="1"/>
  <c r="B127" i="174" s="1"/>
  <c r="B128" i="174" s="1"/>
  <c r="B129" i="174" s="1"/>
  <c r="B130" i="174" s="1"/>
  <c r="B131" i="174" s="1"/>
  <c r="B132" i="174" s="1"/>
  <c r="AH4" i="174"/>
  <c r="AH5" i="174" s="1"/>
  <c r="AH6" i="174" s="1"/>
  <c r="AH7" i="174" s="1"/>
  <c r="AH8" i="174" s="1"/>
  <c r="AH9" i="174" s="1"/>
  <c r="AH10" i="174" s="1"/>
  <c r="AH11" i="174" s="1"/>
  <c r="AH12" i="174" s="1"/>
  <c r="AH13" i="174" s="1"/>
  <c r="AH14" i="174" s="1"/>
  <c r="AH15" i="174" s="1"/>
  <c r="AH16" i="174" s="1"/>
  <c r="AH17" i="174" s="1"/>
  <c r="AH18" i="174" s="1"/>
  <c r="AH19" i="174" s="1"/>
  <c r="AH20" i="174" s="1"/>
  <c r="AH21" i="174" s="1"/>
  <c r="AH22" i="174" s="1"/>
  <c r="AH23" i="174" s="1"/>
  <c r="AH24" i="174" s="1"/>
  <c r="AH25" i="174" s="1"/>
  <c r="AH26" i="174" s="1"/>
  <c r="AH27" i="174" s="1"/>
  <c r="AH28" i="174" s="1"/>
  <c r="AH29" i="174" s="1"/>
  <c r="AH30" i="174" s="1"/>
  <c r="AH31" i="174" s="1"/>
  <c r="AH32" i="174" s="1"/>
  <c r="AH33" i="174" s="1"/>
  <c r="AH34" i="174" s="1"/>
  <c r="AH35" i="174" s="1"/>
  <c r="AH36" i="174" s="1"/>
  <c r="AH37" i="174" s="1"/>
  <c r="AH38" i="174" s="1"/>
  <c r="AH39" i="174" s="1"/>
  <c r="AH40" i="174" s="1"/>
  <c r="AH41" i="174" s="1"/>
  <c r="AH42" i="174" s="1"/>
  <c r="AH43" i="174" s="1"/>
  <c r="AH44" i="174" s="1"/>
  <c r="AH45" i="174" s="1"/>
  <c r="AH46" i="174" s="1"/>
  <c r="AH47" i="174" s="1"/>
  <c r="AH48" i="174" s="1"/>
  <c r="AH49" i="174" s="1"/>
  <c r="AH50" i="174" s="1"/>
  <c r="AH51" i="174" s="1"/>
  <c r="AH52" i="174" s="1"/>
  <c r="AH53" i="174" s="1"/>
  <c r="AH54" i="174" s="1"/>
  <c r="AH55" i="174" s="1"/>
  <c r="AH56" i="174" s="1"/>
  <c r="AH57" i="174" s="1"/>
  <c r="AH58" i="174" s="1"/>
  <c r="AH59" i="174" s="1"/>
  <c r="AH60" i="174" s="1"/>
  <c r="AH61" i="174" s="1"/>
  <c r="AH62" i="174" s="1"/>
  <c r="AH63" i="174" s="1"/>
  <c r="AH64" i="174" s="1"/>
  <c r="AH65" i="174" s="1"/>
  <c r="AH66" i="174" s="1"/>
  <c r="AH67" i="174" s="1"/>
  <c r="AH68" i="174" s="1"/>
  <c r="AH69" i="174" s="1"/>
  <c r="AH70" i="174" s="1"/>
  <c r="AH71" i="174" s="1"/>
  <c r="AH72" i="174" s="1"/>
  <c r="AH73" i="174" s="1"/>
  <c r="AH74" i="174" s="1"/>
  <c r="AH75" i="174" s="1"/>
  <c r="AH76" i="174" s="1"/>
  <c r="AH77" i="174" s="1"/>
  <c r="AH78" i="174" s="1"/>
  <c r="AH79" i="174" s="1"/>
  <c r="AH80" i="174" s="1"/>
  <c r="AH81" i="174" s="1"/>
  <c r="AH82" i="174" s="1"/>
  <c r="AH83" i="174" s="1"/>
  <c r="AH84" i="174" s="1"/>
  <c r="AH85" i="174" s="1"/>
  <c r="AH86" i="174" s="1"/>
  <c r="AH87" i="174" s="1"/>
  <c r="AH88" i="174" s="1"/>
  <c r="AH89" i="174" s="1"/>
  <c r="AH90" i="174" s="1"/>
  <c r="AH91" i="174" s="1"/>
  <c r="AH92" i="174" s="1"/>
  <c r="AH93" i="174" s="1"/>
  <c r="AH94" i="174" s="1"/>
  <c r="AH95" i="174" s="1"/>
  <c r="AH96" i="174" s="1"/>
  <c r="AH97" i="174" s="1"/>
  <c r="AH98" i="174" s="1"/>
  <c r="AH99" i="174" s="1"/>
  <c r="AH100" i="174" s="1"/>
  <c r="AH101" i="174" s="1"/>
  <c r="AH102" i="174" s="1"/>
  <c r="AH103" i="174" s="1"/>
  <c r="AH104" i="174" s="1"/>
  <c r="AH105" i="174" s="1"/>
  <c r="AH106" i="174" s="1"/>
  <c r="AH107" i="174" s="1"/>
  <c r="AH108" i="174" s="1"/>
  <c r="AH109" i="174" s="1"/>
  <c r="AH110" i="174" s="1"/>
  <c r="AH111" i="174" s="1"/>
  <c r="AH112" i="174" s="1"/>
  <c r="AH113" i="174" s="1"/>
  <c r="AH114" i="174" s="1"/>
  <c r="AH115" i="174" s="1"/>
  <c r="AH116" i="174" s="1"/>
  <c r="AH117" i="174" s="1"/>
  <c r="AH118" i="174" s="1"/>
  <c r="AH119" i="174" s="1"/>
  <c r="AH120" i="174" s="1"/>
  <c r="AH121" i="174" s="1"/>
  <c r="AH122" i="174" s="1"/>
  <c r="AH123" i="174" s="1"/>
  <c r="AH124" i="174" s="1"/>
  <c r="AH125" i="174" s="1"/>
  <c r="AH126" i="174" s="1"/>
  <c r="AH127" i="174" s="1"/>
  <c r="AH128" i="174" s="1"/>
  <c r="AH129" i="174" s="1"/>
  <c r="AH130" i="174" s="1"/>
  <c r="AH131" i="174" s="1"/>
  <c r="AH132" i="174" s="1"/>
  <c r="R4" i="174"/>
  <c r="AT4" i="174" s="1"/>
  <c r="AU4" i="174" s="1"/>
  <c r="BB154" i="174"/>
  <c r="BB166" i="174"/>
  <c r="AZ133" i="174"/>
  <c r="BB146" i="174"/>
  <c r="BB136" i="174"/>
  <c r="J4" i="174"/>
  <c r="J5" i="174" s="1"/>
  <c r="J6" i="174" s="1"/>
  <c r="J7" i="174" s="1"/>
  <c r="J8" i="174" s="1"/>
  <c r="J9" i="174" s="1"/>
  <c r="J10" i="174" s="1"/>
  <c r="J11" i="174" s="1"/>
  <c r="J12" i="174" s="1"/>
  <c r="J13" i="174" s="1"/>
  <c r="J14" i="174" s="1"/>
  <c r="J15" i="174" s="1"/>
  <c r="J16" i="174" s="1"/>
  <c r="J17" i="174" s="1"/>
  <c r="J18" i="174" s="1"/>
  <c r="J19" i="174" s="1"/>
  <c r="J20" i="174" s="1"/>
  <c r="J21" i="174" s="1"/>
  <c r="J22" i="174" s="1"/>
  <c r="J23" i="174" s="1"/>
  <c r="J24" i="174" s="1"/>
  <c r="J25" i="174" s="1"/>
  <c r="J26" i="174" s="1"/>
  <c r="J27" i="174" s="1"/>
  <c r="J28" i="174" s="1"/>
  <c r="J29" i="174" s="1"/>
  <c r="J30" i="174" s="1"/>
  <c r="J31" i="174" s="1"/>
  <c r="J32" i="174" s="1"/>
  <c r="J33" i="174" s="1"/>
  <c r="J34" i="174" s="1"/>
  <c r="J35" i="174" s="1"/>
  <c r="J36" i="174" s="1"/>
  <c r="J37" i="174" s="1"/>
  <c r="J38" i="174" s="1"/>
  <c r="J39" i="174" s="1"/>
  <c r="J40" i="174" s="1"/>
  <c r="J41" i="174" s="1"/>
  <c r="J42" i="174" s="1"/>
  <c r="J43" i="174" s="1"/>
  <c r="J44" i="174" s="1"/>
  <c r="J45" i="174" s="1"/>
  <c r="J46" i="174" s="1"/>
  <c r="J47" i="174" s="1"/>
  <c r="J48" i="174" s="1"/>
  <c r="J49" i="174" s="1"/>
  <c r="J50" i="174" s="1"/>
  <c r="J51" i="174" s="1"/>
  <c r="J52" i="174" s="1"/>
  <c r="J53" i="174" s="1"/>
  <c r="J54" i="174" s="1"/>
  <c r="J55" i="174" s="1"/>
  <c r="J56" i="174" s="1"/>
  <c r="J57" i="174" s="1"/>
  <c r="J58" i="174" s="1"/>
  <c r="J59" i="174" s="1"/>
  <c r="J60" i="174" s="1"/>
  <c r="J61" i="174" s="1"/>
  <c r="J62" i="174" s="1"/>
  <c r="J63" i="174" s="1"/>
  <c r="J64" i="174" s="1"/>
  <c r="J65" i="174" s="1"/>
  <c r="J66" i="174" s="1"/>
  <c r="J67" i="174" s="1"/>
  <c r="J68" i="174" s="1"/>
  <c r="J69" i="174" s="1"/>
  <c r="J70" i="174" s="1"/>
  <c r="J71" i="174" s="1"/>
  <c r="J72" i="174" s="1"/>
  <c r="J73" i="174" s="1"/>
  <c r="J74" i="174" s="1"/>
  <c r="J75" i="174" s="1"/>
  <c r="J76" i="174" s="1"/>
  <c r="J77" i="174" s="1"/>
  <c r="J78" i="174" s="1"/>
  <c r="J79" i="174" s="1"/>
  <c r="J80" i="174" s="1"/>
  <c r="J81" i="174" s="1"/>
  <c r="J82" i="174" s="1"/>
  <c r="J83" i="174" s="1"/>
  <c r="J84" i="174" s="1"/>
  <c r="J85" i="174" s="1"/>
  <c r="J86" i="174" s="1"/>
  <c r="J87" i="174" s="1"/>
  <c r="J88" i="174" s="1"/>
  <c r="J89" i="174" s="1"/>
  <c r="J90" i="174" s="1"/>
  <c r="J91" i="174" s="1"/>
  <c r="J92" i="174" s="1"/>
  <c r="J93" i="174" s="1"/>
  <c r="J94" i="174" s="1"/>
  <c r="J95" i="174" s="1"/>
  <c r="J96" i="174" s="1"/>
  <c r="J97" i="174" s="1"/>
  <c r="J98" i="174" s="1"/>
  <c r="J99" i="174" s="1"/>
  <c r="J100" i="174" s="1"/>
  <c r="J101" i="174" s="1"/>
  <c r="J102" i="174" s="1"/>
  <c r="J103" i="174" s="1"/>
  <c r="J104" i="174" s="1"/>
  <c r="J105" i="174" s="1"/>
  <c r="J106" i="174" s="1"/>
  <c r="J107" i="174" s="1"/>
  <c r="J108" i="174" s="1"/>
  <c r="J109" i="174" s="1"/>
  <c r="J110" i="174" s="1"/>
  <c r="J111" i="174" s="1"/>
  <c r="J112" i="174" s="1"/>
  <c r="J113" i="174" s="1"/>
  <c r="J114" i="174" s="1"/>
  <c r="J115" i="174" s="1"/>
  <c r="J116" i="174" s="1"/>
  <c r="J117" i="174" s="1"/>
  <c r="J118" i="174" s="1"/>
  <c r="J119" i="174" s="1"/>
  <c r="J120" i="174" s="1"/>
  <c r="J121" i="174" s="1"/>
  <c r="J122" i="174" s="1"/>
  <c r="J123" i="174" s="1"/>
  <c r="J124" i="174" s="1"/>
  <c r="J125" i="174" s="1"/>
  <c r="J126" i="174" s="1"/>
  <c r="J127" i="174" s="1"/>
  <c r="J128" i="174" s="1"/>
  <c r="J129" i="174" s="1"/>
  <c r="J130" i="174" s="1"/>
  <c r="J131" i="174" s="1"/>
  <c r="J132" i="174" s="1"/>
  <c r="AZ139" i="174"/>
  <c r="BB133" i="174"/>
  <c r="BB141" i="174"/>
  <c r="BB161" i="174"/>
  <c r="AZ143" i="174"/>
  <c r="AZ163" i="174"/>
  <c r="AZ135" i="174"/>
  <c r="BB149" i="174"/>
  <c r="BB153" i="174"/>
  <c r="BB144" i="174"/>
  <c r="BA144" i="174"/>
  <c r="AZ144" i="174"/>
  <c r="AY144" i="174"/>
  <c r="BC144" i="174"/>
  <c r="BC147" i="174"/>
  <c r="BB147" i="174"/>
  <c r="BA147" i="174"/>
  <c r="AY147" i="174"/>
  <c r="AZ147" i="174"/>
  <c r="BB168" i="174"/>
  <c r="BA168" i="174"/>
  <c r="AZ168" i="174"/>
  <c r="AY168" i="174"/>
  <c r="BC168" i="174"/>
  <c r="BC158" i="174"/>
  <c r="BA158" i="174"/>
  <c r="AY158" i="174"/>
  <c r="BB158" i="174"/>
  <c r="AZ158" i="174"/>
  <c r="BC155" i="174"/>
  <c r="BB155" i="174"/>
  <c r="BA155" i="174"/>
  <c r="AY155" i="174"/>
  <c r="AZ155" i="174"/>
  <c r="BC159" i="174"/>
  <c r="BB159" i="174"/>
  <c r="BA159" i="174"/>
  <c r="AY159" i="174"/>
  <c r="AZ159" i="174"/>
  <c r="BB152" i="174"/>
  <c r="BA152" i="174"/>
  <c r="AZ152" i="174"/>
  <c r="AY152" i="174"/>
  <c r="BC152" i="174"/>
  <c r="BC150" i="174"/>
  <c r="BA150" i="174"/>
  <c r="AY150" i="174"/>
  <c r="BB150" i="174"/>
  <c r="AZ141" i="174"/>
  <c r="AY141" i="174"/>
  <c r="BC141" i="174"/>
  <c r="BA141" i="174"/>
  <c r="AZ150" i="174"/>
  <c r="BB164" i="174"/>
  <c r="BA164" i="174"/>
  <c r="AZ164" i="174"/>
  <c r="AY164" i="174"/>
  <c r="BC164" i="174"/>
  <c r="BC167" i="174"/>
  <c r="BB167" i="174"/>
  <c r="BA167" i="174"/>
  <c r="AY167" i="174"/>
  <c r="AZ167" i="174"/>
  <c r="BB156" i="174"/>
  <c r="BA156" i="174"/>
  <c r="AZ156" i="174"/>
  <c r="AY156" i="174"/>
  <c r="BC156" i="174"/>
  <c r="BC162" i="174"/>
  <c r="BA162" i="174"/>
  <c r="AY162" i="174"/>
  <c r="AZ162" i="174"/>
  <c r="BC134" i="174"/>
  <c r="BA134" i="174"/>
  <c r="AY134" i="174"/>
  <c r="BB134" i="174"/>
  <c r="AZ134" i="174"/>
  <c r="BC139" i="174"/>
  <c r="BB139" i="174"/>
  <c r="BA139" i="174"/>
  <c r="AY139" i="174"/>
  <c r="BC142" i="174"/>
  <c r="BA142" i="174"/>
  <c r="AY142" i="174"/>
  <c r="BB142" i="174"/>
  <c r="AZ142" i="174"/>
  <c r="BB162" i="174"/>
  <c r="BB148" i="174"/>
  <c r="BA148" i="174"/>
  <c r="AZ148" i="174"/>
  <c r="AY148" i="174"/>
  <c r="BC148" i="174"/>
  <c r="BC151" i="174"/>
  <c r="BB151" i="174"/>
  <c r="BA151" i="174"/>
  <c r="AY151" i="174"/>
  <c r="AZ151" i="174"/>
  <c r="AZ157" i="174"/>
  <c r="AY157" i="174"/>
  <c r="BC157" i="174"/>
  <c r="BA157" i="174"/>
  <c r="BC166" i="174"/>
  <c r="BA166" i="174"/>
  <c r="AY166" i="174"/>
  <c r="AZ137" i="174"/>
  <c r="AY137" i="174"/>
  <c r="BC137" i="174"/>
  <c r="BA137" i="174"/>
  <c r="BB157" i="174"/>
  <c r="BB160" i="174"/>
  <c r="BA160" i="174"/>
  <c r="AZ160" i="174"/>
  <c r="AY160" i="174"/>
  <c r="BC160" i="174"/>
  <c r="BC163" i="174"/>
  <c r="BB163" i="174"/>
  <c r="BA163" i="174"/>
  <c r="AY163" i="174"/>
  <c r="AZ166" i="174"/>
  <c r="AY133" i="174"/>
  <c r="BC133" i="174"/>
  <c r="BA133" i="174"/>
  <c r="BC135" i="174"/>
  <c r="BA135" i="174"/>
  <c r="AY135" i="174"/>
  <c r="BB135" i="174"/>
  <c r="BB140" i="174"/>
  <c r="BA140" i="174"/>
  <c r="AZ140" i="174"/>
  <c r="AY140" i="174"/>
  <c r="BC140" i="174"/>
  <c r="BC143" i="174"/>
  <c r="BB143" i="174"/>
  <c r="BA143" i="174"/>
  <c r="AY143" i="174"/>
  <c r="BC146" i="174"/>
  <c r="BA146" i="174"/>
  <c r="AY146" i="174"/>
  <c r="AZ146" i="174"/>
  <c r="AZ153" i="174"/>
  <c r="AY153" i="174"/>
  <c r="BC153" i="174"/>
  <c r="BA153" i="174"/>
  <c r="AZ149" i="174"/>
  <c r="AY149" i="174"/>
  <c r="BC149" i="174"/>
  <c r="BA149" i="174"/>
  <c r="AZ165" i="174"/>
  <c r="AY165" i="174"/>
  <c r="BC165" i="174"/>
  <c r="BA165" i="174"/>
  <c r="BA136" i="174"/>
  <c r="AY136" i="174"/>
  <c r="BC136" i="174"/>
  <c r="BC138" i="174"/>
  <c r="BA138" i="174"/>
  <c r="AY138" i="174"/>
  <c r="BC154" i="174"/>
  <c r="BA154" i="174"/>
  <c r="AY154" i="174"/>
  <c r="BB165" i="174"/>
  <c r="AZ136" i="174"/>
  <c r="AZ138" i="174"/>
  <c r="AZ145" i="174"/>
  <c r="AY145" i="174"/>
  <c r="BC145" i="174"/>
  <c r="BA145" i="174"/>
  <c r="AZ154" i="174"/>
  <c r="AZ161" i="174"/>
  <c r="AY161" i="174"/>
  <c r="BC161" i="174"/>
  <c r="BA161" i="174"/>
  <c r="R5" i="174" l="1"/>
  <c r="AV4" i="174"/>
  <c r="AW4" i="174" s="1" a="1"/>
  <c r="AW4" i="174" s="1"/>
  <c r="BB4" i="174" l="1"/>
  <c r="AE4" i="174" s="1"/>
  <c r="BA4" i="174"/>
  <c r="W4" i="174" s="1"/>
  <c r="AZ4" i="174"/>
  <c r="O4" i="174" s="1"/>
  <c r="BC4" i="174"/>
  <c r="AM4" i="174" s="1"/>
  <c r="AY4" i="174"/>
  <c r="G4" i="174" s="1"/>
  <c r="R6" i="174"/>
  <c r="AV5" i="174"/>
  <c r="AW5" i="174" s="1" a="1"/>
  <c r="AW5" i="174" s="1"/>
  <c r="AT5" i="174"/>
  <c r="AU5" i="174" s="1"/>
  <c r="AZ5" i="174" l="1"/>
  <c r="O5" i="174" s="1"/>
  <c r="AY5" i="174"/>
  <c r="G5" i="174" s="1"/>
  <c r="BC5" i="174"/>
  <c r="AM5" i="174" s="1"/>
  <c r="BB5" i="174"/>
  <c r="AE5" i="174" s="1"/>
  <c r="R7" i="174"/>
  <c r="AT6" i="174"/>
  <c r="AU6" i="174" s="1"/>
  <c r="AV6" i="174"/>
  <c r="AW6" i="174" s="1" a="1"/>
  <c r="AW6" i="174" s="1"/>
  <c r="BA5" i="174"/>
  <c r="W5" i="174" s="1"/>
  <c r="AZ6" i="174" l="1"/>
  <c r="O6" i="174" s="1"/>
  <c r="BB6" i="174"/>
  <c r="AE6" i="174" s="1"/>
  <c r="AY6" i="174"/>
  <c r="G6" i="174" s="1"/>
  <c r="BC6" i="174"/>
  <c r="AM6" i="174" s="1"/>
  <c r="BA6" i="174"/>
  <c r="W6" i="174" s="1"/>
  <c r="R8" i="174"/>
  <c r="AT7" i="174"/>
  <c r="AU7" i="174" s="1"/>
  <c r="AV7" i="174"/>
  <c r="AW7" i="174" s="1" a="1"/>
  <c r="AW7" i="174" s="1"/>
  <c r="BB7" i="174" l="1"/>
  <c r="AE7" i="174" s="1"/>
  <c r="BA7" i="174"/>
  <c r="W7" i="174" s="1"/>
  <c r="BC7" i="174"/>
  <c r="AM7" i="174" s="1"/>
  <c r="AY7" i="174"/>
  <c r="G7" i="174" s="1"/>
  <c r="AZ7" i="174"/>
  <c r="O7" i="174" s="1"/>
  <c r="R9" i="174"/>
  <c r="AT8" i="174"/>
  <c r="AU8" i="174" s="1"/>
  <c r="AV8" i="174"/>
  <c r="AW8" i="174" s="1" a="1"/>
  <c r="AW8" i="174" s="1"/>
  <c r="AZ8" i="174" l="1"/>
  <c r="O8" i="174" s="1"/>
  <c r="AY8" i="174"/>
  <c r="G8" i="174" s="1"/>
  <c r="BA8" i="174"/>
  <c r="W8" i="174" s="1"/>
  <c r="BC8" i="174"/>
  <c r="AM8" i="174" s="1"/>
  <c r="BB8" i="174"/>
  <c r="AE8" i="174" s="1"/>
  <c r="R10" i="174"/>
  <c r="AT9" i="174"/>
  <c r="AU9" i="174" s="1"/>
  <c r="AV9" i="174"/>
  <c r="AW9" i="174" s="1" a="1"/>
  <c r="AW9" i="174" s="1"/>
  <c r="AZ9" i="174" l="1"/>
  <c r="O9" i="174" s="1"/>
  <c r="AY9" i="174"/>
  <c r="G9" i="174" s="1"/>
  <c r="BC9" i="174"/>
  <c r="AM9" i="174" s="1"/>
  <c r="BB9" i="174"/>
  <c r="AE9" i="174" s="1"/>
  <c r="BA9" i="174"/>
  <c r="W9" i="174" s="1"/>
  <c r="R11" i="174"/>
  <c r="AV10" i="174"/>
  <c r="AW10" i="174" s="1" a="1"/>
  <c r="AW10" i="174" s="1"/>
  <c r="AT10" i="174"/>
  <c r="AU10" i="174" s="1"/>
  <c r="BB10" i="174" l="1"/>
  <c r="AE10" i="174" s="1"/>
  <c r="BA10" i="174"/>
  <c r="W10" i="174" s="1"/>
  <c r="AZ10" i="174"/>
  <c r="O10" i="174" s="1"/>
  <c r="AY10" i="174"/>
  <c r="G10" i="174" s="1"/>
  <c r="BC10" i="174"/>
  <c r="AM10" i="174" s="1"/>
  <c r="R12" i="174"/>
  <c r="AV11" i="174"/>
  <c r="AW11" i="174" s="1" a="1"/>
  <c r="AW11" i="174" s="1"/>
  <c r="AT11" i="174"/>
  <c r="AU11" i="174" s="1"/>
  <c r="BC11" i="174" l="1"/>
  <c r="AM11" i="174" s="1"/>
  <c r="BA11" i="174"/>
  <c r="W11" i="174" s="1"/>
  <c r="AZ11" i="174"/>
  <c r="O11" i="174" s="1"/>
  <c r="BB11" i="174"/>
  <c r="AE11" i="174" s="1"/>
  <c r="AY11" i="174"/>
  <c r="G11" i="174" s="1"/>
  <c r="R13" i="174"/>
  <c r="AV12" i="174"/>
  <c r="AW12" i="174" s="1" a="1"/>
  <c r="AW12" i="174" s="1"/>
  <c r="AT12" i="174"/>
  <c r="AU12" i="174" s="1"/>
  <c r="BB12" i="174" l="1"/>
  <c r="AE12" i="174" s="1"/>
  <c r="AZ12" i="174"/>
  <c r="O12" i="174" s="1"/>
  <c r="AY12" i="174"/>
  <c r="G12" i="174" s="1"/>
  <c r="BC12" i="174"/>
  <c r="AM12" i="174" s="1"/>
  <c r="BA12" i="174"/>
  <c r="W12" i="174" s="1"/>
  <c r="R14" i="174"/>
  <c r="AT13" i="174"/>
  <c r="AU13" i="174" s="1"/>
  <c r="AV13" i="174"/>
  <c r="AW13" i="174" s="1" a="1"/>
  <c r="AW13" i="174" s="1"/>
  <c r="BA13" i="174" l="1"/>
  <c r="W13" i="174" s="1"/>
  <c r="AZ13" i="174"/>
  <c r="O13" i="174" s="1"/>
  <c r="BC13" i="174"/>
  <c r="AM13" i="174" s="1"/>
  <c r="BB13" i="174"/>
  <c r="AE13" i="174" s="1"/>
  <c r="AY13" i="174"/>
  <c r="G13" i="174" s="1"/>
  <c r="R15" i="174"/>
  <c r="AT14" i="174"/>
  <c r="AU14" i="174" s="1"/>
  <c r="AV14" i="174"/>
  <c r="AW14" i="174" s="1" a="1"/>
  <c r="AW14" i="174" s="1"/>
  <c r="BC14" i="174" l="1"/>
  <c r="AM14" i="174" s="1"/>
  <c r="BB14" i="174"/>
  <c r="AE14" i="174" s="1"/>
  <c r="AY14" i="174"/>
  <c r="G14" i="174" s="1"/>
  <c r="AZ14" i="174"/>
  <c r="O14" i="174" s="1"/>
  <c r="BA14" i="174"/>
  <c r="W14" i="174" s="1"/>
  <c r="R16" i="174"/>
  <c r="AT15" i="174"/>
  <c r="AU15" i="174" s="1"/>
  <c r="AV15" i="174"/>
  <c r="AW15" i="174" s="1" a="1"/>
  <c r="AW15" i="174" s="1"/>
  <c r="BA15" i="174" l="1"/>
  <c r="W15" i="174" s="1"/>
  <c r="BB15" i="174"/>
  <c r="AE15" i="174" s="1"/>
  <c r="AZ15" i="174"/>
  <c r="O15" i="174" s="1"/>
  <c r="AY15" i="174"/>
  <c r="G15" i="174" s="1"/>
  <c r="BC15" i="174"/>
  <c r="AM15" i="174" s="1"/>
  <c r="R17" i="174"/>
  <c r="AT16" i="174"/>
  <c r="AU16" i="174" s="1"/>
  <c r="AV16" i="174"/>
  <c r="AW16" i="174" s="1" a="1"/>
  <c r="AW16" i="174" s="1"/>
  <c r="BB16" i="174" l="1"/>
  <c r="AE16" i="174" s="1"/>
  <c r="AZ16" i="174"/>
  <c r="O16" i="174" s="1"/>
  <c r="BA16" i="174"/>
  <c r="W16" i="174" s="1"/>
  <c r="AY16" i="174"/>
  <c r="G16" i="174" s="1"/>
  <c r="BC16" i="174"/>
  <c r="AM16" i="174" s="1"/>
  <c r="R18" i="174"/>
  <c r="AT17" i="174"/>
  <c r="AU17" i="174" s="1"/>
  <c r="AV17" i="174"/>
  <c r="AW17" i="174" s="1" a="1"/>
  <c r="AW17" i="174" s="1"/>
  <c r="R19" i="174" l="1"/>
  <c r="AT18" i="174"/>
  <c r="AU18" i="174" s="1"/>
  <c r="AV18" i="174"/>
  <c r="AW18" i="174" s="1" a="1"/>
  <c r="AW18" i="174" s="1"/>
  <c r="AZ17" i="174"/>
  <c r="O17" i="174" s="1"/>
  <c r="BB17" i="174"/>
  <c r="AE17" i="174" s="1"/>
  <c r="BA17" i="174"/>
  <c r="W17" i="174" s="1"/>
  <c r="BC17" i="174"/>
  <c r="AM17" i="174" s="1"/>
  <c r="AY17" i="174"/>
  <c r="G17" i="174" s="1"/>
  <c r="BC18" i="174" l="1"/>
  <c r="AM18" i="174" s="1"/>
  <c r="AY18" i="174"/>
  <c r="G18" i="174" s="1"/>
  <c r="BA18" i="174"/>
  <c r="W18" i="174" s="1"/>
  <c r="AZ18" i="174"/>
  <c r="O18" i="174" s="1"/>
  <c r="BB18" i="174"/>
  <c r="AE18" i="174" s="1"/>
  <c r="R20" i="174"/>
  <c r="AV19" i="174"/>
  <c r="AW19" i="174" s="1" a="1"/>
  <c r="AW19" i="174" s="1"/>
  <c r="AT19" i="174"/>
  <c r="AU19" i="174" s="1"/>
  <c r="BB19" i="174" l="1"/>
  <c r="AE19" i="174" s="1"/>
  <c r="BC19" i="174"/>
  <c r="AM19" i="174" s="1"/>
  <c r="BA19" i="174"/>
  <c r="W19" i="174" s="1"/>
  <c r="AZ19" i="174"/>
  <c r="O19" i="174" s="1"/>
  <c r="AY19" i="174"/>
  <c r="G19" i="174" s="1"/>
  <c r="R21" i="174"/>
  <c r="AT20" i="174"/>
  <c r="AU20" i="174" s="1"/>
  <c r="AV20" i="174"/>
  <c r="AW20" i="174" s="1" a="1"/>
  <c r="AW20" i="174" s="1"/>
  <c r="BC20" i="174" l="1"/>
  <c r="AM20" i="174" s="1"/>
  <c r="BA20" i="174"/>
  <c r="W20" i="174" s="1"/>
  <c r="BB20" i="174"/>
  <c r="AE20" i="174" s="1"/>
  <c r="AY20" i="174"/>
  <c r="G20" i="174" s="1"/>
  <c r="AZ20" i="174"/>
  <c r="O20" i="174" s="1"/>
  <c r="R22" i="174"/>
  <c r="AV21" i="174"/>
  <c r="AW21" i="174" s="1" a="1"/>
  <c r="AW21" i="174" s="1"/>
  <c r="AT21" i="174"/>
  <c r="AU21" i="174" s="1"/>
  <c r="BC21" i="174" l="1"/>
  <c r="AM21" i="174" s="1"/>
  <c r="AZ21" i="174"/>
  <c r="O21" i="174" s="1"/>
  <c r="AY21" i="174"/>
  <c r="G21" i="174" s="1"/>
  <c r="BA21" i="174"/>
  <c r="W21" i="174" s="1"/>
  <c r="BB21" i="174"/>
  <c r="AE21" i="174" s="1"/>
  <c r="R23" i="174"/>
  <c r="AV22" i="174"/>
  <c r="AW22" i="174" s="1" a="1"/>
  <c r="AW22" i="174" s="1"/>
  <c r="AT22" i="174"/>
  <c r="AU22" i="174" s="1"/>
  <c r="AY22" i="174" l="1"/>
  <c r="G22" i="174" s="1"/>
  <c r="BC22" i="174"/>
  <c r="AM22" i="174" s="1"/>
  <c r="BB22" i="174"/>
  <c r="AE22" i="174" s="1"/>
  <c r="BA22" i="174"/>
  <c r="W22" i="174" s="1"/>
  <c r="AZ22" i="174"/>
  <c r="O22" i="174" s="1"/>
  <c r="R24" i="174"/>
  <c r="AT23" i="174"/>
  <c r="AU23" i="174" s="1"/>
  <c r="AV23" i="174"/>
  <c r="AW23" i="174" s="1" a="1"/>
  <c r="AW23" i="174" s="1"/>
  <c r="BC23" i="174" l="1"/>
  <c r="AM23" i="174" s="1"/>
  <c r="AZ23" i="174"/>
  <c r="O23" i="174" s="1"/>
  <c r="BA23" i="174"/>
  <c r="W23" i="174" s="1"/>
  <c r="AY23" i="174"/>
  <c r="G23" i="174" s="1"/>
  <c r="BB23" i="174"/>
  <c r="AE23" i="174" s="1"/>
  <c r="R25" i="174"/>
  <c r="AV24" i="174"/>
  <c r="AW24" i="174" s="1" a="1"/>
  <c r="AW24" i="174" s="1"/>
  <c r="AT24" i="174"/>
  <c r="AU24" i="174" s="1"/>
  <c r="BC24" i="174" l="1"/>
  <c r="AM24" i="174" s="1"/>
  <c r="AY24" i="174"/>
  <c r="G24" i="174" s="1"/>
  <c r="BB24" i="174"/>
  <c r="AE24" i="174" s="1"/>
  <c r="AZ24" i="174"/>
  <c r="O24" i="174" s="1"/>
  <c r="BA24" i="174"/>
  <c r="W24" i="174" s="1"/>
  <c r="R26" i="174"/>
  <c r="AV25" i="174"/>
  <c r="AW25" i="174" s="1" a="1"/>
  <c r="AW25" i="174" s="1"/>
  <c r="AT25" i="174"/>
  <c r="AU25" i="174" s="1"/>
  <c r="BA25" i="174" l="1"/>
  <c r="W25" i="174" s="1"/>
  <c r="BB25" i="174"/>
  <c r="AE25" i="174" s="1"/>
  <c r="AY25" i="174"/>
  <c r="G25" i="174" s="1"/>
  <c r="BC25" i="174"/>
  <c r="AM25" i="174" s="1"/>
  <c r="AZ25" i="174"/>
  <c r="O25" i="174" s="1"/>
  <c r="R27" i="174"/>
  <c r="AV26" i="174"/>
  <c r="AW26" i="174" s="1" a="1"/>
  <c r="AW26" i="174" s="1"/>
  <c r="AT26" i="174"/>
  <c r="AU26" i="174" s="1"/>
  <c r="AZ26" i="174" l="1"/>
  <c r="O26" i="174" s="1"/>
  <c r="BC26" i="174"/>
  <c r="AM26" i="174" s="1"/>
  <c r="BB26" i="174"/>
  <c r="AE26" i="174" s="1"/>
  <c r="BA26" i="174"/>
  <c r="W26" i="174" s="1"/>
  <c r="AY26" i="174"/>
  <c r="G26" i="174" s="1"/>
  <c r="R28" i="174"/>
  <c r="AV27" i="174"/>
  <c r="AW27" i="174" s="1" a="1"/>
  <c r="AW27" i="174" s="1"/>
  <c r="AT27" i="174"/>
  <c r="AU27" i="174" s="1"/>
  <c r="BB27" i="174" l="1"/>
  <c r="AE27" i="174" s="1"/>
  <c r="BA27" i="174"/>
  <c r="W27" i="174" s="1"/>
  <c r="BC27" i="174"/>
  <c r="AM27" i="174" s="1"/>
  <c r="AZ27" i="174"/>
  <c r="O27" i="174" s="1"/>
  <c r="AY27" i="174"/>
  <c r="G27" i="174" s="1"/>
  <c r="R29" i="174"/>
  <c r="AT28" i="174"/>
  <c r="AU28" i="174" s="1"/>
  <c r="AV28" i="174"/>
  <c r="AW28" i="174" s="1" a="1"/>
  <c r="AW28" i="174" s="1"/>
  <c r="AY28" i="174" l="1"/>
  <c r="G28" i="174" s="1"/>
  <c r="AZ28" i="174"/>
  <c r="O28" i="174" s="1"/>
  <c r="BA28" i="174"/>
  <c r="W28" i="174" s="1"/>
  <c r="BC28" i="174"/>
  <c r="AM28" i="174" s="1"/>
  <c r="BB28" i="174"/>
  <c r="AE28" i="174" s="1"/>
  <c r="R30" i="174"/>
  <c r="AT29" i="174"/>
  <c r="AU29" i="174" s="1"/>
  <c r="AV29" i="174"/>
  <c r="AW29" i="174" s="1" a="1"/>
  <c r="AW29" i="174" s="1"/>
  <c r="R31" i="174" l="1"/>
  <c r="AT30" i="174"/>
  <c r="AU30" i="174" s="1"/>
  <c r="AV30" i="174"/>
  <c r="AW30" i="174" s="1" a="1"/>
  <c r="AW30" i="174" s="1"/>
  <c r="BC29" i="174"/>
  <c r="AM29" i="174" s="1"/>
  <c r="AY29" i="174"/>
  <c r="G29" i="174" s="1"/>
  <c r="BA29" i="174"/>
  <c r="W29" i="174" s="1"/>
  <c r="AZ29" i="174"/>
  <c r="O29" i="174" s="1"/>
  <c r="BB29" i="174"/>
  <c r="AE29" i="174" s="1"/>
  <c r="BA30" i="174" l="1"/>
  <c r="W30" i="174" s="1"/>
  <c r="BB30" i="174"/>
  <c r="AE30" i="174" s="1"/>
  <c r="AY30" i="174"/>
  <c r="G30" i="174" s="1"/>
  <c r="AZ30" i="174"/>
  <c r="O30" i="174" s="1"/>
  <c r="BC30" i="174"/>
  <c r="AM30" i="174" s="1"/>
  <c r="R32" i="174"/>
  <c r="AV31" i="174"/>
  <c r="AW31" i="174" s="1" a="1"/>
  <c r="AW31" i="174" s="1"/>
  <c r="AT31" i="174"/>
  <c r="AU31" i="174" s="1"/>
  <c r="R33" i="174" l="1"/>
  <c r="AV32" i="174"/>
  <c r="AW32" i="174" s="1" a="1"/>
  <c r="AW32" i="174" s="1"/>
  <c r="AT32" i="174"/>
  <c r="AU32" i="174" s="1"/>
  <c r="AZ31" i="174"/>
  <c r="O31" i="174" s="1"/>
  <c r="BB31" i="174"/>
  <c r="AE31" i="174" s="1"/>
  <c r="BA31" i="174"/>
  <c r="W31" i="174" s="1"/>
  <c r="AY31" i="174"/>
  <c r="G31" i="174" s="1"/>
  <c r="BC31" i="174"/>
  <c r="AM31" i="174" s="1"/>
  <c r="R34" i="174" l="1"/>
  <c r="AT33" i="174"/>
  <c r="AU33" i="174" s="1"/>
  <c r="AV33" i="174"/>
  <c r="AW33" i="174" s="1" a="1"/>
  <c r="AW33" i="174" s="1"/>
  <c r="BA32" i="174"/>
  <c r="W32" i="174" s="1"/>
  <c r="BB32" i="174"/>
  <c r="AE32" i="174" s="1"/>
  <c r="AZ32" i="174"/>
  <c r="O32" i="174" s="1"/>
  <c r="BC32" i="174"/>
  <c r="AM32" i="174" s="1"/>
  <c r="AY32" i="174"/>
  <c r="G32" i="174" s="1"/>
  <c r="R35" i="174" l="1"/>
  <c r="AV34" i="174"/>
  <c r="AW34" i="174" s="1" a="1"/>
  <c r="AW34" i="174" s="1"/>
  <c r="AT34" i="174"/>
  <c r="AU34" i="174" s="1"/>
  <c r="BC33" i="174"/>
  <c r="AM33" i="174" s="1"/>
  <c r="BB33" i="174"/>
  <c r="AE33" i="174" s="1"/>
  <c r="BA33" i="174"/>
  <c r="W33" i="174" s="1"/>
  <c r="AZ33" i="174"/>
  <c r="O33" i="174" s="1"/>
  <c r="AY33" i="174"/>
  <c r="G33" i="174" s="1"/>
  <c r="BB34" i="174" l="1"/>
  <c r="AE34" i="174" s="1"/>
  <c r="BC34" i="174"/>
  <c r="AM34" i="174" s="1"/>
  <c r="AY34" i="174"/>
  <c r="G34" i="174" s="1"/>
  <c r="AZ34" i="174"/>
  <c r="O34" i="174" s="1"/>
  <c r="BA34" i="174"/>
  <c r="W34" i="174" s="1"/>
  <c r="R36" i="174"/>
  <c r="AT35" i="174"/>
  <c r="AU35" i="174" s="1"/>
  <c r="AV35" i="174"/>
  <c r="AW35" i="174" s="1" a="1"/>
  <c r="AW35" i="174" s="1"/>
  <c r="R37" i="174" l="1"/>
  <c r="AT36" i="174"/>
  <c r="AU36" i="174" s="1"/>
  <c r="AV36" i="174"/>
  <c r="AW36" i="174" s="1" a="1"/>
  <c r="AW36" i="174" s="1"/>
  <c r="BA35" i="174"/>
  <c r="W35" i="174" s="1"/>
  <c r="BB35" i="174"/>
  <c r="AE35" i="174" s="1"/>
  <c r="AZ35" i="174"/>
  <c r="O35" i="174" s="1"/>
  <c r="AY35" i="174"/>
  <c r="G35" i="174" s="1"/>
  <c r="BC35" i="174"/>
  <c r="AM35" i="174" s="1"/>
  <c r="BB36" i="174" l="1"/>
  <c r="AE36" i="174" s="1"/>
  <c r="AZ36" i="174"/>
  <c r="O36" i="174" s="1"/>
  <c r="BC36" i="174"/>
  <c r="AM36" i="174" s="1"/>
  <c r="BA36" i="174"/>
  <c r="W36" i="174" s="1"/>
  <c r="AY36" i="174"/>
  <c r="G36" i="174" s="1"/>
  <c r="R38" i="174"/>
  <c r="AV37" i="174"/>
  <c r="AW37" i="174" s="1" a="1"/>
  <c r="AW37" i="174" s="1"/>
  <c r="AT37" i="174"/>
  <c r="AU37" i="174" s="1"/>
  <c r="AY37" i="174" l="1"/>
  <c r="G37" i="174" s="1"/>
  <c r="BA37" i="174"/>
  <c r="W37" i="174" s="1"/>
  <c r="AZ37" i="174"/>
  <c r="O37" i="174" s="1"/>
  <c r="BB37" i="174"/>
  <c r="AE37" i="174" s="1"/>
  <c r="BC37" i="174"/>
  <c r="AM37" i="174" s="1"/>
  <c r="R39" i="174"/>
  <c r="AT38" i="174"/>
  <c r="AU38" i="174" s="1"/>
  <c r="AV38" i="174"/>
  <c r="AW38" i="174" s="1" a="1"/>
  <c r="AW38" i="174" s="1"/>
  <c r="R40" i="174" l="1"/>
  <c r="AT39" i="174"/>
  <c r="AU39" i="174" s="1"/>
  <c r="AV39" i="174"/>
  <c r="AW39" i="174" s="1" a="1"/>
  <c r="AW39" i="174" s="1"/>
  <c r="AZ38" i="174"/>
  <c r="O38" i="174" s="1"/>
  <c r="BB38" i="174"/>
  <c r="AE38" i="174" s="1"/>
  <c r="BA38" i="174"/>
  <c r="W38" i="174" s="1"/>
  <c r="BC38" i="174"/>
  <c r="AM38" i="174" s="1"/>
  <c r="AY38" i="174"/>
  <c r="G38" i="174" s="1"/>
  <c r="BA39" i="174" l="1"/>
  <c r="W39" i="174" s="1"/>
  <c r="AY39" i="174"/>
  <c r="G39" i="174" s="1"/>
  <c r="AZ39" i="174"/>
  <c r="O39" i="174" s="1"/>
  <c r="BC39" i="174"/>
  <c r="AM39" i="174" s="1"/>
  <c r="BB39" i="174"/>
  <c r="AE39" i="174" s="1"/>
  <c r="R41" i="174"/>
  <c r="AV40" i="174"/>
  <c r="AW40" i="174" s="1" a="1"/>
  <c r="AW40" i="174" s="1"/>
  <c r="AT40" i="174"/>
  <c r="AU40" i="174" s="1"/>
  <c r="AY40" i="174" l="1"/>
  <c r="G40" i="174" s="1"/>
  <c r="BA40" i="174"/>
  <c r="W40" i="174" s="1"/>
  <c r="AZ40" i="174"/>
  <c r="O40" i="174" s="1"/>
  <c r="BB40" i="174"/>
  <c r="AE40" i="174" s="1"/>
  <c r="BC40" i="174"/>
  <c r="AM40" i="174" s="1"/>
  <c r="R42" i="174"/>
  <c r="AV41" i="174"/>
  <c r="AW41" i="174" s="1" a="1"/>
  <c r="AW41" i="174" s="1"/>
  <c r="AT41" i="174"/>
  <c r="AU41" i="174" s="1"/>
  <c r="BA41" i="174" l="1"/>
  <c r="W41" i="174" s="1"/>
  <c r="BB41" i="174"/>
  <c r="AE41" i="174" s="1"/>
  <c r="AZ41" i="174"/>
  <c r="O41" i="174" s="1"/>
  <c r="AY41" i="174"/>
  <c r="G41" i="174" s="1"/>
  <c r="R43" i="174"/>
  <c r="AT42" i="174"/>
  <c r="AU42" i="174" s="1"/>
  <c r="AV42" i="174"/>
  <c r="AW42" i="174" s="1" a="1"/>
  <c r="AW42" i="174" s="1"/>
  <c r="BC41" i="174"/>
  <c r="AM41" i="174" s="1"/>
  <c r="BA42" i="174" l="1"/>
  <c r="W42" i="174" s="1"/>
  <c r="BB42" i="174"/>
  <c r="AE42" i="174" s="1"/>
  <c r="AY42" i="174"/>
  <c r="G42" i="174" s="1"/>
  <c r="AZ42" i="174"/>
  <c r="O42" i="174" s="1"/>
  <c r="BC42" i="174"/>
  <c r="AM42" i="174" s="1"/>
  <c r="AT43" i="174"/>
  <c r="AU43" i="174" s="1"/>
  <c r="AV43" i="174"/>
  <c r="AW43" i="174" s="1" a="1"/>
  <c r="AW43" i="174" s="1"/>
  <c r="R44" i="174"/>
  <c r="AY43" i="174" l="1"/>
  <c r="G43" i="174" s="1"/>
  <c r="BB43" i="174"/>
  <c r="AE43" i="174" s="1"/>
  <c r="BC43" i="174"/>
  <c r="AM43" i="174" s="1"/>
  <c r="AZ43" i="174"/>
  <c r="O43" i="174" s="1"/>
  <c r="BA43" i="174"/>
  <c r="W43" i="174" s="1"/>
  <c r="AV44" i="174"/>
  <c r="AW44" i="174" s="1" a="1"/>
  <c r="AW44" i="174" s="1"/>
  <c r="R45" i="174"/>
  <c r="AT44" i="174"/>
  <c r="AU44" i="174" s="1"/>
  <c r="R46" i="174" l="1"/>
  <c r="AV45" i="174"/>
  <c r="AW45" i="174" s="1" a="1"/>
  <c r="AW45" i="174" s="1"/>
  <c r="AT45" i="174"/>
  <c r="AU45" i="174" s="1"/>
  <c r="BC44" i="174"/>
  <c r="AM44" i="174" s="1"/>
  <c r="AZ44" i="174"/>
  <c r="O44" i="174" s="1"/>
  <c r="AY44" i="174"/>
  <c r="G44" i="174" s="1"/>
  <c r="BB44" i="174"/>
  <c r="AE44" i="174" s="1"/>
  <c r="BA44" i="174"/>
  <c r="W44" i="174" s="1"/>
  <c r="AY45" i="174" l="1"/>
  <c r="G45" i="174" s="1"/>
  <c r="BB45" i="174"/>
  <c r="AE45" i="174" s="1"/>
  <c r="BC45" i="174"/>
  <c r="AM45" i="174" s="1"/>
  <c r="BA45" i="174"/>
  <c r="W45" i="174" s="1"/>
  <c r="AZ45" i="174"/>
  <c r="O45" i="174" s="1"/>
  <c r="R47" i="174"/>
  <c r="AV46" i="174"/>
  <c r="AW46" i="174" s="1" a="1"/>
  <c r="AW46" i="174" s="1"/>
  <c r="AT46" i="174"/>
  <c r="AU46" i="174" s="1"/>
  <c r="BB46" i="174" l="1"/>
  <c r="AE46" i="174" s="1"/>
  <c r="AY46" i="174"/>
  <c r="G46" i="174" s="1"/>
  <c r="BA46" i="174"/>
  <c r="W46" i="174" s="1"/>
  <c r="AZ46" i="174"/>
  <c r="O46" i="174" s="1"/>
  <c r="BC46" i="174"/>
  <c r="AM46" i="174" s="1"/>
  <c r="R48" i="174"/>
  <c r="AV47" i="174"/>
  <c r="AW47" i="174" s="1" a="1"/>
  <c r="AW47" i="174" s="1"/>
  <c r="AT47" i="174"/>
  <c r="AU47" i="174" s="1"/>
  <c r="BB47" i="174" l="1"/>
  <c r="AE47" i="174" s="1"/>
  <c r="BC47" i="174"/>
  <c r="AM47" i="174" s="1"/>
  <c r="AZ47" i="174"/>
  <c r="O47" i="174" s="1"/>
  <c r="AY47" i="174"/>
  <c r="G47" i="174" s="1"/>
  <c r="BA47" i="174"/>
  <c r="W47" i="174" s="1"/>
  <c r="AT48" i="174"/>
  <c r="AU48" i="174" s="1"/>
  <c r="R49" i="174"/>
  <c r="AV48" i="174"/>
  <c r="AW48" i="174" s="1" a="1"/>
  <c r="AW48" i="174" s="1"/>
  <c r="R50" i="174" l="1"/>
  <c r="AV49" i="174"/>
  <c r="AW49" i="174" s="1" a="1"/>
  <c r="AW49" i="174" s="1"/>
  <c r="AT49" i="174"/>
  <c r="AU49" i="174" s="1"/>
  <c r="BB48" i="174"/>
  <c r="AE48" i="174" s="1"/>
  <c r="BC48" i="174"/>
  <c r="AM48" i="174" s="1"/>
  <c r="AZ48" i="174"/>
  <c r="O48" i="174" s="1"/>
  <c r="BA48" i="174"/>
  <c r="W48" i="174" s="1"/>
  <c r="AY48" i="174"/>
  <c r="G48" i="174" s="1"/>
  <c r="AZ49" i="174" l="1"/>
  <c r="O49" i="174" s="1"/>
  <c r="BC49" i="174"/>
  <c r="AM49" i="174" s="1"/>
  <c r="AY49" i="174"/>
  <c r="G49" i="174" s="1"/>
  <c r="BB49" i="174"/>
  <c r="AE49" i="174" s="1"/>
  <c r="BA49" i="174"/>
  <c r="W49" i="174" s="1"/>
  <c r="R51" i="174"/>
  <c r="AV50" i="174"/>
  <c r="AW50" i="174" s="1" a="1"/>
  <c r="AW50" i="174" s="1"/>
  <c r="AT50" i="174"/>
  <c r="AU50" i="174" s="1"/>
  <c r="BC50" i="174" l="1"/>
  <c r="AM50" i="174" s="1"/>
  <c r="AZ50" i="174"/>
  <c r="O50" i="174" s="1"/>
  <c r="BB50" i="174"/>
  <c r="AE50" i="174" s="1"/>
  <c r="BA50" i="174"/>
  <c r="W50" i="174" s="1"/>
  <c r="AY50" i="174"/>
  <c r="G50" i="174" s="1"/>
  <c r="AV51" i="174"/>
  <c r="AW51" i="174" s="1" a="1"/>
  <c r="AW51" i="174" s="1"/>
  <c r="R52" i="174"/>
  <c r="AT51" i="174"/>
  <c r="AU51" i="174" s="1"/>
  <c r="AT52" i="174" l="1"/>
  <c r="AU52" i="174" s="1"/>
  <c r="AV52" i="174"/>
  <c r="AW52" i="174" s="1" a="1"/>
  <c r="AW52" i="174" s="1"/>
  <c r="R53" i="174"/>
  <c r="BC51" i="174"/>
  <c r="AM51" i="174" s="1"/>
  <c r="BB51" i="174"/>
  <c r="AE51" i="174" s="1"/>
  <c r="AY51" i="174"/>
  <c r="G51" i="174" s="1"/>
  <c r="AZ51" i="174"/>
  <c r="O51" i="174" s="1"/>
  <c r="BA51" i="174"/>
  <c r="W51" i="174" s="1"/>
  <c r="AV53" i="174" l="1"/>
  <c r="AW53" i="174" s="1" a="1"/>
  <c r="AW53" i="174" s="1"/>
  <c r="R54" i="174"/>
  <c r="AT53" i="174"/>
  <c r="AU53" i="174" s="1"/>
  <c r="BA52" i="174"/>
  <c r="W52" i="174" s="1"/>
  <c r="AZ52" i="174"/>
  <c r="O52" i="174" s="1"/>
  <c r="AY52" i="174"/>
  <c r="G52" i="174" s="1"/>
  <c r="BB52" i="174"/>
  <c r="AE52" i="174" s="1"/>
  <c r="BC52" i="174"/>
  <c r="AM52" i="174" s="1"/>
  <c r="R55" i="174" l="1"/>
  <c r="AT54" i="174"/>
  <c r="AU54" i="174" s="1"/>
  <c r="AV54" i="174"/>
  <c r="AW54" i="174" s="1" a="1"/>
  <c r="AW54" i="174" s="1"/>
  <c r="BA53" i="174"/>
  <c r="W53" i="174" s="1"/>
  <c r="BB53" i="174"/>
  <c r="AE53" i="174" s="1"/>
  <c r="BC53" i="174"/>
  <c r="AM53" i="174" s="1"/>
  <c r="AY53" i="174"/>
  <c r="G53" i="174" s="1"/>
  <c r="AZ53" i="174"/>
  <c r="O53" i="174" s="1"/>
  <c r="BB54" i="174" l="1"/>
  <c r="AE54" i="174" s="1"/>
  <c r="BA54" i="174"/>
  <c r="W54" i="174" s="1"/>
  <c r="BC54" i="174"/>
  <c r="AM54" i="174" s="1"/>
  <c r="AY54" i="174"/>
  <c r="G54" i="174" s="1"/>
  <c r="AZ54" i="174"/>
  <c r="O54" i="174" s="1"/>
  <c r="R56" i="174"/>
  <c r="AV55" i="174"/>
  <c r="AW55" i="174" s="1" a="1"/>
  <c r="AW55" i="174" s="1"/>
  <c r="AT55" i="174"/>
  <c r="AU55" i="174" s="1"/>
  <c r="BB55" i="174" l="1"/>
  <c r="AE55" i="174" s="1"/>
  <c r="AZ55" i="174"/>
  <c r="O55" i="174" s="1"/>
  <c r="AY55" i="174"/>
  <c r="G55" i="174" s="1"/>
  <c r="BC55" i="174"/>
  <c r="AM55" i="174" s="1"/>
  <c r="BA55" i="174"/>
  <c r="W55" i="174" s="1"/>
  <c r="AT56" i="174"/>
  <c r="AU56" i="174" s="1"/>
  <c r="AV56" i="174"/>
  <c r="AW56" i="174" s="1" a="1"/>
  <c r="AW56" i="174" s="1"/>
  <c r="R57" i="174"/>
  <c r="BC56" i="174" l="1"/>
  <c r="AM56" i="174" s="1"/>
  <c r="AY56" i="174"/>
  <c r="G56" i="174" s="1"/>
  <c r="AZ56" i="174"/>
  <c r="O56" i="174" s="1"/>
  <c r="BB56" i="174"/>
  <c r="AE56" i="174" s="1"/>
  <c r="BA56" i="174"/>
  <c r="W56" i="174" s="1"/>
  <c r="AT57" i="174"/>
  <c r="AU57" i="174" s="1"/>
  <c r="R58" i="174"/>
  <c r="AV57" i="174"/>
  <c r="AW57" i="174" s="1" a="1"/>
  <c r="AW57" i="174" s="1"/>
  <c r="AZ57" i="174" l="1"/>
  <c r="O57" i="174" s="1"/>
  <c r="BC57" i="174"/>
  <c r="AM57" i="174" s="1"/>
  <c r="BA57" i="174"/>
  <c r="W57" i="174" s="1"/>
  <c r="BB57" i="174"/>
  <c r="AE57" i="174" s="1"/>
  <c r="AY57" i="174"/>
  <c r="G57" i="174" s="1"/>
  <c r="AV58" i="174"/>
  <c r="AW58" i="174" s="1" a="1"/>
  <c r="AW58" i="174" s="1"/>
  <c r="R59" i="174"/>
  <c r="AT58" i="174"/>
  <c r="AU58" i="174" s="1"/>
  <c r="AV59" i="174" l="1"/>
  <c r="AW59" i="174" s="1" a="1"/>
  <c r="AW59" i="174" s="1"/>
  <c r="AT59" i="174"/>
  <c r="AU59" i="174" s="1"/>
  <c r="R60" i="174"/>
  <c r="BA58" i="174"/>
  <c r="W58" i="174" s="1"/>
  <c r="BC58" i="174"/>
  <c r="AM58" i="174" s="1"/>
  <c r="AZ58" i="174"/>
  <c r="O58" i="174" s="1"/>
  <c r="AY58" i="174"/>
  <c r="G58" i="174" s="1"/>
  <c r="BB58" i="174"/>
  <c r="AE58" i="174" s="1"/>
  <c r="AT60" i="174" l="1"/>
  <c r="AU60" i="174" s="1"/>
  <c r="R61" i="174"/>
  <c r="AV60" i="174"/>
  <c r="AW60" i="174" s="1" a="1"/>
  <c r="AW60" i="174" s="1"/>
  <c r="AZ59" i="174"/>
  <c r="O59" i="174" s="1"/>
  <c r="BC59" i="174"/>
  <c r="AM59" i="174" s="1"/>
  <c r="AY59" i="174"/>
  <c r="G59" i="174" s="1"/>
  <c r="BA59" i="174"/>
  <c r="W59" i="174" s="1"/>
  <c r="BB59" i="174"/>
  <c r="AE59" i="174" s="1"/>
  <c r="BA60" i="174" l="1"/>
  <c r="W60" i="174" s="1"/>
  <c r="BC60" i="174"/>
  <c r="AM60" i="174" s="1"/>
  <c r="BB60" i="174"/>
  <c r="AE60" i="174" s="1"/>
  <c r="AY60" i="174"/>
  <c r="G60" i="174" s="1"/>
  <c r="AZ60" i="174"/>
  <c r="O60" i="174" s="1"/>
  <c r="AT61" i="174"/>
  <c r="AU61" i="174" s="1"/>
  <c r="AV61" i="174"/>
  <c r="AW61" i="174" s="1" a="1"/>
  <c r="AW61" i="174" s="1"/>
  <c r="R62" i="174"/>
  <c r="R63" i="174" l="1"/>
  <c r="AV62" i="174"/>
  <c r="AW62" i="174" s="1" a="1"/>
  <c r="AW62" i="174" s="1"/>
  <c r="AT62" i="174"/>
  <c r="AU62" i="174" s="1"/>
  <c r="BB61" i="174"/>
  <c r="AE61" i="174" s="1"/>
  <c r="AZ61" i="174"/>
  <c r="O61" i="174" s="1"/>
  <c r="BC61" i="174"/>
  <c r="AM61" i="174" s="1"/>
  <c r="BA61" i="174"/>
  <c r="W61" i="174" s="1"/>
  <c r="AY61" i="174"/>
  <c r="G61" i="174" s="1"/>
  <c r="BB62" i="174" l="1"/>
  <c r="AE62" i="174" s="1"/>
  <c r="BA62" i="174"/>
  <c r="W62" i="174" s="1"/>
  <c r="AY62" i="174"/>
  <c r="G62" i="174" s="1"/>
  <c r="BC62" i="174"/>
  <c r="AM62" i="174" s="1"/>
  <c r="AZ62" i="174"/>
  <c r="O62" i="174" s="1"/>
  <c r="AV63" i="174"/>
  <c r="AW63" i="174" s="1" a="1"/>
  <c r="AW63" i="174" s="1"/>
  <c r="AT63" i="174"/>
  <c r="AU63" i="174" s="1"/>
  <c r="R64" i="174"/>
  <c r="AY63" i="174" l="1"/>
  <c r="G63" i="174" s="1"/>
  <c r="BC63" i="174"/>
  <c r="AM63" i="174" s="1"/>
  <c r="BB63" i="174"/>
  <c r="AE63" i="174" s="1"/>
  <c r="AZ63" i="174"/>
  <c r="O63" i="174" s="1"/>
  <c r="BA63" i="174"/>
  <c r="W63" i="174" s="1"/>
  <c r="R65" i="174"/>
  <c r="AV64" i="174"/>
  <c r="AW64" i="174" s="1" a="1"/>
  <c r="AW64" i="174" s="1"/>
  <c r="AT64" i="174"/>
  <c r="AU64" i="174" s="1"/>
  <c r="AY64" i="174" l="1"/>
  <c r="G64" i="174" s="1"/>
  <c r="BB64" i="174"/>
  <c r="AE64" i="174" s="1"/>
  <c r="AZ64" i="174"/>
  <c r="O64" i="174" s="1"/>
  <c r="BA64" i="174"/>
  <c r="W64" i="174" s="1"/>
  <c r="BC64" i="174"/>
  <c r="AM64" i="174" s="1"/>
  <c r="AT65" i="174"/>
  <c r="AU65" i="174" s="1"/>
  <c r="AV65" i="174"/>
  <c r="AW65" i="174" s="1" a="1"/>
  <c r="AW65" i="174" s="1"/>
  <c r="R66" i="174"/>
  <c r="AV66" i="174" l="1"/>
  <c r="AW66" i="174" s="1" a="1"/>
  <c r="AW66" i="174" s="1"/>
  <c r="AT66" i="174"/>
  <c r="AU66" i="174" s="1"/>
  <c r="R67" i="174"/>
  <c r="AZ65" i="174"/>
  <c r="O65" i="174" s="1"/>
  <c r="BB65" i="174"/>
  <c r="AE65" i="174" s="1"/>
  <c r="BC65" i="174"/>
  <c r="AM65" i="174" s="1"/>
  <c r="BA65" i="174"/>
  <c r="W65" i="174" s="1"/>
  <c r="AY65" i="174"/>
  <c r="G65" i="174" s="1"/>
  <c r="R68" i="174" l="1"/>
  <c r="AV67" i="174"/>
  <c r="AW67" i="174" s="1" a="1"/>
  <c r="AW67" i="174" s="1"/>
  <c r="AT67" i="174"/>
  <c r="AU67" i="174" s="1"/>
  <c r="BA66" i="174"/>
  <c r="W66" i="174" s="1"/>
  <c r="AY66" i="174"/>
  <c r="G66" i="174" s="1"/>
  <c r="AZ66" i="174"/>
  <c r="O66" i="174" s="1"/>
  <c r="BC66" i="174"/>
  <c r="AM66" i="174" s="1"/>
  <c r="BB66" i="174"/>
  <c r="AE66" i="174" s="1"/>
  <c r="R69" i="174" l="1"/>
  <c r="AV68" i="174"/>
  <c r="AW68" i="174" s="1" a="1"/>
  <c r="AW68" i="174" s="1"/>
  <c r="AT68" i="174"/>
  <c r="AU68" i="174" s="1"/>
  <c r="BB67" i="174"/>
  <c r="AE67" i="174" s="1"/>
  <c r="BA67" i="174"/>
  <c r="W67" i="174" s="1"/>
  <c r="BC67" i="174"/>
  <c r="AM67" i="174" s="1"/>
  <c r="AZ67" i="174"/>
  <c r="O67" i="174" s="1"/>
  <c r="AY67" i="174"/>
  <c r="G67" i="174" s="1"/>
  <c r="AT69" i="174" l="1"/>
  <c r="AU69" i="174" s="1"/>
  <c r="AV69" i="174"/>
  <c r="AW69" i="174" s="1" a="1"/>
  <c r="AW69" i="174" s="1"/>
  <c r="R70" i="174"/>
  <c r="AY68" i="174"/>
  <c r="G68" i="174" s="1"/>
  <c r="AZ68" i="174"/>
  <c r="O68" i="174" s="1"/>
  <c r="BA68" i="174"/>
  <c r="W68" i="174" s="1"/>
  <c r="BB68" i="174"/>
  <c r="AE68" i="174" s="1"/>
  <c r="BC68" i="174"/>
  <c r="AM68" i="174" s="1"/>
  <c r="R71" i="174" l="1"/>
  <c r="AT70" i="174"/>
  <c r="AU70" i="174" s="1"/>
  <c r="AV70" i="174"/>
  <c r="AW70" i="174" s="1" a="1"/>
  <c r="AW70" i="174" s="1"/>
  <c r="AZ69" i="174"/>
  <c r="O69" i="174" s="1"/>
  <c r="BC69" i="174"/>
  <c r="AM69" i="174" s="1"/>
  <c r="AY69" i="174"/>
  <c r="G69" i="174" s="1"/>
  <c r="BB69" i="174"/>
  <c r="AE69" i="174" s="1"/>
  <c r="BA69" i="174"/>
  <c r="W69" i="174" s="1"/>
  <c r="R72" i="174" l="1"/>
  <c r="AT71" i="174"/>
  <c r="AU71" i="174" s="1"/>
  <c r="AV71" i="174"/>
  <c r="AW71" i="174" s="1" a="1"/>
  <c r="AW71" i="174" s="1"/>
  <c r="AY70" i="174"/>
  <c r="G70" i="174" s="1"/>
  <c r="AZ70" i="174"/>
  <c r="O70" i="174" s="1"/>
  <c r="BB70" i="174"/>
  <c r="AE70" i="174" s="1"/>
  <c r="BA70" i="174"/>
  <c r="W70" i="174" s="1"/>
  <c r="BC70" i="174"/>
  <c r="AM70" i="174" s="1"/>
  <c r="AZ71" i="174" l="1"/>
  <c r="O71" i="174" s="1"/>
  <c r="AY71" i="174"/>
  <c r="G71" i="174" s="1"/>
  <c r="BB71" i="174"/>
  <c r="AE71" i="174" s="1"/>
  <c r="BA71" i="174"/>
  <c r="W71" i="174" s="1"/>
  <c r="BC71" i="174"/>
  <c r="AM71" i="174" s="1"/>
  <c r="R73" i="174"/>
  <c r="AT72" i="174"/>
  <c r="AU72" i="174" s="1"/>
  <c r="AV72" i="174"/>
  <c r="AW72" i="174" s="1" a="1"/>
  <c r="AW72" i="174" s="1"/>
  <c r="AY72" i="174" l="1"/>
  <c r="G72" i="174" s="1"/>
  <c r="BA72" i="174"/>
  <c r="W72" i="174" s="1"/>
  <c r="BC72" i="174"/>
  <c r="AM72" i="174" s="1"/>
  <c r="AZ72" i="174"/>
  <c r="O72" i="174" s="1"/>
  <c r="BB72" i="174"/>
  <c r="AE72" i="174" s="1"/>
  <c r="AT73" i="174"/>
  <c r="AU73" i="174" s="1"/>
  <c r="R74" i="174"/>
  <c r="AV73" i="174"/>
  <c r="AW73" i="174" s="1" a="1"/>
  <c r="AW73" i="174" s="1"/>
  <c r="AZ73" i="174" l="1"/>
  <c r="O73" i="174" s="1"/>
  <c r="BC73" i="174"/>
  <c r="AM73" i="174" s="1"/>
  <c r="BA73" i="174"/>
  <c r="W73" i="174" s="1"/>
  <c r="BB73" i="174"/>
  <c r="AE73" i="174" s="1"/>
  <c r="AY73" i="174"/>
  <c r="G73" i="174" s="1"/>
  <c r="R75" i="174"/>
  <c r="AT74" i="174"/>
  <c r="AU74" i="174" s="1"/>
  <c r="AV74" i="174"/>
  <c r="AW74" i="174" s="1" a="1"/>
  <c r="AW74" i="174" s="1"/>
  <c r="AY74" i="174" l="1"/>
  <c r="G74" i="174" s="1"/>
  <c r="BB74" i="174"/>
  <c r="AE74" i="174" s="1"/>
  <c r="BA74" i="174"/>
  <c r="W74" i="174" s="1"/>
  <c r="AZ74" i="174"/>
  <c r="O74" i="174" s="1"/>
  <c r="BC74" i="174"/>
  <c r="AM74" i="174" s="1"/>
  <c r="AV75" i="174"/>
  <c r="AW75" i="174" s="1" a="1"/>
  <c r="AW75" i="174" s="1"/>
  <c r="R76" i="174"/>
  <c r="AT75" i="174"/>
  <c r="AU75" i="174" s="1"/>
  <c r="R77" i="174" l="1"/>
  <c r="AT76" i="174"/>
  <c r="AU76" i="174" s="1"/>
  <c r="AV76" i="174"/>
  <c r="AW76" i="174" s="1" a="1"/>
  <c r="AW76" i="174" s="1"/>
  <c r="BC75" i="174"/>
  <c r="AM75" i="174" s="1"/>
  <c r="BB75" i="174"/>
  <c r="AE75" i="174" s="1"/>
  <c r="AZ75" i="174"/>
  <c r="O75" i="174" s="1"/>
  <c r="BA75" i="174"/>
  <c r="W75" i="174" s="1"/>
  <c r="AY75" i="174"/>
  <c r="G75" i="174" s="1"/>
  <c r="BC76" i="174" l="1"/>
  <c r="AM76" i="174" s="1"/>
  <c r="BA76" i="174"/>
  <c r="W76" i="174" s="1"/>
  <c r="AY76" i="174"/>
  <c r="G76" i="174" s="1"/>
  <c r="BB76" i="174"/>
  <c r="AE76" i="174" s="1"/>
  <c r="AZ76" i="174"/>
  <c r="O76" i="174" s="1"/>
  <c r="R78" i="174"/>
  <c r="AV77" i="174"/>
  <c r="AW77" i="174" s="1" a="1"/>
  <c r="AW77" i="174" s="1"/>
  <c r="AT77" i="174"/>
  <c r="AU77" i="174" s="1"/>
  <c r="BB77" i="174" l="1"/>
  <c r="AE77" i="174" s="1"/>
  <c r="BA77" i="174"/>
  <c r="W77" i="174" s="1"/>
  <c r="BC77" i="174"/>
  <c r="AM77" i="174" s="1"/>
  <c r="AY77" i="174"/>
  <c r="G77" i="174" s="1"/>
  <c r="AZ77" i="174"/>
  <c r="O77" i="174" s="1"/>
  <c r="R79" i="174"/>
  <c r="AT78" i="174"/>
  <c r="AU78" i="174" s="1"/>
  <c r="AV78" i="174"/>
  <c r="AW78" i="174" s="1" a="1"/>
  <c r="AW78" i="174" s="1"/>
  <c r="BA78" i="174" l="1"/>
  <c r="W78" i="174" s="1"/>
  <c r="BC78" i="174"/>
  <c r="AM78" i="174" s="1"/>
  <c r="AZ78" i="174"/>
  <c r="O78" i="174" s="1"/>
  <c r="BB78" i="174"/>
  <c r="AE78" i="174" s="1"/>
  <c r="AY78" i="174"/>
  <c r="G78" i="174" s="1"/>
  <c r="R80" i="174"/>
  <c r="AV79" i="174"/>
  <c r="AW79" i="174" s="1" a="1"/>
  <c r="AW79" i="174" s="1"/>
  <c r="AT79" i="174"/>
  <c r="AU79" i="174" s="1"/>
  <c r="BC79" i="174" l="1"/>
  <c r="AM79" i="174" s="1"/>
  <c r="AZ79" i="174"/>
  <c r="O79" i="174" s="1"/>
  <c r="AY79" i="174"/>
  <c r="G79" i="174" s="1"/>
  <c r="BA79" i="174"/>
  <c r="W79" i="174" s="1"/>
  <c r="BB79" i="174"/>
  <c r="AE79" i="174" s="1"/>
  <c r="AV80" i="174"/>
  <c r="AW80" i="174" s="1" a="1"/>
  <c r="AW80" i="174" s="1"/>
  <c r="R81" i="174"/>
  <c r="AT80" i="174"/>
  <c r="AU80" i="174" s="1"/>
  <c r="R82" i="174" l="1"/>
  <c r="AV81" i="174"/>
  <c r="AW81" i="174" s="1" a="1"/>
  <c r="AW81" i="174" s="1"/>
  <c r="AT81" i="174"/>
  <c r="AU81" i="174" s="1"/>
  <c r="AZ80" i="174"/>
  <c r="O80" i="174" s="1"/>
  <c r="AY80" i="174"/>
  <c r="G80" i="174" s="1"/>
  <c r="BA80" i="174"/>
  <c r="W80" i="174" s="1"/>
  <c r="BB80" i="174"/>
  <c r="AE80" i="174" s="1"/>
  <c r="BC80" i="174"/>
  <c r="AM80" i="174" s="1"/>
  <c r="BB81" i="174" l="1"/>
  <c r="AE81" i="174" s="1"/>
  <c r="AZ81" i="174"/>
  <c r="O81" i="174" s="1"/>
  <c r="AY81" i="174"/>
  <c r="G81" i="174" s="1"/>
  <c r="BC81" i="174"/>
  <c r="AM81" i="174" s="1"/>
  <c r="BA81" i="174"/>
  <c r="W81" i="174" s="1"/>
  <c r="R83" i="174"/>
  <c r="AV82" i="174"/>
  <c r="AW82" i="174" s="1" a="1"/>
  <c r="AW82" i="174" s="1"/>
  <c r="AT82" i="174"/>
  <c r="AU82" i="174" s="1"/>
  <c r="BC82" i="174" l="1"/>
  <c r="AM82" i="174" s="1"/>
  <c r="AY82" i="174"/>
  <c r="G82" i="174" s="1"/>
  <c r="AZ82" i="174"/>
  <c r="O82" i="174" s="1"/>
  <c r="BA82" i="174"/>
  <c r="W82" i="174" s="1"/>
  <c r="BB82" i="174"/>
  <c r="AE82" i="174" s="1"/>
  <c r="AT83" i="174"/>
  <c r="AU83" i="174" s="1"/>
  <c r="AV83" i="174"/>
  <c r="AW83" i="174" s="1" a="1"/>
  <c r="AW83" i="174" s="1"/>
  <c r="R84" i="174"/>
  <c r="AV84" i="174" l="1"/>
  <c r="AW84" i="174" s="1" a="1"/>
  <c r="AW84" i="174" s="1"/>
  <c r="R85" i="174"/>
  <c r="AT84" i="174"/>
  <c r="AU84" i="174" s="1"/>
  <c r="BB83" i="174"/>
  <c r="AE83" i="174" s="1"/>
  <c r="BA83" i="174"/>
  <c r="W83" i="174" s="1"/>
  <c r="AZ83" i="174"/>
  <c r="O83" i="174" s="1"/>
  <c r="BC83" i="174"/>
  <c r="AM83" i="174" s="1"/>
  <c r="AY83" i="174"/>
  <c r="G83" i="174" s="1"/>
  <c r="AV85" i="174" l="1"/>
  <c r="AW85" i="174" s="1" a="1"/>
  <c r="AW85" i="174" s="1"/>
  <c r="AT85" i="174"/>
  <c r="AU85" i="174" s="1"/>
  <c r="R86" i="174"/>
  <c r="AY84" i="174"/>
  <c r="G84" i="174" s="1"/>
  <c r="BA84" i="174"/>
  <c r="W84" i="174" s="1"/>
  <c r="BC84" i="174"/>
  <c r="AM84" i="174" s="1"/>
  <c r="BB84" i="174"/>
  <c r="AE84" i="174" s="1"/>
  <c r="AZ84" i="174"/>
  <c r="O84" i="174" s="1"/>
  <c r="AV86" i="174" l="1"/>
  <c r="AW86" i="174" s="1" a="1"/>
  <c r="AW86" i="174" s="1"/>
  <c r="R87" i="174"/>
  <c r="AT86" i="174"/>
  <c r="AU86" i="174" s="1"/>
  <c r="BB85" i="174"/>
  <c r="AE85" i="174" s="1"/>
  <c r="BA85" i="174"/>
  <c r="W85" i="174" s="1"/>
  <c r="AY85" i="174"/>
  <c r="G85" i="174" s="1"/>
  <c r="BC85" i="174"/>
  <c r="AM85" i="174" s="1"/>
  <c r="AZ85" i="174"/>
  <c r="O85" i="174" s="1"/>
  <c r="AT87" i="174" l="1"/>
  <c r="AU87" i="174" s="1"/>
  <c r="AV87" i="174"/>
  <c r="AW87" i="174" s="1" a="1"/>
  <c r="AW87" i="174" s="1"/>
  <c r="R88" i="174"/>
  <c r="AY86" i="174"/>
  <c r="G86" i="174" s="1"/>
  <c r="BA86" i="174"/>
  <c r="W86" i="174" s="1"/>
  <c r="AZ86" i="174"/>
  <c r="O86" i="174" s="1"/>
  <c r="BC86" i="174"/>
  <c r="AM86" i="174" s="1"/>
  <c r="BB86" i="174"/>
  <c r="AE86" i="174" s="1"/>
  <c r="AT88" i="174" l="1"/>
  <c r="AU88" i="174" s="1"/>
  <c r="R89" i="174"/>
  <c r="AV88" i="174"/>
  <c r="AW88" i="174" s="1" a="1"/>
  <c r="AW88" i="174" s="1"/>
  <c r="BC87" i="174"/>
  <c r="AM87" i="174" s="1"/>
  <c r="BB87" i="174"/>
  <c r="AE87" i="174" s="1"/>
  <c r="AY87" i="174"/>
  <c r="G87" i="174" s="1"/>
  <c r="BA87" i="174"/>
  <c r="W87" i="174" s="1"/>
  <c r="AZ87" i="174"/>
  <c r="O87" i="174" s="1"/>
  <c r="BC88" i="174" l="1"/>
  <c r="BA88" i="174"/>
  <c r="BB88" i="174"/>
  <c r="AZ88" i="174"/>
  <c r="AY88" i="174"/>
  <c r="R90" i="174"/>
  <c r="AV89" i="174"/>
  <c r="AW89" i="174" s="1" a="1"/>
  <c r="AW89" i="174" s="1"/>
  <c r="AT89" i="174"/>
  <c r="AU89" i="174" s="1"/>
  <c r="AZ89" i="174" l="1"/>
  <c r="BA89" i="174"/>
  <c r="BC89" i="174"/>
  <c r="AY89" i="174"/>
  <c r="BB89" i="174"/>
  <c r="R91" i="174"/>
  <c r="AT90" i="174"/>
  <c r="AU90" i="174" s="1"/>
  <c r="AV90" i="174"/>
  <c r="AW90" i="174" s="1" a="1"/>
  <c r="AW90" i="174" s="1"/>
  <c r="AY90" i="174" l="1"/>
  <c r="BB90" i="174"/>
  <c r="BA90" i="174"/>
  <c r="AZ90" i="174"/>
  <c r="BC90" i="174"/>
  <c r="R92" i="174"/>
  <c r="AV91" i="174"/>
  <c r="AW91" i="174" s="1" a="1"/>
  <c r="AW91" i="174" s="1"/>
  <c r="AT91" i="174"/>
  <c r="AU91" i="174" s="1"/>
  <c r="AZ91" i="174" l="1"/>
  <c r="BB91" i="174"/>
  <c r="BA91" i="174"/>
  <c r="BC91" i="174"/>
  <c r="AY91" i="174"/>
  <c r="R93" i="174"/>
  <c r="AT92" i="174"/>
  <c r="AU92" i="174" s="1"/>
  <c r="AV92" i="174"/>
  <c r="AW92" i="174" s="1" a="1"/>
  <c r="AW92" i="174" s="1"/>
  <c r="BC92" i="174" l="1"/>
  <c r="AY92" i="174"/>
  <c r="AZ92" i="174"/>
  <c r="BB92" i="174"/>
  <c r="BA92" i="174"/>
  <c r="AV93" i="174"/>
  <c r="AW93" i="174" s="1" a="1"/>
  <c r="AW93" i="174" s="1"/>
  <c r="R94" i="174"/>
  <c r="AT93" i="174"/>
  <c r="AU93" i="174" s="1"/>
  <c r="AV94" i="174" l="1"/>
  <c r="AW94" i="174" s="1" a="1"/>
  <c r="AW94" i="174" s="1"/>
  <c r="R95" i="174"/>
  <c r="AT94" i="174"/>
  <c r="AU94" i="174" s="1"/>
  <c r="AZ93" i="174"/>
  <c r="BC93" i="174"/>
  <c r="BA93" i="174"/>
  <c r="BB93" i="174"/>
  <c r="AY93" i="174"/>
  <c r="AV95" i="174" l="1"/>
  <c r="AW95" i="174" s="1" a="1"/>
  <c r="AW95" i="174" s="1"/>
  <c r="R96" i="174"/>
  <c r="AT95" i="174"/>
  <c r="AU95" i="174" s="1"/>
  <c r="BB94" i="174"/>
  <c r="BA94" i="174"/>
  <c r="BC94" i="174"/>
  <c r="AY94" i="174"/>
  <c r="AZ94" i="174"/>
  <c r="R97" i="174" l="1"/>
  <c r="AV96" i="174"/>
  <c r="AW96" i="174" s="1" a="1"/>
  <c r="AW96" i="174" s="1"/>
  <c r="AT96" i="174"/>
  <c r="AU96" i="174" s="1"/>
  <c r="BA95" i="174"/>
  <c r="BC95" i="174"/>
  <c r="AZ95" i="174"/>
  <c r="AY95" i="174"/>
  <c r="BB95" i="174"/>
  <c r="BC96" i="174" l="1"/>
  <c r="BA96" i="174"/>
  <c r="AY96" i="174"/>
  <c r="BB96" i="174"/>
  <c r="AZ96" i="174"/>
  <c r="R98" i="174"/>
  <c r="AV97" i="174"/>
  <c r="AW97" i="174" s="1" a="1"/>
  <c r="AW97" i="174" s="1"/>
  <c r="AT97" i="174"/>
  <c r="AU97" i="174" s="1"/>
  <c r="AY97" i="174" l="1"/>
  <c r="BC97" i="174"/>
  <c r="AZ97" i="174"/>
  <c r="BA97" i="174"/>
  <c r="BB97" i="174"/>
  <c r="AT98" i="174"/>
  <c r="AU98" i="174" s="1"/>
  <c r="R99" i="174"/>
  <c r="AV98" i="174"/>
  <c r="AW98" i="174" s="1" a="1"/>
  <c r="AW98" i="174" s="1"/>
  <c r="BC98" i="174" l="1"/>
  <c r="AY98" i="174"/>
  <c r="BB98" i="174"/>
  <c r="BA98" i="174"/>
  <c r="AZ98" i="174"/>
  <c r="AV99" i="174"/>
  <c r="AW99" i="174" s="1" a="1"/>
  <c r="AW99" i="174" s="1"/>
  <c r="R100" i="174"/>
  <c r="AT99" i="174"/>
  <c r="AU99" i="174" s="1"/>
  <c r="AT100" i="174" l="1"/>
  <c r="AU100" i="174" s="1"/>
  <c r="R101" i="174"/>
  <c r="AV100" i="174"/>
  <c r="AW100" i="174" s="1" a="1"/>
  <c r="AW100" i="174" s="1"/>
  <c r="AZ99" i="174"/>
  <c r="BA99" i="174"/>
  <c r="AY99" i="174"/>
  <c r="BB99" i="174"/>
  <c r="BC99" i="174"/>
  <c r="AZ100" i="174" l="1"/>
  <c r="BC100" i="174"/>
  <c r="BB100" i="174"/>
  <c r="AY100" i="174"/>
  <c r="BA100" i="174"/>
  <c r="R102" i="174"/>
  <c r="AV101" i="174"/>
  <c r="AW101" i="174" s="1" a="1"/>
  <c r="AW101" i="174" s="1"/>
  <c r="AT101" i="174"/>
  <c r="AU101" i="174" s="1"/>
  <c r="AZ101" i="174" l="1"/>
  <c r="BC101" i="174"/>
  <c r="BB101" i="174"/>
  <c r="AY101" i="174"/>
  <c r="BA101" i="174"/>
  <c r="R103" i="174"/>
  <c r="AV102" i="174"/>
  <c r="AW102" i="174" s="1" a="1"/>
  <c r="AW102" i="174" s="1"/>
  <c r="AT102" i="174"/>
  <c r="AU102" i="174" s="1"/>
  <c r="BB102" i="174" l="1"/>
  <c r="AY102" i="174"/>
  <c r="AZ102" i="174"/>
  <c r="BC102" i="174"/>
  <c r="BA102" i="174"/>
  <c r="AT103" i="174"/>
  <c r="AU103" i="174" s="1"/>
  <c r="R104" i="174"/>
  <c r="AV103" i="174"/>
  <c r="AW103" i="174" s="1" a="1"/>
  <c r="AW103" i="174" s="1"/>
  <c r="AT104" i="174" l="1"/>
  <c r="AU104" i="174" s="1"/>
  <c r="R105" i="174"/>
  <c r="AV104" i="174"/>
  <c r="AW104" i="174" s="1" a="1"/>
  <c r="AW104" i="174" s="1"/>
  <c r="BA103" i="174"/>
  <c r="BB103" i="174"/>
  <c r="BC103" i="174"/>
  <c r="AY103" i="174"/>
  <c r="AZ103" i="174"/>
  <c r="AZ104" i="174" l="1"/>
  <c r="BB104" i="174"/>
  <c r="BC104" i="174"/>
  <c r="AY104" i="174"/>
  <c r="BA104" i="174"/>
  <c r="R106" i="174"/>
  <c r="AV105" i="174"/>
  <c r="AW105" i="174" s="1" a="1"/>
  <c r="AW105" i="174" s="1"/>
  <c r="AT105" i="174"/>
  <c r="AU105" i="174" s="1"/>
  <c r="AZ105" i="174" l="1"/>
  <c r="AY105" i="174"/>
  <c r="BC105" i="174"/>
  <c r="BB105" i="174"/>
  <c r="BA105" i="174"/>
  <c r="AT106" i="174"/>
  <c r="AU106" i="174" s="1"/>
  <c r="AV106" i="174"/>
  <c r="AW106" i="174" s="1" a="1"/>
  <c r="AW106" i="174" s="1"/>
  <c r="R107" i="174"/>
  <c r="R108" i="174" l="1"/>
  <c r="AT107" i="174"/>
  <c r="AU107" i="174" s="1"/>
  <c r="AV107" i="174"/>
  <c r="AW107" i="174" s="1" a="1"/>
  <c r="AW107" i="174" s="1"/>
  <c r="AY106" i="174"/>
  <c r="BC106" i="174"/>
  <c r="BB106" i="174"/>
  <c r="BA106" i="174"/>
  <c r="AZ106" i="174"/>
  <c r="BA107" i="174" l="1"/>
  <c r="BC107" i="174"/>
  <c r="BB107" i="174"/>
  <c r="AZ107" i="174"/>
  <c r="AY107" i="174"/>
  <c r="AV108" i="174"/>
  <c r="AW108" i="174" s="1" a="1"/>
  <c r="AW108" i="174" s="1"/>
  <c r="R109" i="174"/>
  <c r="AT108" i="174"/>
  <c r="AU108" i="174" s="1"/>
  <c r="AV109" i="174" l="1"/>
  <c r="AW109" i="174" s="1" a="1"/>
  <c r="AW109" i="174" s="1"/>
  <c r="AT109" i="174"/>
  <c r="AU109" i="174" s="1"/>
  <c r="R110" i="174"/>
  <c r="BB108" i="174"/>
  <c r="AZ108" i="174"/>
  <c r="BC108" i="174"/>
  <c r="BA108" i="174"/>
  <c r="AY108" i="174"/>
  <c r="R111" i="174" l="1"/>
  <c r="AT110" i="174"/>
  <c r="AU110" i="174" s="1"/>
  <c r="AV110" i="174"/>
  <c r="AW110" i="174" s="1" a="1"/>
  <c r="AW110" i="174" s="1"/>
  <c r="BA109" i="174"/>
  <c r="BC109" i="174"/>
  <c r="AZ109" i="174"/>
  <c r="AY109" i="174"/>
  <c r="BB109" i="174"/>
  <c r="BB110" i="174" l="1"/>
  <c r="BA110" i="174"/>
  <c r="AZ110" i="174"/>
  <c r="AY110" i="174"/>
  <c r="BC110" i="174"/>
  <c r="R112" i="174"/>
  <c r="AV111" i="174"/>
  <c r="AW111" i="174" s="1" a="1"/>
  <c r="AW111" i="174" s="1"/>
  <c r="AT111" i="174"/>
  <c r="AU111" i="174" s="1"/>
  <c r="R113" i="174" l="1"/>
  <c r="AT112" i="174"/>
  <c r="AU112" i="174" s="1"/>
  <c r="AV112" i="174"/>
  <c r="AW112" i="174" s="1" a="1"/>
  <c r="AW112" i="174" s="1"/>
  <c r="BC111" i="174"/>
  <c r="BA111" i="174"/>
  <c r="AZ111" i="174"/>
  <c r="AY111" i="174"/>
  <c r="BB111" i="174"/>
  <c r="AY112" i="174" l="1"/>
  <c r="AZ112" i="174"/>
  <c r="BA112" i="174"/>
  <c r="BB112" i="174"/>
  <c r="BC112" i="174"/>
  <c r="R114" i="174"/>
  <c r="AT113" i="174"/>
  <c r="AU113" i="174" s="1"/>
  <c r="AV113" i="174"/>
  <c r="AW113" i="174" s="1" a="1"/>
  <c r="AW113" i="174" s="1"/>
  <c r="BB113" i="174" l="1"/>
  <c r="BA113" i="174"/>
  <c r="AZ113" i="174"/>
  <c r="AY113" i="174"/>
  <c r="BC113" i="174"/>
  <c r="AT114" i="174"/>
  <c r="AU114" i="174" s="1"/>
  <c r="R115" i="174"/>
  <c r="AV114" i="174"/>
  <c r="AW114" i="174" s="1" a="1"/>
  <c r="AW114" i="174" s="1"/>
  <c r="AT115" i="174" l="1"/>
  <c r="AU115" i="174" s="1"/>
  <c r="AV115" i="174"/>
  <c r="AW115" i="174" s="1" a="1"/>
  <c r="AW115" i="174" s="1"/>
  <c r="R116" i="174"/>
  <c r="BA114" i="174"/>
  <c r="BB114" i="174"/>
  <c r="AZ114" i="174"/>
  <c r="AY114" i="174"/>
  <c r="BC114" i="174"/>
  <c r="AT116" i="174" l="1"/>
  <c r="AU116" i="174" s="1"/>
  <c r="R117" i="174"/>
  <c r="AV116" i="174"/>
  <c r="AW116" i="174" s="1" a="1"/>
  <c r="AW116" i="174" s="1"/>
  <c r="AZ115" i="174"/>
  <c r="BA115" i="174"/>
  <c r="AY115" i="174"/>
  <c r="BB115" i="174"/>
  <c r="BC115" i="174"/>
  <c r="BC116" i="174" l="1"/>
  <c r="AY116" i="174"/>
  <c r="BA116" i="174"/>
  <c r="AZ116" i="174"/>
  <c r="BB116" i="174"/>
  <c r="AV117" i="174"/>
  <c r="AW117" i="174" s="1" a="1"/>
  <c r="AW117" i="174" s="1"/>
  <c r="AT117" i="174"/>
  <c r="AU117" i="174" s="1"/>
  <c r="R118" i="174"/>
  <c r="R119" i="174" l="1"/>
  <c r="AV118" i="174"/>
  <c r="AW118" i="174" s="1" a="1"/>
  <c r="AW118" i="174" s="1"/>
  <c r="AT118" i="174"/>
  <c r="AU118" i="174" s="1"/>
  <c r="BC117" i="174"/>
  <c r="AY117" i="174"/>
  <c r="AZ117" i="174"/>
  <c r="BB117" i="174"/>
  <c r="BA117" i="174"/>
  <c r="BA118" i="174" l="1"/>
  <c r="AY118" i="174"/>
  <c r="AZ118" i="174"/>
  <c r="BB118" i="174"/>
  <c r="BC118" i="174"/>
  <c r="AV119" i="174"/>
  <c r="AW119" i="174" s="1" a="1"/>
  <c r="AW119" i="174" s="1"/>
  <c r="AT119" i="174"/>
  <c r="AU119" i="174" s="1"/>
  <c r="R120" i="174"/>
  <c r="R121" i="174" l="1"/>
  <c r="AV120" i="174"/>
  <c r="AW120" i="174" s="1" a="1"/>
  <c r="AW120" i="174" s="1"/>
  <c r="AT120" i="174"/>
  <c r="AU120" i="174" s="1"/>
  <c r="BA119" i="174"/>
  <c r="BC119" i="174"/>
  <c r="BB119" i="174"/>
  <c r="AY119" i="174"/>
  <c r="AZ119" i="174"/>
  <c r="AY120" i="174" l="1"/>
  <c r="BB120" i="174"/>
  <c r="BC120" i="174"/>
  <c r="BA120" i="174"/>
  <c r="AZ120" i="174"/>
  <c r="AV121" i="174"/>
  <c r="AW121" i="174" s="1" a="1"/>
  <c r="AW121" i="174" s="1"/>
  <c r="AT121" i="174"/>
  <c r="AU121" i="174" s="1"/>
  <c r="R122" i="174"/>
  <c r="R123" i="174" l="1"/>
  <c r="AV122" i="174"/>
  <c r="AW122" i="174" s="1" a="1"/>
  <c r="AW122" i="174" s="1"/>
  <c r="AT122" i="174"/>
  <c r="AU122" i="174" s="1"/>
  <c r="AY121" i="174"/>
  <c r="BB121" i="174"/>
  <c r="BA121" i="174"/>
  <c r="AZ121" i="174"/>
  <c r="BC121" i="174"/>
  <c r="BA122" i="174" l="1"/>
  <c r="BB122" i="174"/>
  <c r="AZ122" i="174"/>
  <c r="AY122" i="174"/>
  <c r="BC122" i="174"/>
  <c r="R124" i="174"/>
  <c r="AV123" i="174"/>
  <c r="AW123" i="174" s="1" a="1"/>
  <c r="AW123" i="174" s="1"/>
  <c r="AT123" i="174"/>
  <c r="AU123" i="174" s="1"/>
  <c r="BC123" i="174" l="1"/>
  <c r="BA123" i="174"/>
  <c r="AY123" i="174"/>
  <c r="BB123" i="174"/>
  <c r="AZ123" i="174"/>
  <c r="AV124" i="174"/>
  <c r="AW124" i="174" s="1" a="1"/>
  <c r="AW124" i="174" s="1"/>
  <c r="R125" i="174"/>
  <c r="AT124" i="174"/>
  <c r="AU124" i="174" s="1"/>
  <c r="AZ124" i="174" l="1"/>
  <c r="BA124" i="174"/>
  <c r="BB124" i="174"/>
  <c r="AY124" i="174"/>
  <c r="BC124" i="174"/>
  <c r="R126" i="174"/>
  <c r="AV125" i="174"/>
  <c r="AW125" i="174" s="1" a="1"/>
  <c r="AW125" i="174" s="1"/>
  <c r="AT125" i="174"/>
  <c r="AU125" i="174" s="1"/>
  <c r="AY125" i="174" l="1"/>
  <c r="AZ125" i="174"/>
  <c r="BA125" i="174"/>
  <c r="BB125" i="174"/>
  <c r="BC125" i="174"/>
  <c r="AV126" i="174"/>
  <c r="AW126" i="174" s="1" a="1"/>
  <c r="AW126" i="174" s="1"/>
  <c r="AT126" i="174"/>
  <c r="AU126" i="174" s="1"/>
  <c r="R127" i="174"/>
  <c r="AT127" i="174" l="1"/>
  <c r="AU127" i="174" s="1"/>
  <c r="R128" i="174"/>
  <c r="AV127" i="174"/>
  <c r="AW127" i="174" s="1" a="1"/>
  <c r="AW127" i="174" s="1"/>
  <c r="BC126" i="174"/>
  <c r="BA126" i="174"/>
  <c r="AY126" i="174"/>
  <c r="BB126" i="174"/>
  <c r="AZ126" i="174"/>
  <c r="AY127" i="174" l="1"/>
  <c r="AZ127" i="174"/>
  <c r="BB127" i="174"/>
  <c r="BC127" i="174"/>
  <c r="BA127" i="174"/>
  <c r="AV128" i="174"/>
  <c r="AW128" i="174" s="1" a="1"/>
  <c r="AW128" i="174" s="1"/>
  <c r="AT128" i="174"/>
  <c r="AU128" i="174" s="1"/>
  <c r="R129" i="174"/>
  <c r="AY128" i="174" l="1"/>
  <c r="BC128" i="174"/>
  <c r="AZ128" i="174"/>
  <c r="BB128" i="174"/>
  <c r="BA128" i="174"/>
  <c r="AV129" i="174"/>
  <c r="AW129" i="174" s="1" a="1"/>
  <c r="AW129" i="174" s="1"/>
  <c r="R130" i="174"/>
  <c r="AT129" i="174"/>
  <c r="AU129" i="174" s="1"/>
  <c r="AV130" i="174" l="1"/>
  <c r="AW130" i="174" s="1" a="1"/>
  <c r="AW130" i="174" s="1"/>
  <c r="AT130" i="174"/>
  <c r="AU130" i="174" s="1"/>
  <c r="R131" i="174"/>
  <c r="AY129" i="174"/>
  <c r="AZ129" i="174"/>
  <c r="BA129" i="174"/>
  <c r="BB129" i="174"/>
  <c r="BC129" i="174"/>
  <c r="R132" i="174" l="1"/>
  <c r="AT131" i="174"/>
  <c r="AU131" i="174" s="1"/>
  <c r="AV131" i="174"/>
  <c r="AW131" i="174" s="1" a="1"/>
  <c r="AW131" i="174" s="1"/>
  <c r="AZ130" i="174"/>
  <c r="BC130" i="174"/>
  <c r="BB130" i="174"/>
  <c r="AY130" i="174"/>
  <c r="BA130" i="174"/>
  <c r="BB131" i="174" l="1"/>
  <c r="AZ131" i="174"/>
  <c r="AY131" i="174"/>
  <c r="BA131" i="174"/>
  <c r="BC131" i="174"/>
  <c r="AV132" i="174"/>
  <c r="AW132" i="174" s="1" a="1"/>
  <c r="AW132" i="174" s="1"/>
  <c r="AT132" i="174"/>
  <c r="AU132" i="174" s="1"/>
  <c r="AZ132" i="174" l="1"/>
  <c r="BA132" i="174"/>
  <c r="AY132" i="174"/>
  <c r="BC132" i="174"/>
  <c r="BB132" i="174"/>
  <c r="D15" i="37" l="1"/>
  <c r="C15" i="37"/>
  <c r="B15" i="37"/>
  <c r="D14" i="37"/>
  <c r="C14" i="37"/>
  <c r="B14" i="37"/>
  <c r="D13" i="37"/>
  <c r="C13" i="37"/>
  <c r="B13" i="37"/>
  <c r="D12" i="37"/>
  <c r="C12" i="37"/>
  <c r="B12" i="37"/>
  <c r="D11" i="37"/>
  <c r="C11" i="37"/>
  <c r="B11" i="37"/>
  <c r="D10" i="37"/>
  <c r="C10" i="37"/>
  <c r="B10" i="37"/>
  <c r="D9" i="37"/>
  <c r="C9" i="37"/>
  <c r="B9" i="37"/>
  <c r="D8" i="37"/>
  <c r="C8" i="37"/>
  <c r="B8" i="37"/>
  <c r="D7" i="37"/>
  <c r="C7" i="37"/>
  <c r="B7" i="37"/>
  <c r="D6" i="37"/>
  <c r="C6" i="37"/>
  <c r="B6" i="37"/>
  <c r="D5" i="37"/>
  <c r="C5" i="37"/>
  <c r="B5"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63652E-BB55-45DB-80B2-93555CB1A4A6}" keepAlive="1" name="Query - CCE FTR Trades" description="Connection to the 'CCE FTR Trades' query in the workbook." type="5" refreshedVersion="8" background="1" saveData="1">
    <dbPr connection="Provider=Microsoft.Mashup.OleDb.1;Data Source=$Workbook$;Location=&quot;CCE FTR Trades&quot;;Extended Properties=&quot;&quot;" command="SELECT * FROM [CCE FTR Trades]"/>
  </connection>
  <connection id="2" xr16:uid="{D90B36CA-97AB-4A59-BBD8-11A6587D1608}" keepAlive="1" name="Query - CCE Gas Basis Trades" description="Connection to the 'CCE Gas Basis Trades' query in the workbook." type="5" refreshedVersion="8" background="1" saveData="1">
    <dbPr connection="Provider=Microsoft.Mashup.OleDb.1;Data Source=$Workbook$;Location=&quot;CCE Gas Basis Trades&quot;;Extended Properties=&quot;&quot;" command="SELECT * FROM [CCE Gas Basis Trades]"/>
  </connection>
  <connection id="3" xr16:uid="{0179D558-1AE6-4C38-BF1D-D568BAF4B995}" keepAlive="1" name="Query - CCE Trades Gas" description="Connection to the 'CCE Trades Gas' query in the workbook." type="5" refreshedVersion="8" background="1" saveData="1">
    <dbPr connection="Provider=Microsoft.Mashup.OleDb.1;Data Source=$Workbook$;Location=&quot;CCE Trades Gas&quot;;Extended Properties=&quot;&quot;" command="SELECT * FROM [CCE Trades Gas]"/>
  </connection>
  <connection id="4" xr16:uid="{0970945F-C857-4F28-A7EB-B4400FFBFF4A}" keepAlive="1" name="Query - CCE Trades Power" description="Connection to the 'CCE Trades Power' query in the workbook." type="5" refreshedVersion="8" background="1" saveData="1">
    <dbPr connection="Provider=Microsoft.Mashup.OleDb.1;Data Source=$Workbook$;Location=&quot;CCE Trades Power&quot;;Extended Properties=&quot;&quot;" command="SELECT * FROM [CCE Trades Powe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<sst xmlns="http://schemas.openxmlformats.org/spreadsheetml/2006/main" count="78" uniqueCount="51">
  <si>
    <t>Delta</t>
  </si>
  <si>
    <t>9/3/10 Valuation Date</t>
  </si>
  <si>
    <t>8/31/10 Valuation Date</t>
  </si>
  <si>
    <t>Sensitivity of Spark Spread</t>
  </si>
  <si>
    <t>Date</t>
  </si>
  <si>
    <t>Year</t>
  </si>
  <si>
    <t>GTs</t>
  </si>
  <si>
    <t>Jets</t>
  </si>
  <si>
    <t>Hydros</t>
  </si>
  <si>
    <t>Gross Margin of Merchant Energy ($)</t>
  </si>
  <si>
    <t>Ocean Peaking</t>
  </si>
  <si>
    <t>Rock Springs</t>
  </si>
  <si>
    <t>ML HROs</t>
  </si>
  <si>
    <t>JCPL Hedges</t>
  </si>
  <si>
    <t>PJM</t>
  </si>
  <si>
    <t>NEMA</t>
  </si>
  <si>
    <t>WS3</t>
  </si>
  <si>
    <t>Total Gross Margin of Merchant Energy ($)</t>
  </si>
  <si>
    <t>Henry Hub</t>
  </si>
  <si>
    <t>Dominion South</t>
  </si>
  <si>
    <t xml:space="preserve"> </t>
  </si>
  <si>
    <t>F</t>
  </si>
  <si>
    <t>G</t>
  </si>
  <si>
    <t>J</t>
  </si>
  <si>
    <t>N</t>
  </si>
  <si>
    <t>Month</t>
  </si>
  <si>
    <t>AD Hub On Peak</t>
  </si>
  <si>
    <t>AD Hub Off Peak</t>
  </si>
  <si>
    <t>Code</t>
  </si>
  <si>
    <t>ADB 1!-IUS</t>
  </si>
  <si>
    <t>ADD 1!-IUS</t>
  </si>
  <si>
    <t>HNG 1!-IUS</t>
  </si>
  <si>
    <t>DOM 1!-IUS</t>
  </si>
  <si>
    <t>H</t>
  </si>
  <si>
    <t>K</t>
  </si>
  <si>
    <t>M</t>
  </si>
  <si>
    <t>Q</t>
  </si>
  <si>
    <t>U</t>
  </si>
  <si>
    <t>V</t>
  </si>
  <si>
    <t>X</t>
  </si>
  <si>
    <t>Z</t>
  </si>
  <si>
    <t>允䅁䅁䅯䅁䍁䅁䅁䅁䕁䅁䅁杆䅁䑁䅅䅍癁䑁䅁免癁䑁䅉䅍硁䑁䅧䅁䙁䅁䅁杆䅁䑁䅅䅍癁䑁䅍免癁䑁䅉䅍硁䑁䅧䅁䝁䅁䅁䅎䅁䕁䅍睢瑂䝁䄰睢歂䝁䅫䅤灂䝁䅕督畁䕁䅧兡穂䡁䅑睢祂䡁䅫杌卂䝁䅅杢湂䝁䅕䅁䅁䅁䅁杂䅁䕁䅕䅖䅁䅁䅣䅁敂䅁䅁睔睂䡁䅑兡療䝁䄴督㙁䙁䅁兙歂䑁䄰睔浂䝁䅙䅌䝂䝁䅫䅢獂䑁䄰睔浂䝁䅙䅌䕂䝁䅅䅤求䡁䅍児䍂䝁䅕杚療䡁䅉党獁䙁䅍睢祂䡁䅑児䉂䡁䅍睙䅁䅁䅧䅁䵁䅁䅁䅕卂䕁䅫睑䙂䅁䅁睁䅁䅁䅧䅁呂䕁䄴䅔䅁䅁䅫䅁䅃䅁䅁睗䉂䕁䅕䅕瑁䕁䅑兑婂䙁䅑睔佂䍁䅁䅓噂䕁䅉兘畁䙁䅳䅒桂䡁䅫䅉䉂䝁䅧党桂䝁䅑䅉䉂䡁䅉睢ㅂ䝁䄴䅚杁䡁䅑䅡求䍁䅁睑獂䝁䄸睙牂䍁䅁睕あ䡁䅉兡睂䙁䄰杌扂䙁䅁杓乂䙁䄰杌扂䙁䅕睕䕂䙁䄰䅁䉁䅁䅁䅡䅁䙁䅳䅖䡂䙁䅁䅉慂䍁䅁䅎杁䑁䅉䅍睁䕁䅷兘畁䙁䅳睕睂䝁䄸䅤杁䕁䄴兙あ䡁䅕杣桂䝁䅷䅉䡂䝁䅅督杁䕁䅫杢歂䝁䅕䅥摂䍁䄴睗呂䕁䄴䅔摂䍁䄴睗噂䙁䅍䅒摂䅁䅁杁䅁䅁䅁䅁㵁</t>
  </si>
  <si>
    <t>TGP-Z4 200L</t>
  </si>
  <si>
    <t>TNC 1!-IUS</t>
  </si>
  <si>
    <t>HNG</t>
  </si>
  <si>
    <t>ADD</t>
  </si>
  <si>
    <t>ADB</t>
  </si>
  <si>
    <t>TNC</t>
  </si>
  <si>
    <t>Year Code</t>
  </si>
  <si>
    <t>Month Code</t>
  </si>
  <si>
    <t>DOM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</si>
</sst>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6">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mm/dd/yy;@"/>
    <numFmt numFmtId="165" formatCode="[Blue]&quot;Yes&quot;;&quot;Error&quot;;[Red]&quot;No&quot;"/>
    <numFmt numFmtId="166" formatCode="[$-409]mmm\-yy;@"/>
    <numFmt numFmtId="167" formatCode="_(* #,##0_);_(* \(#,##0\);_(* &quot;-&quot;??_);_(@_)"/>
    <numFmt numFmtId="168" formatCode="_(* #,##0.0_);_(* \(#,##0.0\);_(* &quot;-&quot;??_);_(@_)"/>
    <numFmt numFmtId="169" formatCode="&quot;$&quot;#,###,##0;\(&quot;$&quot;#,###,##0\)"/>
    <numFmt numFmtId="170" formatCode="#,##0.00%;\(#,##0.00%\)"/>
    <numFmt numFmtId="171" formatCode="0.0%"/>
    <numFmt numFmtId="172" formatCode="0_)"/>
    <numFmt numFmtId="173" formatCode="0.0000"/>
    <numFmt numFmtId="174" formatCode="0.00_);\(0.00\)"/>
    <numFmt numFmtId="175" formatCode="[$-409]m/d/yy\ h:mm\ AM/PM;@"/>
    <numFmt numFmtId="176" formatCode="0.0"/>
    <numFmt numFmtId="177" formatCode="&quot;$&quot;#,##0"/>
    <numFmt numFmtId="178" formatCode="0.000000"/>
    <numFmt numFmtId="179" formatCode="&quot;$&quot;#,##0.0_);[Red]\(&quot;$&quot;#,##0.0\)"/>
    <numFmt numFmtId="180" formatCode="mmm"/>
    <numFmt numFmtId="181" formatCode="#,##0.0_);[Red]\(#,##0.0\)"/>
    <numFmt numFmtId="182" formatCode="0.0000000"/>
    <numFmt numFmtId="183" formatCode="0.00000000"/>
    <numFmt numFmtId="184" formatCode="#,##0_);[Red]\(#,##0\);\-"/>
    <numFmt numFmtId="185" formatCode="mm/dd/yyyy"/>
    <numFmt numFmtId="186" formatCode="0.0\ %;\ \(0.0\ %\)"/>
    <numFmt numFmtId="187" formatCode="_-* #,##0.00\ [$€-1]_-;\-* #,##0.00\ [$€-1]_-;_-* &quot;-&quot;??\ [$€-1]_-"/>
    <numFmt numFmtId="188" formatCode="_-&quot;$&quot;* #,##0.00_-;\-&quot;$&quot;* #,##0.00_-;_-&quot;$&quot;* &quot;-&quot;??_-;_-@_-"/>
    <numFmt numFmtId="189" formatCode="_-* #,##0.00_-;\-* #,##0.00_-;_-* &quot;-&quot;??_-;_-@_-"/>
    <numFmt numFmtId="190" formatCode="&quot;Bs&quot;\ #,##0_);\(&quot;Bs&quot;\ #,##0\)"/>
    <numFmt numFmtId="191" formatCode="_-* #,##0_-;\-* #,##0_-;_-* &quot;-&quot;_-;_-@_-"/>
    <numFmt numFmtId="192" formatCode="#,##0.0_);\(#,##0.0\)"/>
    <numFmt numFmtId="193" formatCode="&quot;$&quot;_(#,##0.00_);&quot;$&quot;\(#,##0.00\)"/>
    <numFmt numFmtId="194" formatCode="#,##0.00_ ;[Red]\-#,##0.00;\-"/>
    <numFmt numFmtId="195" formatCode="#,##0.0_)\x;\(#,##0.0\)\x"/>
    <numFmt numFmtId="196" formatCode="\¥#,##0.00;[Red]\(\¥#,##0.00\)"/>
    <numFmt numFmtId="197" formatCode="#,##0.0_)_x;\(#,##0.0\)_x"/>
    <numFmt numFmtId="198" formatCode="0.0_)\%;\(0.0\)\%"/>
    <numFmt numFmtId="199" formatCode="&quot;$&quot;#,##0.00;[Red]\(&quot;$&quot;#,##0.00\)"/>
    <numFmt numFmtId="200" formatCode="#,##0.0_)_%;\(#,##0.0\)_%"/>
    <numFmt numFmtId="201" formatCode="\¥\ #,##0_);[Red]\(\¥\ #,##0\)"/>
    <numFmt numFmtId="202" formatCode="0.0;;"/>
    <numFmt numFmtId="203" formatCode="_(#,##0.00_);\(#,##0.00\);_(\-_)"/>
    <numFmt numFmtId="204" formatCode="_(* #,##0_);_(* \(#,##0\)"/>
    <numFmt numFmtId="205" formatCode="d\-mmm\-yyyy"/>
    <numFmt numFmtId="206" formatCode="_ * #,##0_ ;_ * \-#,##0_ ;_ * &quot;-&quot;??_ ;_ @_ "/>
    <numFmt numFmtId="207" formatCode="#,##0.00000"/>
    <numFmt numFmtId="208" formatCode="_(* #,##0.0_);_(* \(#,##0.0\);_(* &quot;-&quot;?_);@_)"/>
    <numFmt numFmtId="209" formatCode="#,##0.00;[Red]\(#,##0.00\)"/>
    <numFmt numFmtId="210" formatCode="_-&quot;\&quot;* #,##0.00_-;&quot;\&quot;&quot;\&quot;&quot;\&quot;&quot;\&quot;&quot;\&quot;&quot;\&quot;&quot;\&quot;&quot;\&quot;&quot;\&quot;&quot;\&quot;&quot;\&quot;\-&quot;\&quot;* #,##0.00_-;_-&quot;\&quot;* &quot;-&quot;??_-;_-@_-"/>
    <numFmt numFmtId="211" formatCode="&quot;\&quot;#,##0;&quot;\&quot;&quot;\&quot;&quot;\&quot;&quot;\&quot;&quot;\&quot;&quot;\&quot;&quot;\&quot;&quot;\&quot;&quot;\&quot;&quot;\&quot;\-&quot;\&quot;#,##0"/>
    <numFmt numFmtId="212" formatCode="#,##0.0000_);\(#,##0.0000\)"/>
    <numFmt numFmtId="213" formatCode="#,##0.00000_);\(#,##0.00000\)"/>
    <numFmt numFmtId="214" formatCode="0.0000000_)"/>
    <numFmt numFmtId="215" formatCode="0.0\ %\ "/>
    <numFmt numFmtId="216" formatCode="&quot;US$ &quot;#,##0.00"/>
    <numFmt numFmtId="217" formatCode="0&quot;-yr&quot;"/>
    <numFmt numFmtId="218" formatCode="_ &quot;$&quot;* #,##0_ ;_ &quot;$&quot;* \-#,##0_ ;_ &quot;$&quot;* &quot;-&quot;_ ;_ @_ "/>
    <numFmt numFmtId="219" formatCode="_ * #,##0.00_ ;_ * \-#,##0.00_ ;_ * &quot;-&quot;??_ ;_ @_ "/>
    <numFmt numFmtId="220" formatCode="_ * #,##0.0_ ;_ * \-#,##0.0_ ;_ * &quot;-&quot;??_ ;_ @_ "/>
    <numFmt numFmtId="221" formatCode="#,##0.00_);\(#,##0.00\);\-_)"/>
    <numFmt numFmtId="222" formatCode="&quot;Constant&quot;"/>
    <numFmt numFmtId="223" formatCode="&quot;$&quot;#,##0;[Red]\-&quot;$&quot;#,##0"/>
    <numFmt numFmtId="224" formatCode="&quot;$&quot;#,##0.00;[Red]\-&quot;$&quot;#,##0.00"/>
    <numFmt numFmtId="225" formatCode="dd\-mmm\-yy;;\-"/>
    <numFmt numFmtId="226" formatCode="mmm\-d\-yy"/>
    <numFmt numFmtId="227" formatCode="m\o\n\th\ d\,\ \y\y\y\y"/>
    <numFmt numFmtId="228" formatCode="mmmm\ dd\,\ yyyy"/>
    <numFmt numFmtId="229" formatCode="#,##0&quot; $&quot;;\-#,##0&quot; $&quot;"/>
    <numFmt numFmtId="230" formatCode="mmm\ d\,\ yyyy"/>
    <numFmt numFmtId="231" formatCode="#,##0.000_);\(#,##0.000\)"/>
    <numFmt numFmtId="232" formatCode="_-* #,##0\ _D_M_-;\-* #,##0\ _D_M_-;_-* &quot;-&quot;\ _D_M_-;_-@_-"/>
    <numFmt numFmtId="233" formatCode=";;;"/>
    <numFmt numFmtId="234" formatCode="_ * #,##0.00_)[$€]_ ;_ * \(#,##0.00\)[$€]_ ;_ * &quot;-&quot;??_)[$€]_ ;_ @_ "/>
    <numFmt numFmtId="235" formatCode="_-&quot;€&quot;\ * #,##0.00_-;_-&quot;€&quot;\ * \-#,##0.00;_-&quot;€&quot;* #0_-;_-@_-"/>
    <numFmt numFmtId="236" formatCode="[Magenta]&quot;Err&quot;;[Magenta]&quot;Err&quot;;[Blue]&quot;OK&quot;;[Black]General"/>
    <numFmt numFmtId="237" formatCode="General\ &quot;.&quot;"/>
    <numFmt numFmtId="238" formatCode="#,##0_);[Red]\(#,##0\);\-_)"/>
    <numFmt numFmtId="239" formatCode="0.0_)%;[Red]\(0.0%\);0.0_)%"/>
    <numFmt numFmtId="240" formatCode="[Red][&gt;1]&quot;&gt;100 %&quot;;[Red]\(0.0%\);0.0_)%"/>
    <numFmt numFmtId="241" formatCode="_(* #,##0.0000_);_(* \(#,##0.0000\);_(* &quot;-&quot;\ \ _);@"/>
    <numFmt numFmtId="242" formatCode="0000"/>
    <numFmt numFmtId="243" formatCode="#,#00"/>
    <numFmt numFmtId="244" formatCode="###0_);\(###0\)"/>
    <numFmt numFmtId="245" formatCode="#,##0.0_)"/>
    <numFmt numFmtId="246" formatCode="#,##0\ ;\(#,##0\)"/>
    <numFmt numFmtId="247" formatCode="#,"/>
    <numFmt numFmtId="248" formatCode="###0"/>
    <numFmt numFmtId="249" formatCode="_-* #,##0.00_-;\(#,##0.00\);_-* &quot;-&quot;??_-;_-@_-"/>
    <numFmt numFmtId="250" formatCode="_-* #,##0.00_-;&quot;\&quot;&quot;\&quot;&quot;\&quot;&quot;\&quot;&quot;\&quot;\-* #,##0.00_-;_-* &quot;-&quot;??_-;_-@_-"/>
    <numFmt numFmtId="251" formatCode="0.0%;[Red]\(0.0%\)"/>
    <numFmt numFmtId="252" formatCode="0.00\ %\ "/>
    <numFmt numFmtId="253" formatCode="_(#,##0_);\(#,##0\);\-_);_(@"/>
    <numFmt numFmtId="254" formatCode="_(0_);\(0\);\-_);_(@"/>
    <numFmt numFmtId="255" formatCode="#,##0\ ;\(#,##0\);\ \-\ "/>
    <numFmt numFmtId="256" formatCode="0.0%;0.0%;\-\ "/>
    <numFmt numFmtId="257" formatCode="_-* #,##0.00\ _P_t_s_-;\-* #,##0.00\ _P_t_s_-;_-* &quot;-&quot;??\ _P_t_s_-;_-@_-"/>
    <numFmt numFmtId="258" formatCode="_-* #,##0.00\ _€_-;\-* #,##0.00\ _€_-;_-* &quot;-&quot;??\ _€_-;_-@_-"/>
    <numFmt numFmtId="259" formatCode="&quot;$&quot;#,##0.0_);\(&quot;$&quot;#,##0.0\)"/>
    <numFmt numFmtId="260" formatCode="\€#,##0.0_);\(\€#,##0.0\)"/>
    <numFmt numFmtId="261" formatCode="#,##0\x_);\(#,##0\x\)"/>
    <numFmt numFmtId="262" formatCode="#,##0%_);\(#,##0%\)"/>
    <numFmt numFmtId="263" formatCode="\£#,##0.0_);\(\£#,##0.0\)"/>
    <numFmt numFmtId="264" formatCode="\¥#,##0.0_);\(\¥#,##0.0\)"/>
    <numFmt numFmtId="265" formatCode="_(&quot;Cr$&quot;\ * #,##0_);_(&quot;Cr$&quot;\ * \(#,##0\);_(&quot;Cr$&quot;\ * &quot;-&quot;_);_(@_)"/>
    <numFmt numFmtId="266" formatCode="_(&quot;Cr$&quot;\ * #,##0.00_);_(&quot;Cr$&quot;\ * \(#,##0.00\);_(&quot;Cr$&quot;\ * &quot;-&quot;??_);_(@_)"/>
    <numFmt numFmtId="267" formatCode="&quot;N$&quot;#,##0_);\(&quot;N$&quot;#,##0\)"/>
    <numFmt numFmtId="268" formatCode="_-&quot;$&quot;* #,##0_-;\-&quot;$&quot;* #,##0_-;_-&quot;$&quot;* &quot;-&quot;_-;_-@_-"/>
    <numFmt numFmtId="269" formatCode="0_);\(0\)"/>
    <numFmt numFmtId="270" formatCode="mmm\ yyyy"/>
    <numFmt numFmtId="271" formatCode="#,##0\ %_);[Red]\(#,##0\ %\)"/>
    <numFmt numFmtId="272" formatCode="yyyy"/>
  </numFmts>
  <fonts count="170">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indexed="8"/>
      <name val="Calibri"/>
      <family val="2"/>
    </font>
    <font>
      <sz val="11"/>
      <color indexed="8"/>
      <name val="Calibri"/>
      <family val="2"/>
    </font>
    <font>
      <sz val="10"/>
      <color indexed="8"/>
      <name val="Verdana"/>
      <family val="2"/>
    </font>
    <font>
      <sz val="11"/>
      <color indexed="8"/>
      <name val="Calibri"/>
      <family val="2"/>
    </font>
    <font>
      <sz val="10"/>
      <name val="Arial"/>
      <family val="2"/>
    </font>
    <font>
      <sz val="10"/>
      <color indexed="8"/>
      <name val="Arial"/>
      <family val="2"/>
    </font>
    <font>
      <sz val="10"/>
      <name val="Tahoma"/>
      <family val="2"/>
    </font>
    <font>
      <sz val="10"/>
      <color indexed="0"/>
      <name val="Arial"/>
      <family val="2"/>
    </font>
    <font>
      <sz val="10"/>
      <name val="MS Sans Serif"/>
      <family val="2"/>
    </font>
    <font>
      <b/>
      <sz val="10"/>
      <name val="MS Sans Serif"/>
      <family val="2"/>
    </font>
    <font>
      <b/>
      <i/>
      <sz val="12"/>
      <color indexed="4"/>
      <name val="Arial"/>
      <family val="2"/>
    </font>
    <font>
      <b/>
      <sz val="12"/>
      <color indexed="0"/>
      <name val="Times New Roman"/>
      <family val="1"/>
    </font>
    <font>
      <sz val="10"/>
      <color indexed="18"/>
      <name val="Times New Roman"/>
      <family val="1"/>
    </font>
    <font>
      <sz val="10"/>
      <color indexed="17"/>
      <name val="Arial"/>
      <family val="2"/>
    </font>
    <font>
      <sz val="12"/>
      <color indexed="8"/>
      <name val="Arial"/>
      <family val="2"/>
    </font>
    <font>
      <sz val="10"/>
      <color indexed="8"/>
      <name val="Arial"/>
      <family val="2"/>
    </font>
    <font>
      <sz val="9"/>
      <color indexed="8"/>
      <name val="Arial"/>
      <family val="2"/>
    </font>
    <font>
      <sz val="10"/>
      <color indexed="39"/>
      <name val="Arial"/>
      <family val="2"/>
    </font>
    <font>
      <b/>
      <sz val="10"/>
      <color indexed="60"/>
      <name val="Arial"/>
      <family val="2"/>
    </font>
    <font>
      <b/>
      <sz val="12"/>
      <color indexed="8"/>
      <name val="Arial"/>
      <family val="2"/>
    </font>
    <font>
      <b/>
      <sz val="10"/>
      <color indexed="39"/>
      <name val="Arial"/>
      <family val="2"/>
    </font>
    <font>
      <b/>
      <sz val="10"/>
      <color indexed="10"/>
      <name val="Arial"/>
      <family val="2"/>
    </font>
    <font>
      <b/>
      <sz val="10"/>
      <name val="Arial"/>
      <family val="2"/>
    </font>
    <font>
      <b/>
      <sz val="10"/>
      <color indexed="8"/>
      <name val="Arial"/>
      <family val="2"/>
    </font>
    <font>
      <sz val="8"/>
      <name val="Arial"/>
      <family val="2"/>
    </font>
    <font>
      <b/>
      <sz val="8"/>
      <name val="Arial"/>
      <family val="2"/>
    </font>
    <font>
      <sz val="8"/>
      <color indexed="39"/>
      <name val="Arial"/>
      <family val="2"/>
    </font>
    <font>
      <sz val="8"/>
      <name val="Verdana"/>
      <family val="2"/>
    </font>
    <font>
      <sz val="10"/>
      <name val="Arial Narrow"/>
      <family val="2"/>
    </font>
    <font>
      <b/>
      <sz val="12"/>
      <name val="Arial"/>
      <family val="2"/>
    </font>
    <font>
      <b/>
      <sz val="18"/>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8"/>
      <name val="Calibri"/>
      <family val="2"/>
    </font>
    <font>
      <u/>
      <sz val="10"/>
      <color indexed="39"/>
      <name val="Verdana"/>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b/>
      <sz val="11"/>
      <name val="Arial"/>
      <family val="2"/>
    </font>
    <font>
      <sz val="11"/>
      <color indexed="8"/>
      <name val="Calibri"/>
      <family val="2"/>
    </font>
    <font>
      <b/>
      <sz val="15"/>
      <color indexed="62"/>
      <name val="Calibri"/>
      <family val="2"/>
    </font>
    <font>
      <b/>
      <sz val="11"/>
      <color indexed="62"/>
      <name val="Calibri"/>
      <family val="2"/>
    </font>
    <font>
      <b/>
      <sz val="18"/>
      <color indexed="62"/>
      <name val="Cambria"/>
      <family val="2"/>
    </font>
    <font>
      <sz val="11"/>
      <color theme="1"/>
      <name val="Calibri"/>
      <family val="2"/>
      <scheme val="minor"/>
    </font>
    <font>
      <sz val="11"/>
      <color theme="0"/>
      <name val="Calibri"/>
      <family val="2"/>
      <scheme val="minor"/>
    </font>
    <font>
      <sz val="11"/>
      <color indexed="14"/>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2"/>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theme="1"/>
      <name val="Verdana"/>
      <family val="2"/>
    </font>
    <font>
      <sz val="10"/>
      <color theme="1"/>
      <name val="Arial"/>
      <family val="2"/>
    </font>
    <font>
      <b/>
      <sz val="11"/>
      <color rgb="FF3F3F3F"/>
      <name val="Calibri"/>
      <family val="2"/>
      <scheme val="minor"/>
    </font>
    <font>
      <b/>
      <sz val="11"/>
      <color theme="1"/>
      <name val="Calibri"/>
      <family val="2"/>
      <scheme val="minor"/>
    </font>
    <font>
      <sz val="11"/>
      <color rgb="FFFF0000"/>
      <name val="Calibri"/>
      <family val="2"/>
      <scheme val="minor"/>
    </font>
    <font>
      <sz val="12"/>
      <color theme="1"/>
      <name val="Calibri"/>
      <family val="2"/>
      <scheme val="minor"/>
    </font>
    <font>
      <sz val="9"/>
      <name val="Arial"/>
      <family val="2"/>
    </font>
    <font>
      <sz val="12"/>
      <name val="Times New Roman"/>
      <family val="1"/>
    </font>
    <font>
      <sz val="10"/>
      <name val="Geneva"/>
      <family val="2"/>
    </font>
    <font>
      <sz val="10"/>
      <color indexed="9"/>
      <name val="Arial"/>
      <family val="2"/>
    </font>
    <font>
      <i/>
      <sz val="10"/>
      <color indexed="13"/>
      <name val="Arial"/>
      <family val="2"/>
    </font>
    <font>
      <i/>
      <sz val="10"/>
      <name val="Arial"/>
      <family val="2"/>
    </font>
    <font>
      <sz val="10"/>
      <color indexed="13"/>
      <name val="Arial"/>
      <family val="2"/>
    </font>
    <font>
      <b/>
      <i/>
      <sz val="10"/>
      <name val="Arial"/>
      <family val="2"/>
    </font>
    <font>
      <b/>
      <i/>
      <sz val="9"/>
      <name val="Arial"/>
      <family val="2"/>
    </font>
    <font>
      <b/>
      <sz val="9"/>
      <name val="Arial"/>
      <family val="2"/>
    </font>
    <font>
      <sz val="8"/>
      <name val="Book Antiqua"/>
      <family val="1"/>
    </font>
    <font>
      <sz val="10"/>
      <name val="Times New Roman"/>
      <family val="1"/>
    </font>
    <font>
      <sz val="11"/>
      <name val="‚l‚r ƒSƒVƒbƒN"/>
      <family val="3"/>
      <charset val="128"/>
    </font>
    <font>
      <sz val="10"/>
      <name val="Helv"/>
    </font>
    <font>
      <sz val="7"/>
      <name val="Arial"/>
      <family val="2"/>
    </font>
    <font>
      <sz val="12"/>
      <name val="¹ÙÅÁÃ¼"/>
      <charset val="129"/>
    </font>
    <font>
      <sz val="12"/>
      <name val="Arial MT"/>
    </font>
    <font>
      <sz val="12"/>
      <name val="Helv"/>
    </font>
    <font>
      <sz val="14"/>
      <color indexed="12"/>
      <name val="Arial Narrow"/>
      <family val="2"/>
    </font>
    <font>
      <sz val="10"/>
      <color indexed="12"/>
      <name val="Arial"/>
      <family val="2"/>
    </font>
    <font>
      <sz val="8"/>
      <name val="Times New Roman"/>
      <family val="1"/>
    </font>
    <font>
      <sz val="14"/>
      <color indexed="8"/>
      <name val="Arial"/>
      <family val="2"/>
    </font>
    <font>
      <sz val="9"/>
      <color indexed="12"/>
      <name val="Arial"/>
      <family val="2"/>
    </font>
    <font>
      <sz val="11"/>
      <name val="Book Antiqua"/>
      <family val="1"/>
    </font>
    <font>
      <sz val="9"/>
      <name val="Times New Roman"/>
      <family val="1"/>
    </font>
    <font>
      <sz val="12"/>
      <color indexed="12"/>
      <name val="Arial"/>
      <family val="2"/>
    </font>
    <font>
      <sz val="11"/>
      <color indexed="20"/>
      <name val="Calibri"/>
      <family val="2"/>
      <scheme val="minor"/>
    </font>
    <font>
      <sz val="8"/>
      <color indexed="13"/>
      <name val="Arial"/>
      <family val="2"/>
    </font>
    <font>
      <u/>
      <sz val="10"/>
      <color indexed="14"/>
      <name val="MS Sans Serif"/>
      <family val="2"/>
    </font>
    <font>
      <sz val="10"/>
      <color indexed="8"/>
      <name val="Helvetica-Narrow"/>
      <family val="2"/>
    </font>
    <font>
      <b/>
      <sz val="9"/>
      <color indexed="9"/>
      <name val="Arial"/>
      <family val="2"/>
    </font>
    <font>
      <sz val="11"/>
      <name val="Helvetica"/>
      <family val="2"/>
    </font>
    <font>
      <sz val="8"/>
      <color indexed="12"/>
      <name val="Tms Rmn"/>
      <family val="1"/>
    </font>
    <font>
      <sz val="9"/>
      <color indexed="56"/>
      <name val="Frutiger 45 Light"/>
      <family val="2"/>
    </font>
    <font>
      <sz val="9"/>
      <name val="Frutiger 45 Light"/>
      <family val="2"/>
    </font>
    <font>
      <i/>
      <sz val="8"/>
      <color indexed="8"/>
      <name val="Arial"/>
      <family val="2"/>
    </font>
    <font>
      <sz val="12"/>
      <name val="Tms Rmn"/>
    </font>
    <font>
      <b/>
      <sz val="12"/>
      <name val="Times New Roman"/>
      <family val="1"/>
    </font>
    <font>
      <b/>
      <u/>
      <sz val="8"/>
      <name val="Arial"/>
      <family val="2"/>
    </font>
    <font>
      <b/>
      <i/>
      <sz val="9"/>
      <name val="Palatino"/>
      <family val="1"/>
    </font>
    <font>
      <sz val="12"/>
      <name val="±¼¸²Ã¼"/>
      <charset val="129"/>
    </font>
    <font>
      <b/>
      <sz val="18"/>
      <color indexed="22"/>
      <name val="Arial"/>
      <family val="2"/>
    </font>
    <font>
      <b/>
      <sz val="12"/>
      <color indexed="22"/>
      <name val="Arial"/>
      <family val="2"/>
    </font>
    <font>
      <sz val="8"/>
      <name val="Helvetica"/>
      <family val="2"/>
    </font>
    <font>
      <sz val="11"/>
      <color indexed="12"/>
      <name val="Arial"/>
      <family val="2"/>
    </font>
    <font>
      <b/>
      <sz val="9"/>
      <name val="Palatino"/>
      <family val="1"/>
    </font>
    <font>
      <sz val="10"/>
      <name val="Frutiger 45 Light"/>
      <family val="2"/>
    </font>
    <font>
      <sz val="8"/>
      <color indexed="12"/>
      <name val="Times New Roman"/>
      <family val="1"/>
    </font>
    <font>
      <sz val="10"/>
      <color theme="1"/>
      <name val="Tahoma"/>
      <family val="2"/>
    </font>
    <font>
      <sz val="24"/>
      <name val="Arial"/>
      <family val="2"/>
    </font>
    <font>
      <u/>
      <sz val="10"/>
      <name val="Arial"/>
      <family val="2"/>
    </font>
    <font>
      <sz val="10"/>
      <name val="MS Serif"/>
      <family val="1"/>
    </font>
    <font>
      <sz val="10"/>
      <name val="Courier"/>
      <family val="3"/>
    </font>
    <font>
      <b/>
      <sz val="18"/>
      <name val="Palatino"/>
      <family val="1"/>
    </font>
    <font>
      <sz val="8"/>
      <name val="Helv"/>
    </font>
    <font>
      <sz val="10"/>
      <name val="CG Times (WN)"/>
    </font>
    <font>
      <sz val="8"/>
      <color indexed="12"/>
      <name val="Arial"/>
      <family val="2"/>
    </font>
    <font>
      <sz val="1"/>
      <color indexed="8"/>
      <name val="Courier"/>
      <family val="3"/>
    </font>
    <font>
      <sz val="10"/>
      <color indexed="10"/>
      <name val="Tms Rmn"/>
    </font>
    <font>
      <sz val="8"/>
      <name val="CG Times (E1)"/>
    </font>
    <font>
      <sz val="6"/>
      <name val="CG Times (E1)"/>
    </font>
    <font>
      <sz val="10"/>
      <color indexed="16"/>
      <name val="MS Serif"/>
      <family val="1"/>
    </font>
    <font>
      <sz val="10"/>
      <color indexed="0"/>
      <name val="Helv"/>
    </font>
    <font>
      <sz val="8"/>
      <color indexed="10"/>
      <name val="Arial"/>
      <family val="2"/>
    </font>
    <font>
      <b/>
      <sz val="8"/>
      <color indexed="12"/>
      <name val="Arial"/>
      <family val="2"/>
    </font>
    <font>
      <b/>
      <sz val="10.5"/>
      <color indexed="8"/>
      <name val="Arial"/>
      <family val="2"/>
    </font>
    <font>
      <i/>
      <sz val="10"/>
      <color indexed="8"/>
      <name val="Arial"/>
      <family val="2"/>
    </font>
    <font>
      <sz val="10"/>
      <color indexed="22"/>
      <name val="Arial"/>
      <family val="2"/>
    </font>
    <font>
      <sz val="14"/>
      <color indexed="32"/>
      <name val="Times New Roman"/>
      <family val="1"/>
    </font>
    <font>
      <i/>
      <sz val="9"/>
      <name val="Palatino"/>
      <family val="1"/>
    </font>
    <font>
      <sz val="10"/>
      <name val="Helvetica"/>
      <family val="2"/>
    </font>
    <font>
      <sz val="9"/>
      <name val="Futura UBS Bk"/>
      <family val="2"/>
    </font>
    <font>
      <b/>
      <sz val="10"/>
      <color indexed="18"/>
      <name val="Arial"/>
      <family val="2"/>
    </font>
    <font>
      <b/>
      <sz val="1"/>
      <color indexed="8"/>
      <name val="Courier"/>
      <family val="3"/>
    </font>
    <font>
      <sz val="10"/>
      <color indexed="12"/>
      <name val="Helvetica"/>
      <family val="2"/>
    </font>
    <font>
      <sz val="10"/>
      <color indexed="9"/>
      <name val="Univers (WN)"/>
    </font>
    <font>
      <sz val="8"/>
      <color indexed="8"/>
      <name val="Helvetica"/>
      <family val="2"/>
    </font>
    <font>
      <u/>
      <sz val="8"/>
      <color indexed="12"/>
      <name val="Arial"/>
      <family val="2"/>
    </font>
    <font>
      <u/>
      <sz val="10"/>
      <color indexed="12"/>
      <name val="Arial"/>
      <family val="2"/>
    </font>
    <font>
      <i/>
      <sz val="8"/>
      <color indexed="12"/>
      <name val="Helvetica"/>
      <family val="2"/>
    </font>
    <font>
      <sz val="8"/>
      <color indexed="12"/>
      <name val="Helvetica"/>
      <family val="2"/>
    </font>
    <font>
      <shadow/>
      <sz val="8"/>
      <color indexed="12"/>
      <name val="Times New Roman"/>
      <family val="1"/>
    </font>
    <font>
      <sz val="10"/>
      <color indexed="12"/>
      <name val="Times New Roman"/>
      <family val="1"/>
    </font>
    <font>
      <sz val="10"/>
      <color indexed="18"/>
      <name val="Univers (W1)"/>
    </font>
    <font>
      <sz val="10"/>
      <color indexed="12"/>
      <name val="MS Sans Serif"/>
      <family val="2"/>
    </font>
    <font>
      <sz val="8"/>
      <color indexed="16"/>
      <name val="Helvetica"/>
      <family val="2"/>
    </font>
    <font>
      <u/>
      <sz val="10"/>
      <color indexed="36"/>
      <name val="Arial"/>
      <family val="2"/>
    </font>
    <font>
      <i/>
      <sz val="9"/>
      <color indexed="20"/>
      <name val="Arial Narrow"/>
      <family val="2"/>
    </font>
    <font>
      <b/>
      <sz val="14"/>
      <color indexed="24"/>
      <name val="Book Antiqua"/>
      <family val="1"/>
    </font>
    <font>
      <sz val="12"/>
      <name val="Osaka"/>
      <family val="3"/>
      <charset val="128"/>
    </font>
    <font>
      <sz val="10"/>
      <color indexed="18"/>
      <name val="Arial"/>
      <family val="2"/>
    </font>
    <font>
      <sz val="10"/>
      <name val="Arial"/>
      <family val="2"/>
    </font>
  </fonts>
  <fills count="66">
    <fill>
      <patternFill patternType="none"/>
    </fill>
    <fill>
      <patternFill patternType="gray125"/>
    </fill>
    <fill>
      <patternFill patternType="solid">
        <fgColor indexed="9"/>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mediumGray">
        <fgColor indexed="22"/>
      </patternFill>
    </fill>
    <fill>
      <patternFill patternType="solid">
        <fgColor indexed="11"/>
        <bgColor indexed="64"/>
      </patternFill>
    </fill>
    <fill>
      <patternFill patternType="solid">
        <fgColor indexed="26"/>
        <bgColor indexed="64"/>
      </patternFill>
    </fill>
    <fill>
      <patternFill patternType="solid">
        <fgColor indexed="13"/>
        <bgColor indexed="64"/>
      </patternFill>
    </fill>
    <fill>
      <patternFill patternType="solid">
        <fgColor indexed="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theme="8"/>
      </patternFill>
    </fill>
    <fill>
      <patternFill patternType="solid">
        <fgColor theme="9"/>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FFFF00"/>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solid">
        <fgColor indexed="42"/>
        <bgColor indexed="64"/>
      </patternFill>
    </fill>
    <fill>
      <patternFill patternType="solid">
        <fgColor indexed="32"/>
        <bgColor indexed="64"/>
      </patternFill>
    </fill>
    <fill>
      <patternFill patternType="solid">
        <fgColor indexed="18"/>
        <bgColor indexed="64"/>
      </patternFill>
    </fill>
    <fill>
      <patternFill patternType="lightGray">
        <fgColor indexed="12"/>
      </patternFill>
    </fill>
    <fill>
      <patternFill patternType="solid">
        <fgColor indexed="35"/>
        <bgColor indexed="64"/>
      </patternFill>
    </fill>
    <fill>
      <patternFill patternType="solid">
        <fgColor indexed="44"/>
        <bgColor indexed="64"/>
      </patternFill>
    </fill>
    <fill>
      <patternFill patternType="solid">
        <fgColor indexed="15"/>
      </patternFill>
    </fill>
    <fill>
      <patternFill patternType="gray0625">
        <fgColor indexed="22"/>
      </patternFill>
    </fill>
    <fill>
      <patternFill patternType="solid">
        <fgColor indexed="12"/>
      </patternFill>
    </fill>
    <fill>
      <patternFill patternType="solid">
        <fgColor indexed="41"/>
      </patternFill>
    </fill>
    <fill>
      <patternFill patternType="solid">
        <fgColor rgb="FF92D050"/>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double">
        <color indexed="56"/>
      </top>
      <bottom style="medium">
        <color indexed="64"/>
      </bottom>
      <diagonal/>
    </border>
    <border>
      <left/>
      <right/>
      <top style="double">
        <color indexed="56"/>
      </top>
      <bottom style="medium">
        <color indexed="64"/>
      </bottom>
      <diagonal/>
    </border>
    <border>
      <left/>
      <right style="medium">
        <color indexed="64"/>
      </right>
      <top style="double">
        <color indexed="56"/>
      </top>
      <bottom style="medium">
        <color indexed="64"/>
      </bottom>
      <diagonal/>
    </border>
    <border>
      <left/>
      <right style="medium">
        <color indexed="64"/>
      </right>
      <top style="medium">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hair">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auto="1"/>
      </bottom>
      <diagonal/>
    </border>
    <border>
      <left style="hair">
        <color auto="1"/>
      </left>
      <right style="hair">
        <color auto="1"/>
      </right>
      <top style="hair">
        <color auto="1"/>
      </top>
      <bottom style="hair">
        <color auto="1"/>
      </bottom>
      <diagonal/>
    </border>
    <border>
      <left/>
      <right/>
      <top/>
      <bottom style="hair">
        <color indexed="22"/>
      </bottom>
      <diagonal/>
    </border>
    <border>
      <left/>
      <right/>
      <top style="hair">
        <color indexed="8"/>
      </top>
      <bottom style="hair">
        <color indexed="8"/>
      </bottom>
      <diagonal/>
    </border>
    <border>
      <left style="thin">
        <color auto="1"/>
      </left>
      <right style="thin">
        <color auto="1"/>
      </right>
      <top style="thin">
        <color auto="1"/>
      </top>
      <bottom/>
      <diagonal/>
    </border>
    <border>
      <left/>
      <right/>
      <top style="thin">
        <color auto="1"/>
      </top>
      <bottom style="thin">
        <color auto="1"/>
      </bottom>
      <diagonal/>
    </border>
    <border>
      <left/>
      <right/>
      <top style="double">
        <color auto="1"/>
      </top>
      <bottom/>
      <diagonal/>
    </border>
    <border>
      <left/>
      <right/>
      <top style="thin">
        <color indexed="8"/>
      </top>
      <bottom style="double">
        <color indexed="8"/>
      </bottom>
      <diagonal/>
    </border>
    <border>
      <left style="thin">
        <color auto="1"/>
      </left>
      <right style="thin">
        <color auto="1"/>
      </right>
      <top style="medium">
        <color auto="1"/>
      </top>
      <bottom style="double">
        <color auto="1"/>
      </bottom>
      <diagonal/>
    </border>
    <border>
      <left style="thin">
        <color indexed="54"/>
      </left>
      <right/>
      <top style="thin">
        <color indexed="54"/>
      </top>
      <bottom style="medium">
        <color indexed="54"/>
      </bottom>
      <diagonal/>
    </border>
    <border>
      <left/>
      <right/>
      <top style="medium">
        <color auto="1"/>
      </top>
      <bottom style="medium">
        <color auto="1"/>
      </bottom>
      <diagonal/>
    </border>
    <border>
      <left/>
      <right style="thin">
        <color auto="1"/>
      </right>
      <top style="thin">
        <color auto="1"/>
      </top>
      <bottom style="thin">
        <color auto="1"/>
      </bottom>
      <diagonal/>
    </border>
    <border>
      <left/>
      <right/>
      <top/>
      <bottom style="thin">
        <color indexed="9"/>
      </bottom>
      <diagonal/>
    </border>
    <border>
      <left style="hair">
        <color indexed="12"/>
      </left>
      <right style="hair">
        <color indexed="12"/>
      </right>
      <top style="hair">
        <color indexed="12"/>
      </top>
      <bottom style="hair">
        <color indexed="12"/>
      </bottom>
      <diagonal/>
    </border>
    <border>
      <left style="thin">
        <color auto="1"/>
      </left>
      <right style="thin">
        <color auto="1"/>
      </right>
      <top style="thin">
        <color auto="1"/>
      </top>
      <bottom style="thin">
        <color auto="1"/>
      </bottom>
      <diagonal/>
    </border>
    <border>
      <left style="thin">
        <color indexed="54"/>
      </left>
      <right style="thin">
        <color indexed="54"/>
      </right>
      <top style="thin">
        <color indexed="54"/>
      </top>
      <bottom style="thin">
        <color indexed="54"/>
      </bottom>
      <diagonal/>
    </border>
    <border>
      <left/>
      <right/>
      <top style="medium">
        <color indexed="18"/>
      </top>
      <bottom/>
      <diagonal/>
    </border>
    <border>
      <left style="thin">
        <color auto="1"/>
      </left>
      <right style="thin">
        <color auto="1"/>
      </right>
      <top/>
      <bottom style="thin">
        <color auto="1"/>
      </bottom>
      <diagonal/>
    </border>
    <border>
      <left/>
      <right/>
      <top/>
      <bottom style="thin">
        <color indexed="64"/>
      </bottom>
      <diagonal/>
    </border>
  </borders>
  <cellStyleXfs count="13787">
    <xf numFmtId="166" fontId="0" fillId="0" borderId="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75" fontId="6" fillId="3" borderId="0" applyNumberFormat="0" applyBorder="0" applyAlignment="0" applyProtection="0"/>
    <xf numFmtId="0" fontId="6" fillId="3" borderId="0" applyNumberFormat="0" applyBorder="0" applyAlignment="0" applyProtection="0"/>
    <xf numFmtId="175" fontId="61" fillId="2" borderId="0" applyNumberFormat="0" applyBorder="0" applyAlignment="0" applyProtection="0"/>
    <xf numFmtId="175" fontId="61" fillId="2" borderId="0" applyNumberFormat="0" applyBorder="0" applyAlignment="0" applyProtection="0"/>
    <xf numFmtId="175" fontId="61"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175" fontId="61" fillId="2" borderId="0" applyNumberFormat="0" applyBorder="0" applyAlignment="0" applyProtection="0"/>
    <xf numFmtId="0" fontId="61" fillId="2" borderId="0" applyNumberFormat="0" applyBorder="0" applyAlignment="0" applyProtection="0"/>
    <xf numFmtId="175" fontId="6" fillId="5" borderId="0" applyNumberFormat="0" applyBorder="0" applyAlignment="0" applyProtection="0"/>
    <xf numFmtId="0" fontId="6" fillId="5" borderId="0" applyNumberFormat="0" applyBorder="0" applyAlignment="0" applyProtection="0"/>
    <xf numFmtId="175" fontId="61" fillId="4" borderId="0" applyNumberFormat="0" applyBorder="0" applyAlignment="0" applyProtection="0"/>
    <xf numFmtId="175" fontId="61" fillId="4" borderId="0" applyNumberFormat="0" applyBorder="0" applyAlignment="0" applyProtection="0"/>
    <xf numFmtId="175" fontId="61"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175" fontId="61" fillId="4" borderId="0" applyNumberFormat="0" applyBorder="0" applyAlignment="0" applyProtection="0"/>
    <xf numFmtId="0" fontId="61" fillId="4" borderId="0" applyNumberFormat="0" applyBorder="0" applyAlignment="0" applyProtection="0"/>
    <xf numFmtId="175" fontId="6" fillId="7" borderId="0" applyNumberFormat="0" applyBorder="0" applyAlignment="0" applyProtection="0"/>
    <xf numFmtId="0" fontId="6" fillId="7" borderId="0" applyNumberFormat="0" applyBorder="0" applyAlignment="0" applyProtection="0"/>
    <xf numFmtId="175" fontId="61" fillId="6" borderId="0" applyNumberFormat="0" applyBorder="0" applyAlignment="0" applyProtection="0"/>
    <xf numFmtId="175" fontId="61" fillId="6" borderId="0" applyNumberFormat="0" applyBorder="0" applyAlignment="0" applyProtection="0"/>
    <xf numFmtId="175" fontId="61" fillId="6" borderId="0" applyNumberFormat="0" applyBorder="0" applyAlignment="0" applyProtection="0"/>
    <xf numFmtId="0" fontId="61" fillId="6" borderId="0" applyNumberFormat="0" applyBorder="0" applyAlignment="0" applyProtection="0"/>
    <xf numFmtId="0" fontId="61" fillId="6" borderId="0" applyNumberFormat="0" applyBorder="0" applyAlignment="0" applyProtection="0"/>
    <xf numFmtId="175" fontId="61" fillId="6" borderId="0" applyNumberFormat="0" applyBorder="0" applyAlignment="0" applyProtection="0"/>
    <xf numFmtId="0" fontId="61" fillId="6" borderId="0" applyNumberFormat="0" applyBorder="0" applyAlignment="0" applyProtection="0"/>
    <xf numFmtId="175" fontId="6" fillId="8" borderId="0" applyNumberFormat="0" applyBorder="0" applyAlignment="0" applyProtection="0"/>
    <xf numFmtId="0" fontId="6" fillId="8" borderId="0" applyNumberFormat="0" applyBorder="0" applyAlignment="0" applyProtection="0"/>
    <xf numFmtId="175" fontId="61" fillId="2" borderId="0" applyNumberFormat="0" applyBorder="0" applyAlignment="0" applyProtection="0"/>
    <xf numFmtId="175" fontId="61" fillId="2" borderId="0" applyNumberFormat="0" applyBorder="0" applyAlignment="0" applyProtection="0"/>
    <xf numFmtId="175" fontId="61"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175" fontId="61" fillId="2" borderId="0" applyNumberFormat="0" applyBorder="0" applyAlignment="0" applyProtection="0"/>
    <xf numFmtId="0" fontId="61" fillId="2" borderId="0" applyNumberFormat="0" applyBorder="0" applyAlignment="0" applyProtection="0"/>
    <xf numFmtId="175" fontId="6" fillId="9" borderId="0" applyNumberFormat="0" applyBorder="0" applyAlignment="0" applyProtection="0"/>
    <xf numFmtId="0" fontId="6" fillId="9" borderId="0" applyNumberFormat="0" applyBorder="0" applyAlignment="0" applyProtection="0"/>
    <xf numFmtId="175" fontId="61" fillId="36" borderId="0" applyNumberFormat="0" applyBorder="0" applyAlignment="0" applyProtection="0"/>
    <xf numFmtId="175" fontId="61" fillId="36" borderId="0" applyNumberFormat="0" applyBorder="0" applyAlignment="0" applyProtection="0"/>
    <xf numFmtId="175" fontId="61" fillId="36" borderId="0" applyNumberFormat="0" applyBorder="0" applyAlignment="0" applyProtection="0"/>
    <xf numFmtId="0" fontId="61" fillId="36" borderId="0" applyNumberFormat="0" applyBorder="0" applyAlignment="0" applyProtection="0"/>
    <xf numFmtId="0" fontId="61" fillId="36" borderId="0" applyNumberFormat="0" applyBorder="0" applyAlignment="0" applyProtection="0"/>
    <xf numFmtId="175" fontId="61" fillId="36" borderId="0" applyNumberFormat="0" applyBorder="0" applyAlignment="0" applyProtection="0"/>
    <xf numFmtId="0" fontId="61" fillId="36" borderId="0" applyNumberFormat="0" applyBorder="0" applyAlignment="0" applyProtection="0"/>
    <xf numFmtId="175" fontId="6" fillId="4" borderId="0" applyNumberFormat="0" applyBorder="0" applyAlignment="0" applyProtection="0"/>
    <xf numFmtId="0" fontId="6" fillId="4" borderId="0" applyNumberFormat="0" applyBorder="0" applyAlignment="0" applyProtection="0"/>
    <xf numFmtId="175" fontId="61" fillId="37" borderId="0" applyNumberFormat="0" applyBorder="0" applyAlignment="0" applyProtection="0"/>
    <xf numFmtId="175" fontId="61" fillId="37" borderId="0" applyNumberFormat="0" applyBorder="0" applyAlignment="0" applyProtection="0"/>
    <xf numFmtId="175" fontId="61" fillId="37" borderId="0" applyNumberFormat="0" applyBorder="0" applyAlignment="0" applyProtection="0"/>
    <xf numFmtId="0" fontId="61" fillId="37" borderId="0" applyNumberFormat="0" applyBorder="0" applyAlignment="0" applyProtection="0"/>
    <xf numFmtId="0" fontId="61" fillId="37" borderId="0" applyNumberFormat="0" applyBorder="0" applyAlignment="0" applyProtection="0"/>
    <xf numFmtId="175" fontId="61" fillId="37" borderId="0" applyNumberFormat="0" applyBorder="0" applyAlignment="0" applyProtection="0"/>
    <xf numFmtId="0" fontId="61" fillId="37" borderId="0" applyNumberFormat="0" applyBorder="0" applyAlignment="0" applyProtection="0"/>
    <xf numFmtId="175" fontId="6" fillId="11" borderId="0" applyNumberFormat="0" applyBorder="0" applyAlignment="0" applyProtection="0"/>
    <xf numFmtId="0" fontId="6" fillId="11" borderId="0" applyNumberFormat="0" applyBorder="0" applyAlignment="0" applyProtection="0"/>
    <xf numFmtId="175" fontId="61" fillId="10" borderId="0" applyNumberFormat="0" applyBorder="0" applyAlignment="0" applyProtection="0"/>
    <xf numFmtId="175" fontId="61" fillId="10" borderId="0" applyNumberFormat="0" applyBorder="0" applyAlignment="0" applyProtection="0"/>
    <xf numFmtId="175" fontId="61" fillId="10" borderId="0" applyNumberFormat="0" applyBorder="0" applyAlignment="0" applyProtection="0"/>
    <xf numFmtId="0" fontId="61" fillId="10" borderId="0" applyNumberFormat="0" applyBorder="0" applyAlignment="0" applyProtection="0"/>
    <xf numFmtId="0" fontId="61" fillId="10" borderId="0" applyNumberFormat="0" applyBorder="0" applyAlignment="0" applyProtection="0"/>
    <xf numFmtId="175" fontId="61" fillId="10" borderId="0" applyNumberFormat="0" applyBorder="0" applyAlignment="0" applyProtection="0"/>
    <xf numFmtId="0" fontId="61" fillId="10" borderId="0" applyNumberFormat="0" applyBorder="0" applyAlignment="0" applyProtection="0"/>
    <xf numFmtId="175" fontId="6" fillId="12" borderId="0" applyNumberFormat="0" applyBorder="0" applyAlignment="0" applyProtection="0"/>
    <xf numFmtId="0" fontId="6" fillId="12" borderId="0" applyNumberFormat="0" applyBorder="0" applyAlignment="0" applyProtection="0"/>
    <xf numFmtId="175" fontId="61" fillId="38" borderId="0" applyNumberFormat="0" applyBorder="0" applyAlignment="0" applyProtection="0"/>
    <xf numFmtId="175" fontId="61" fillId="38" borderId="0" applyNumberFormat="0" applyBorder="0" applyAlignment="0" applyProtection="0"/>
    <xf numFmtId="175" fontId="61" fillId="38" borderId="0" applyNumberFormat="0" applyBorder="0" applyAlignment="0" applyProtection="0"/>
    <xf numFmtId="0" fontId="61" fillId="38" borderId="0" applyNumberFormat="0" applyBorder="0" applyAlignment="0" applyProtection="0"/>
    <xf numFmtId="0" fontId="61" fillId="38" borderId="0" applyNumberFormat="0" applyBorder="0" applyAlignment="0" applyProtection="0"/>
    <xf numFmtId="175" fontId="61" fillId="38" borderId="0" applyNumberFormat="0" applyBorder="0" applyAlignment="0" applyProtection="0"/>
    <xf numFmtId="0" fontId="61" fillId="38" borderId="0" applyNumberFormat="0" applyBorder="0" applyAlignment="0" applyProtection="0"/>
    <xf numFmtId="175" fontId="6" fillId="14" borderId="0" applyNumberFormat="0" applyBorder="0" applyAlignment="0" applyProtection="0"/>
    <xf numFmtId="0" fontId="6" fillId="14" borderId="0" applyNumberFormat="0" applyBorder="0" applyAlignment="0" applyProtection="0"/>
    <xf numFmtId="175" fontId="61" fillId="13" borderId="0" applyNumberFormat="0" applyBorder="0" applyAlignment="0" applyProtection="0"/>
    <xf numFmtId="175" fontId="61" fillId="13" borderId="0" applyNumberFormat="0" applyBorder="0" applyAlignment="0" applyProtection="0"/>
    <xf numFmtId="175" fontId="61" fillId="13" borderId="0" applyNumberFormat="0" applyBorder="0" applyAlignment="0" applyProtection="0"/>
    <xf numFmtId="0" fontId="61" fillId="13" borderId="0" applyNumberFormat="0" applyBorder="0" applyAlignment="0" applyProtection="0"/>
    <xf numFmtId="0" fontId="61" fillId="13" borderId="0" applyNumberFormat="0" applyBorder="0" applyAlignment="0" applyProtection="0"/>
    <xf numFmtId="175" fontId="61" fillId="13" borderId="0" applyNumberFormat="0" applyBorder="0" applyAlignment="0" applyProtection="0"/>
    <xf numFmtId="0" fontId="61" fillId="13" borderId="0" applyNumberFormat="0" applyBorder="0" applyAlignment="0" applyProtection="0"/>
    <xf numFmtId="175" fontId="6" fillId="8" borderId="0" applyNumberFormat="0" applyBorder="0" applyAlignment="0" applyProtection="0"/>
    <xf numFmtId="0" fontId="6" fillId="8" borderId="0" applyNumberFormat="0" applyBorder="0" applyAlignment="0" applyProtection="0"/>
    <xf numFmtId="175" fontId="61" fillId="10" borderId="0" applyNumberFormat="0" applyBorder="0" applyAlignment="0" applyProtection="0"/>
    <xf numFmtId="175" fontId="61" fillId="10" borderId="0" applyNumberFormat="0" applyBorder="0" applyAlignment="0" applyProtection="0"/>
    <xf numFmtId="175" fontId="61" fillId="10" borderId="0" applyNumberFormat="0" applyBorder="0" applyAlignment="0" applyProtection="0"/>
    <xf numFmtId="0" fontId="61" fillId="10" borderId="0" applyNumberFormat="0" applyBorder="0" applyAlignment="0" applyProtection="0"/>
    <xf numFmtId="0" fontId="61" fillId="10" borderId="0" applyNumberFormat="0" applyBorder="0" applyAlignment="0" applyProtection="0"/>
    <xf numFmtId="175" fontId="61" fillId="10" borderId="0" applyNumberFormat="0" applyBorder="0" applyAlignment="0" applyProtection="0"/>
    <xf numFmtId="0" fontId="61" fillId="10" borderId="0" applyNumberFormat="0" applyBorder="0" applyAlignment="0" applyProtection="0"/>
    <xf numFmtId="175" fontId="6" fillId="11" borderId="0" applyNumberFormat="0" applyBorder="0" applyAlignment="0" applyProtection="0"/>
    <xf numFmtId="0" fontId="6" fillId="11" borderId="0" applyNumberFormat="0" applyBorder="0" applyAlignment="0" applyProtection="0"/>
    <xf numFmtId="175" fontId="61" fillId="39" borderId="0" applyNumberFormat="0" applyBorder="0" applyAlignment="0" applyProtection="0"/>
    <xf numFmtId="175" fontId="61" fillId="39" borderId="0" applyNumberFormat="0" applyBorder="0" applyAlignment="0" applyProtection="0"/>
    <xf numFmtId="175" fontId="61" fillId="39" borderId="0" applyNumberFormat="0" applyBorder="0" applyAlignment="0" applyProtection="0"/>
    <xf numFmtId="0" fontId="61" fillId="39" borderId="0" applyNumberFormat="0" applyBorder="0" applyAlignment="0" applyProtection="0"/>
    <xf numFmtId="0" fontId="61" fillId="39" borderId="0" applyNumberFormat="0" applyBorder="0" applyAlignment="0" applyProtection="0"/>
    <xf numFmtId="175" fontId="61" fillId="39" borderId="0" applyNumberFormat="0" applyBorder="0" applyAlignment="0" applyProtection="0"/>
    <xf numFmtId="0" fontId="61" fillId="39" borderId="0" applyNumberFormat="0" applyBorder="0" applyAlignment="0" applyProtection="0"/>
    <xf numFmtId="175" fontId="6" fillId="15" borderId="0" applyNumberFormat="0" applyBorder="0" applyAlignment="0" applyProtection="0"/>
    <xf numFmtId="0" fontId="6" fillId="15" borderId="0" applyNumberFormat="0" applyBorder="0" applyAlignment="0" applyProtection="0"/>
    <xf numFmtId="175" fontId="61" fillId="4" borderId="0" applyNumberFormat="0" applyBorder="0" applyAlignment="0" applyProtection="0"/>
    <xf numFmtId="175" fontId="61" fillId="4" borderId="0" applyNumberFormat="0" applyBorder="0" applyAlignment="0" applyProtection="0"/>
    <xf numFmtId="175" fontId="61"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175" fontId="61" fillId="4" borderId="0" applyNumberFormat="0" applyBorder="0" applyAlignment="0" applyProtection="0"/>
    <xf numFmtId="0" fontId="61" fillId="4" borderId="0" applyNumberFormat="0" applyBorder="0" applyAlignment="0" applyProtection="0"/>
    <xf numFmtId="175" fontId="38" fillId="17" borderId="0" applyNumberFormat="0" applyBorder="0" applyAlignment="0" applyProtection="0"/>
    <xf numFmtId="0" fontId="38" fillId="17" borderId="0" applyNumberFormat="0" applyBorder="0" applyAlignment="0" applyProtection="0"/>
    <xf numFmtId="175" fontId="62" fillId="16" borderId="0" applyNumberFormat="0" applyBorder="0" applyAlignment="0" applyProtection="0"/>
    <xf numFmtId="0" fontId="62" fillId="16" borderId="0" applyNumberFormat="0" applyBorder="0" applyAlignment="0" applyProtection="0"/>
    <xf numFmtId="175" fontId="38" fillId="12" borderId="0" applyNumberFormat="0" applyBorder="0" applyAlignment="0" applyProtection="0"/>
    <xf numFmtId="0" fontId="38" fillId="12" borderId="0" applyNumberFormat="0" applyBorder="0" applyAlignment="0" applyProtection="0"/>
    <xf numFmtId="175" fontId="62" fillId="40" borderId="0" applyNumberFormat="0" applyBorder="0" applyAlignment="0" applyProtection="0"/>
    <xf numFmtId="0" fontId="62" fillId="40" borderId="0" applyNumberFormat="0" applyBorder="0" applyAlignment="0" applyProtection="0"/>
    <xf numFmtId="175" fontId="38" fillId="14" borderId="0" applyNumberFormat="0" applyBorder="0" applyAlignment="0" applyProtection="0"/>
    <xf numFmtId="0" fontId="38" fillId="14" borderId="0" applyNumberFormat="0" applyBorder="0" applyAlignment="0" applyProtection="0"/>
    <xf numFmtId="175" fontId="62" fillId="13" borderId="0" applyNumberFormat="0" applyBorder="0" applyAlignment="0" applyProtection="0"/>
    <xf numFmtId="0" fontId="62" fillId="13" borderId="0" applyNumberFormat="0" applyBorder="0" applyAlignment="0" applyProtection="0"/>
    <xf numFmtId="175" fontId="38" fillId="18" borderId="0" applyNumberFormat="0" applyBorder="0" applyAlignment="0" applyProtection="0"/>
    <xf numFmtId="0" fontId="38" fillId="18" borderId="0" applyNumberFormat="0" applyBorder="0" applyAlignment="0" applyProtection="0"/>
    <xf numFmtId="175" fontId="62" fillId="10" borderId="0" applyNumberFormat="0" applyBorder="0" applyAlignment="0" applyProtection="0"/>
    <xf numFmtId="0" fontId="62" fillId="10" borderId="0" applyNumberFormat="0" applyBorder="0" applyAlignment="0" applyProtection="0"/>
    <xf numFmtId="175" fontId="38" fillId="16" borderId="0" applyNumberFormat="0" applyBorder="0" applyAlignment="0" applyProtection="0"/>
    <xf numFmtId="0" fontId="38" fillId="16" borderId="0" applyNumberFormat="0" applyBorder="0" applyAlignment="0" applyProtection="0"/>
    <xf numFmtId="175" fontId="62" fillId="41" borderId="0" applyNumberFormat="0" applyBorder="0" applyAlignment="0" applyProtection="0"/>
    <xf numFmtId="0" fontId="62" fillId="41" borderId="0" applyNumberFormat="0" applyBorder="0" applyAlignment="0" applyProtection="0"/>
    <xf numFmtId="175" fontId="38" fillId="19" borderId="0" applyNumberFormat="0" applyBorder="0" applyAlignment="0" applyProtection="0"/>
    <xf numFmtId="0" fontId="38" fillId="19" borderId="0" applyNumberFormat="0" applyBorder="0" applyAlignment="0" applyProtection="0"/>
    <xf numFmtId="175" fontId="62" fillId="4" borderId="0" applyNumberFormat="0" applyBorder="0" applyAlignment="0" applyProtection="0"/>
    <xf numFmtId="0" fontId="62" fillId="4" borderId="0" applyNumberFormat="0" applyBorder="0" applyAlignment="0" applyProtection="0"/>
    <xf numFmtId="175" fontId="38" fillId="20" borderId="0" applyNumberFormat="0" applyBorder="0" applyAlignment="0" applyProtection="0"/>
    <xf numFmtId="0" fontId="38" fillId="20" borderId="0" applyNumberFormat="0" applyBorder="0" applyAlignment="0" applyProtection="0"/>
    <xf numFmtId="175" fontId="62" fillId="16" borderId="0" applyNumberFormat="0" applyBorder="0" applyAlignment="0" applyProtection="0"/>
    <xf numFmtId="0" fontId="62" fillId="16" borderId="0" applyNumberFormat="0" applyBorder="0" applyAlignment="0" applyProtection="0"/>
    <xf numFmtId="175" fontId="38" fillId="21" borderId="0" applyNumberFormat="0" applyBorder="0" applyAlignment="0" applyProtection="0"/>
    <xf numFmtId="0" fontId="38" fillId="21" borderId="0" applyNumberFormat="0" applyBorder="0" applyAlignment="0" applyProtection="0"/>
    <xf numFmtId="175" fontId="62" fillId="22" borderId="0" applyNumberFormat="0" applyBorder="0" applyAlignment="0" applyProtection="0"/>
    <xf numFmtId="0" fontId="62" fillId="22" borderId="0" applyNumberFormat="0" applyBorder="0" applyAlignment="0" applyProtection="0"/>
    <xf numFmtId="175" fontId="38" fillId="23" borderId="0" applyNumberFormat="0" applyBorder="0" applyAlignment="0" applyProtection="0"/>
    <xf numFmtId="0" fontId="38" fillId="23" borderId="0" applyNumberFormat="0" applyBorder="0" applyAlignment="0" applyProtection="0"/>
    <xf numFmtId="175" fontId="62" fillId="22" borderId="0" applyNumberFormat="0" applyBorder="0" applyAlignment="0" applyProtection="0"/>
    <xf numFmtId="0" fontId="62" fillId="22" borderId="0" applyNumberFormat="0" applyBorder="0" applyAlignment="0" applyProtection="0"/>
    <xf numFmtId="175" fontId="38" fillId="18" borderId="0" applyNumberFormat="0" applyBorder="0" applyAlignment="0" applyProtection="0"/>
    <xf numFmtId="0" fontId="38" fillId="18" borderId="0" applyNumberFormat="0" applyBorder="0" applyAlignment="0" applyProtection="0"/>
    <xf numFmtId="175" fontId="62" fillId="24" borderId="0" applyNumberFormat="0" applyBorder="0" applyAlignment="0" applyProtection="0"/>
    <xf numFmtId="0" fontId="62" fillId="24" borderId="0" applyNumberFormat="0" applyBorder="0" applyAlignment="0" applyProtection="0"/>
    <xf numFmtId="175" fontId="38" fillId="16" borderId="0" applyNumberFormat="0" applyBorder="0" applyAlignment="0" applyProtection="0"/>
    <xf numFmtId="0" fontId="38" fillId="16" borderId="0" applyNumberFormat="0" applyBorder="0" applyAlignment="0" applyProtection="0"/>
    <xf numFmtId="175" fontId="62" fillId="42" borderId="0" applyNumberFormat="0" applyBorder="0" applyAlignment="0" applyProtection="0"/>
    <xf numFmtId="0" fontId="62" fillId="42" borderId="0" applyNumberFormat="0" applyBorder="0" applyAlignment="0" applyProtection="0"/>
    <xf numFmtId="175" fontId="38" fillId="25" borderId="0" applyNumberFormat="0" applyBorder="0" applyAlignment="0" applyProtection="0"/>
    <xf numFmtId="0" fontId="38" fillId="25" borderId="0" applyNumberFormat="0" applyBorder="0" applyAlignment="0" applyProtection="0"/>
    <xf numFmtId="175" fontId="62" fillId="43" borderId="0" applyNumberFormat="0" applyBorder="0" applyAlignment="0" applyProtection="0"/>
    <xf numFmtId="0" fontId="62" fillId="43" borderId="0" applyNumberFormat="0" applyBorder="0" applyAlignment="0" applyProtection="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75" fontId="39" fillId="5" borderId="0" applyNumberFormat="0" applyBorder="0" applyAlignment="0" applyProtection="0"/>
    <xf numFmtId="0" fontId="39" fillId="5" borderId="0" applyNumberFormat="0" applyBorder="0" applyAlignment="0" applyProtection="0"/>
    <xf numFmtId="175" fontId="63" fillId="44" borderId="0" applyNumberFormat="0" applyBorder="0" applyAlignment="0" applyProtection="0"/>
    <xf numFmtId="0" fontId="63" fillId="44" borderId="0" applyNumberFormat="0" applyBorder="0" applyAlignment="0" applyProtection="0"/>
    <xf numFmtId="175" fontId="40" fillId="10" borderId="1" applyNumberFormat="0" applyAlignment="0" applyProtection="0"/>
    <xf numFmtId="0" fontId="40" fillId="10" borderId="1" applyNumberFormat="0" applyAlignment="0" applyProtection="0"/>
    <xf numFmtId="175" fontId="40" fillId="10" borderId="1" applyNumberFormat="0" applyAlignment="0" applyProtection="0"/>
    <xf numFmtId="175" fontId="64" fillId="2" borderId="33" applyNumberFormat="0" applyAlignment="0" applyProtection="0"/>
    <xf numFmtId="0" fontId="64" fillId="2" borderId="33" applyNumberFormat="0" applyAlignment="0" applyProtection="0"/>
    <xf numFmtId="175" fontId="41" fillId="26" borderId="2" applyNumberFormat="0" applyAlignment="0" applyProtection="0"/>
    <xf numFmtId="0" fontId="41" fillId="26" borderId="2" applyNumberFormat="0" applyAlignment="0" applyProtection="0"/>
    <xf numFmtId="175" fontId="65" fillId="45" borderId="34" applyNumberFormat="0" applyAlignment="0" applyProtection="0"/>
    <xf numFmtId="0" fontId="65" fillId="45" borderId="34" applyNumberFormat="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50" fillId="0" borderId="0" applyFont="0" applyFill="0" applyBorder="0" applyAlignment="0" applyProtection="0"/>
    <xf numFmtId="43" fontId="50" fillId="0" borderId="0" applyFont="0" applyFill="0" applyBorder="0" applyAlignment="0" applyProtection="0"/>
    <xf numFmtId="43" fontId="57"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4" fontId="10"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0"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175" fontId="42" fillId="0" borderId="0" applyNumberFormat="0" applyFill="0" applyBorder="0" applyAlignment="0" applyProtection="0"/>
    <xf numFmtId="0" fontId="42" fillId="0" borderId="0" applyNumberFormat="0" applyFill="0" applyBorder="0" applyAlignment="0" applyProtection="0"/>
    <xf numFmtId="175" fontId="66" fillId="0" borderId="0" applyNumberFormat="0" applyFill="0" applyBorder="0" applyAlignment="0" applyProtection="0"/>
    <xf numFmtId="0" fontId="66" fillId="0" borderId="0" applyNumberFormat="0" applyFill="0" applyBorder="0" applyAlignment="0" applyProtection="0"/>
    <xf numFmtId="164" fontId="14" fillId="0" borderId="0"/>
    <xf numFmtId="164" fontId="14" fillId="0" borderId="0"/>
    <xf numFmtId="164" fontId="14" fillId="0" borderId="0"/>
    <xf numFmtId="164" fontId="14" fillId="0" borderId="0"/>
    <xf numFmtId="164" fontId="14" fillId="0" borderId="0"/>
    <xf numFmtId="164" fontId="14" fillId="0" borderId="0"/>
    <xf numFmtId="169" fontId="14" fillId="0" borderId="0"/>
    <xf numFmtId="170" fontId="14" fillId="0" borderId="0"/>
    <xf numFmtId="175" fontId="43" fillId="7" borderId="0" applyNumberFormat="0" applyBorder="0" applyAlignment="0" applyProtection="0"/>
    <xf numFmtId="0" fontId="43" fillId="7" borderId="0" applyNumberFormat="0" applyBorder="0" applyAlignment="0" applyProtection="0"/>
    <xf numFmtId="175" fontId="67" fillId="46" borderId="0" applyNumberFormat="0" applyBorder="0" applyAlignment="0" applyProtection="0"/>
    <xf numFmtId="0" fontId="67" fillId="46" borderId="0" applyNumberFormat="0" applyBorder="0" applyAlignment="0" applyProtection="0"/>
    <xf numFmtId="175" fontId="52" fillId="0" borderId="4" applyNumberFormat="0" applyFill="0" applyAlignment="0" applyProtection="0"/>
    <xf numFmtId="0" fontId="52" fillId="0" borderId="4" applyNumberFormat="0" applyFill="0" applyAlignment="0" applyProtection="0"/>
    <xf numFmtId="175" fontId="58" fillId="0" borderId="3" applyNumberFormat="0" applyFill="0" applyAlignment="0" applyProtection="0"/>
    <xf numFmtId="0" fontId="58" fillId="0" borderId="3" applyNumberFormat="0" applyFill="0" applyAlignment="0" applyProtection="0"/>
    <xf numFmtId="175" fontId="53" fillId="0" borderId="5" applyNumberFormat="0" applyFill="0" applyAlignment="0" applyProtection="0"/>
    <xf numFmtId="0" fontId="53" fillId="0" borderId="5" applyNumberFormat="0" applyFill="0" applyAlignment="0" applyProtection="0"/>
    <xf numFmtId="175" fontId="68" fillId="0" borderId="35" applyNumberFormat="0" applyFill="0" applyAlignment="0" applyProtection="0"/>
    <xf numFmtId="0" fontId="68" fillId="0" borderId="35" applyNumberFormat="0" applyFill="0" applyAlignment="0" applyProtection="0"/>
    <xf numFmtId="175" fontId="54" fillId="0" borderId="7" applyNumberFormat="0" applyFill="0" applyAlignment="0" applyProtection="0"/>
    <xf numFmtId="175" fontId="54" fillId="0" borderId="7" applyNumberFormat="0" applyFill="0" applyAlignment="0" applyProtection="0"/>
    <xf numFmtId="0" fontId="54" fillId="0" borderId="7" applyNumberFormat="0" applyFill="0" applyAlignment="0" applyProtection="0"/>
    <xf numFmtId="0" fontId="54" fillId="0" borderId="7" applyNumberFormat="0" applyFill="0" applyAlignment="0" applyProtection="0"/>
    <xf numFmtId="175" fontId="54" fillId="0" borderId="7" applyNumberFormat="0" applyFill="0" applyAlignment="0" applyProtection="0"/>
    <xf numFmtId="175" fontId="54" fillId="0" borderId="7" applyNumberFormat="0" applyFill="0" applyAlignment="0" applyProtection="0"/>
    <xf numFmtId="0" fontId="54" fillId="0" borderId="7" applyNumberFormat="0" applyFill="0" applyAlignment="0" applyProtection="0"/>
    <xf numFmtId="175" fontId="54" fillId="0" borderId="7" applyNumberFormat="0" applyFill="0" applyAlignment="0" applyProtection="0"/>
    <xf numFmtId="0" fontId="54" fillId="0" borderId="7" applyNumberFormat="0" applyFill="0" applyAlignment="0" applyProtection="0"/>
    <xf numFmtId="0" fontId="54" fillId="0" borderId="7" applyNumberFormat="0" applyFill="0" applyAlignment="0" applyProtection="0"/>
    <xf numFmtId="175" fontId="54" fillId="0" borderId="7" applyNumberFormat="0" applyFill="0" applyAlignment="0" applyProtection="0"/>
    <xf numFmtId="175" fontId="59" fillId="0" borderId="6" applyNumberFormat="0" applyFill="0" applyAlignment="0" applyProtection="0"/>
    <xf numFmtId="0" fontId="59" fillId="0" borderId="6" applyNumberFormat="0" applyFill="0" applyAlignment="0" applyProtection="0"/>
    <xf numFmtId="175" fontId="54" fillId="0" borderId="0" applyNumberFormat="0" applyFill="0" applyBorder="0" applyAlignment="0" applyProtection="0"/>
    <xf numFmtId="0" fontId="54" fillId="0" borderId="0" applyNumberFormat="0" applyFill="0" applyBorder="0" applyAlignment="0" applyProtection="0"/>
    <xf numFmtId="175" fontId="59" fillId="0" borderId="0" applyNumberFormat="0" applyFill="0" applyBorder="0" applyAlignment="0" applyProtection="0"/>
    <xf numFmtId="0" fontId="59" fillId="0" borderId="0" applyNumberFormat="0" applyFill="0" applyBorder="0" applyAlignment="0" applyProtection="0"/>
    <xf numFmtId="0" fontId="51" fillId="0" borderId="0" applyNumberFormat="0" applyFill="0" applyBorder="0" applyAlignment="0" applyProtection="0">
      <alignment vertical="top"/>
      <protection locked="0"/>
    </xf>
    <xf numFmtId="175" fontId="44" fillId="4" borderId="1" applyNumberFormat="0" applyAlignment="0" applyProtection="0"/>
    <xf numFmtId="0" fontId="44" fillId="4" borderId="1" applyNumberFormat="0" applyAlignment="0" applyProtection="0"/>
    <xf numFmtId="175" fontId="44" fillId="4" borderId="1" applyNumberFormat="0" applyAlignment="0" applyProtection="0"/>
    <xf numFmtId="175" fontId="69" fillId="47" borderId="33" applyNumberFormat="0" applyAlignment="0" applyProtection="0"/>
    <xf numFmtId="0" fontId="69" fillId="47" borderId="33" applyNumberFormat="0" applyAlignment="0" applyProtection="0"/>
    <xf numFmtId="175" fontId="45" fillId="0" borderId="8" applyNumberFormat="0" applyFill="0" applyAlignment="0" applyProtection="0"/>
    <xf numFmtId="0" fontId="45" fillId="0" borderId="8" applyNumberFormat="0" applyFill="0" applyAlignment="0" applyProtection="0"/>
    <xf numFmtId="175" fontId="70" fillId="0" borderId="36" applyNumberFormat="0" applyFill="0" applyAlignment="0" applyProtection="0"/>
    <xf numFmtId="0" fontId="70" fillId="0" borderId="36" applyNumberFormat="0" applyFill="0" applyAlignment="0" applyProtection="0"/>
    <xf numFmtId="175" fontId="46" fillId="13" borderId="0" applyNumberFormat="0" applyBorder="0" applyAlignment="0" applyProtection="0"/>
    <xf numFmtId="0" fontId="46" fillId="13" borderId="0" applyNumberFormat="0" applyBorder="0" applyAlignment="0" applyProtection="0"/>
    <xf numFmtId="175" fontId="71" fillId="48" borderId="0" applyNumberFormat="0" applyBorder="0" applyAlignment="0" applyProtection="0"/>
    <xf numFmtId="0" fontId="71" fillId="48" borderId="0" applyNumberFormat="0" applyBorder="0" applyAlignment="0" applyProtection="0"/>
    <xf numFmtId="166" fontId="73" fillId="0" borderId="0"/>
    <xf numFmtId="0" fontId="61" fillId="0" borderId="0"/>
    <xf numFmtId="0" fontId="61" fillId="0" borderId="0"/>
    <xf numFmtId="0" fontId="72" fillId="0" borderId="0"/>
    <xf numFmtId="0" fontId="72" fillId="0" borderId="0"/>
    <xf numFmtId="0" fontId="72" fillId="0" borderId="0"/>
    <xf numFmtId="165" fontId="11" fillId="0" borderId="0"/>
    <xf numFmtId="0" fontId="61" fillId="0" borderId="0"/>
    <xf numFmtId="167"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1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11" fillId="0" borderId="0"/>
    <xf numFmtId="166" fontId="61" fillId="0" borderId="0"/>
    <xf numFmtId="166" fontId="61" fillId="0" borderId="0"/>
    <xf numFmtId="166" fontId="61" fillId="0" borderId="0"/>
    <xf numFmtId="166" fontId="61" fillId="0" borderId="0"/>
    <xf numFmtId="166"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0" fontId="1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75" fontId="1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167" fontId="61" fillId="0" borderId="0"/>
    <xf numFmtId="175" fontId="61" fillId="0" borderId="0"/>
    <xf numFmtId="175" fontId="61" fillId="0" borderId="0"/>
    <xf numFmtId="0" fontId="61" fillId="0" borderId="0"/>
    <xf numFmtId="0" fontId="61" fillId="0" borderId="0"/>
    <xf numFmtId="175" fontId="61" fillId="0" borderId="0"/>
    <xf numFmtId="175" fontId="61" fillId="0" borderId="0"/>
    <xf numFmtId="0" fontId="11" fillId="0" borderId="0"/>
    <xf numFmtId="0" fontId="61" fillId="0" borderId="0"/>
    <xf numFmtId="38" fontId="11" fillId="0" borderId="0" applyFont="0" applyFill="0" applyBorder="0" applyAlignment="0" applyProtection="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0" fontId="61" fillId="0" borderId="0"/>
    <xf numFmtId="0" fontId="6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75" fontId="61" fillId="0" borderId="0"/>
    <xf numFmtId="167" fontId="11" fillId="0" borderId="0"/>
    <xf numFmtId="167" fontId="11" fillId="0" borderId="0"/>
    <xf numFmtId="167" fontId="11" fillId="0" borderId="0"/>
    <xf numFmtId="167" fontId="11" fillId="0" borderId="0"/>
    <xf numFmtId="175" fontId="61" fillId="0" borderId="0"/>
    <xf numFmtId="167" fontId="11" fillId="0" borderId="0"/>
    <xf numFmtId="167" fontId="11" fillId="0" borderId="0"/>
    <xf numFmtId="167" fontId="11" fillId="0" borderId="0"/>
    <xf numFmtId="167" fontId="11" fillId="0" borderId="0"/>
    <xf numFmtId="167" fontId="11" fillId="0" borderId="0"/>
    <xf numFmtId="38" fontId="35" fillId="0" borderId="0" applyFont="0" applyFill="0" applyBorder="0" applyAlignment="0" applyProtection="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7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75" fontId="61" fillId="0" borderId="0"/>
    <xf numFmtId="175"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0" fontId="72" fillId="0" borderId="0"/>
    <xf numFmtId="0" fontId="61" fillId="0" borderId="0"/>
    <xf numFmtId="0"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75" fontId="61" fillId="0" borderId="0"/>
    <xf numFmtId="166" fontId="72" fillId="0" borderId="0"/>
    <xf numFmtId="166" fontId="72" fillId="0" borderId="0"/>
    <xf numFmtId="166" fontId="72" fillId="0" borderId="0"/>
    <xf numFmtId="166" fontId="72" fillId="0" borderId="0"/>
    <xf numFmtId="166" fontId="72" fillId="0" borderId="0"/>
    <xf numFmtId="175" fontId="61" fillId="0" borderId="0"/>
    <xf numFmtId="166" fontId="72" fillId="0" borderId="0"/>
    <xf numFmtId="166" fontId="72" fillId="0" borderId="0"/>
    <xf numFmtId="166" fontId="72" fillId="0" borderId="0"/>
    <xf numFmtId="166" fontId="72" fillId="0" borderId="0"/>
    <xf numFmtId="166" fontId="72"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75" fontId="61" fillId="0" borderId="0"/>
    <xf numFmtId="175" fontId="6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75" fontId="6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75" fontId="61" fillId="0" borderId="0"/>
    <xf numFmtId="166" fontId="11" fillId="0" borderId="0"/>
    <xf numFmtId="166" fontId="11" fillId="0" borderId="0"/>
    <xf numFmtId="166" fontId="11" fillId="0" borderId="0"/>
    <xf numFmtId="166" fontId="11" fillId="0" borderId="0"/>
    <xf numFmtId="166" fontId="11"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75" fontId="61"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0"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75" fontId="61" fillId="0" borderId="0"/>
    <xf numFmtId="166" fontId="73" fillId="0" borderId="0"/>
    <xf numFmtId="166" fontId="73" fillId="0" borderId="0"/>
    <xf numFmtId="166" fontId="73" fillId="0" borderId="0"/>
    <xf numFmtId="166" fontId="73" fillId="0" borderId="0"/>
    <xf numFmtId="166" fontId="73"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75" fontId="61"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75" fontId="61" fillId="0" borderId="0"/>
    <xf numFmtId="166" fontId="14" fillId="0" borderId="0"/>
    <xf numFmtId="166" fontId="14" fillId="0" borderId="0"/>
    <xf numFmtId="166" fontId="14" fillId="0" borderId="0"/>
    <xf numFmtId="166" fontId="14" fillId="0" borderId="0"/>
    <xf numFmtId="166" fontId="14" fillId="0" borderId="0"/>
    <xf numFmtId="175" fontId="11" fillId="6" borderId="9" applyNumberFormat="0" applyFont="0" applyAlignment="0" applyProtection="0"/>
    <xf numFmtId="0" fontId="11" fillId="6" borderId="9" applyNumberFormat="0" applyFont="0" applyAlignment="0" applyProtection="0"/>
    <xf numFmtId="175" fontId="11" fillId="6" borderId="9" applyNumberFormat="0" applyFont="0" applyAlignment="0" applyProtection="0"/>
    <xf numFmtId="175" fontId="50" fillId="49" borderId="37" applyNumberFormat="0" applyFont="0" applyAlignment="0" applyProtection="0"/>
    <xf numFmtId="175" fontId="50" fillId="49" borderId="37" applyNumberFormat="0" applyFont="0" applyAlignment="0" applyProtection="0"/>
    <xf numFmtId="175" fontId="50" fillId="49" borderId="37" applyNumberFormat="0" applyFont="0" applyAlignment="0" applyProtection="0"/>
    <xf numFmtId="0" fontId="50" fillId="49" borderId="37" applyNumberFormat="0" applyFont="0" applyAlignment="0" applyProtection="0"/>
    <xf numFmtId="0" fontId="50" fillId="49" borderId="37" applyNumberFormat="0" applyFont="0" applyAlignment="0" applyProtection="0"/>
    <xf numFmtId="175" fontId="50" fillId="49" borderId="37" applyNumberFormat="0" applyFont="0" applyAlignment="0" applyProtection="0"/>
    <xf numFmtId="0" fontId="50" fillId="49" borderId="37" applyNumberFormat="0" applyFont="0" applyAlignment="0" applyProtection="0"/>
    <xf numFmtId="0" fontId="50" fillId="49" borderId="37" applyNumberFormat="0" applyFont="0" applyAlignment="0" applyProtection="0"/>
    <xf numFmtId="175" fontId="47" fillId="10" borderId="10" applyNumberFormat="0" applyAlignment="0" applyProtection="0"/>
    <xf numFmtId="0" fontId="47" fillId="10" borderId="10" applyNumberFormat="0" applyAlignment="0" applyProtection="0"/>
    <xf numFmtId="175" fontId="47" fillId="10" borderId="10" applyNumberFormat="0" applyAlignment="0" applyProtection="0"/>
    <xf numFmtId="175" fontId="74" fillId="2" borderId="38" applyNumberFormat="0" applyAlignment="0" applyProtection="0"/>
    <xf numFmtId="0" fontId="74" fillId="2" borderId="38"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3" fontId="15" fillId="0" borderId="0" applyFont="0" applyFill="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4" fillId="0" borderId="0"/>
    <xf numFmtId="166" fontId="17" fillId="0" borderId="0"/>
    <xf numFmtId="166" fontId="18" fillId="0" borderId="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4" fillId="0" borderId="0"/>
    <xf numFmtId="175" fontId="55" fillId="0" borderId="0" applyNumberFormat="0" applyFill="0" applyBorder="0" applyAlignment="0" applyProtection="0"/>
    <xf numFmtId="0" fontId="55" fillId="0" borderId="0" applyNumberFormat="0" applyFill="0" applyBorder="0" applyAlignment="0" applyProtection="0"/>
    <xf numFmtId="175" fontId="60" fillId="0" borderId="0" applyNumberFormat="0" applyFill="0" applyBorder="0" applyAlignment="0" applyProtection="0"/>
    <xf numFmtId="0" fontId="60" fillId="0" borderId="0" applyNumberFormat="0" applyFill="0" applyBorder="0" applyAlignment="0" applyProtection="0"/>
    <xf numFmtId="175" fontId="48" fillId="0" borderId="13" applyNumberFormat="0" applyFill="0" applyAlignment="0" applyProtection="0"/>
    <xf numFmtId="0" fontId="48" fillId="0" borderId="13" applyNumberFormat="0" applyFill="0" applyAlignment="0" applyProtection="0"/>
    <xf numFmtId="175" fontId="48" fillId="0" borderId="13" applyNumberFormat="0" applyFill="0" applyAlignment="0" applyProtection="0"/>
    <xf numFmtId="175" fontId="75" fillId="0" borderId="12" applyNumberFormat="0" applyFill="0" applyAlignment="0" applyProtection="0"/>
    <xf numFmtId="0" fontId="75" fillId="0" borderId="12" applyNumberFormat="0" applyFill="0" applyAlignment="0" applyProtection="0"/>
    <xf numFmtId="175" fontId="49" fillId="0" borderId="0" applyNumberFormat="0" applyFill="0" applyBorder="0" applyAlignment="0" applyProtection="0"/>
    <xf numFmtId="0" fontId="49" fillId="0" borderId="0" applyNumberFormat="0" applyFill="0" applyBorder="0" applyAlignment="0" applyProtection="0"/>
    <xf numFmtId="175" fontId="76" fillId="0" borderId="0" applyNumberFormat="0" applyFill="0" applyBorder="0" applyAlignment="0" applyProtection="0"/>
    <xf numFmtId="0" fontId="76" fillId="0" borderId="0" applyNumberFormat="0" applyFill="0" applyBorder="0" applyAlignment="0" applyProtection="0"/>
    <xf numFmtId="175" fontId="5" fillId="2" borderId="0" applyNumberFormat="0" applyBorder="0" applyAlignment="0" applyProtection="0"/>
    <xf numFmtId="175" fontId="5" fillId="2" borderId="0" applyNumberFormat="0" applyBorder="0" applyAlignment="0" applyProtection="0"/>
    <xf numFmtId="175"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175" fontId="5" fillId="2" borderId="0" applyNumberFormat="0" applyBorder="0" applyAlignment="0" applyProtection="0"/>
    <xf numFmtId="0" fontId="5" fillId="2" borderId="0" applyNumberFormat="0" applyBorder="0" applyAlignment="0" applyProtection="0"/>
    <xf numFmtId="175" fontId="5" fillId="4" borderId="0" applyNumberFormat="0" applyBorder="0" applyAlignment="0" applyProtection="0"/>
    <xf numFmtId="175" fontId="5" fillId="4" borderId="0" applyNumberFormat="0" applyBorder="0" applyAlignment="0" applyProtection="0"/>
    <xf numFmtId="175"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75" fontId="5" fillId="4" borderId="0" applyNumberFormat="0" applyBorder="0" applyAlignment="0" applyProtection="0"/>
    <xf numFmtId="0" fontId="5" fillId="4" borderId="0" applyNumberFormat="0" applyBorder="0" applyAlignment="0" applyProtection="0"/>
    <xf numFmtId="175" fontId="5" fillId="6" borderId="0" applyNumberFormat="0" applyBorder="0" applyAlignment="0" applyProtection="0"/>
    <xf numFmtId="175" fontId="5" fillId="6" borderId="0" applyNumberFormat="0" applyBorder="0" applyAlignment="0" applyProtection="0"/>
    <xf numFmtId="175"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175" fontId="5" fillId="6" borderId="0" applyNumberFormat="0" applyBorder="0" applyAlignment="0" applyProtection="0"/>
    <xf numFmtId="0" fontId="5" fillId="6" borderId="0" applyNumberFormat="0" applyBorder="0" applyAlignment="0" applyProtection="0"/>
    <xf numFmtId="175" fontId="5" fillId="2" borderId="0" applyNumberFormat="0" applyBorder="0" applyAlignment="0" applyProtection="0"/>
    <xf numFmtId="175" fontId="5" fillId="2" borderId="0" applyNumberFormat="0" applyBorder="0" applyAlignment="0" applyProtection="0"/>
    <xf numFmtId="175"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175" fontId="5" fillId="2" borderId="0" applyNumberFormat="0" applyBorder="0" applyAlignment="0" applyProtection="0"/>
    <xf numFmtId="0" fontId="5" fillId="2" borderId="0" applyNumberFormat="0" applyBorder="0" applyAlignment="0" applyProtection="0"/>
    <xf numFmtId="175" fontId="5" fillId="36" borderId="0" applyNumberFormat="0" applyBorder="0" applyAlignment="0" applyProtection="0"/>
    <xf numFmtId="175" fontId="5" fillId="36" borderId="0" applyNumberFormat="0" applyBorder="0" applyAlignment="0" applyProtection="0"/>
    <xf numFmtId="175"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175" fontId="5" fillId="36" borderId="0" applyNumberFormat="0" applyBorder="0" applyAlignment="0" applyProtection="0"/>
    <xf numFmtId="0" fontId="5" fillId="36" borderId="0" applyNumberFormat="0" applyBorder="0" applyAlignment="0" applyProtection="0"/>
    <xf numFmtId="175" fontId="5" fillId="37" borderId="0" applyNumberFormat="0" applyBorder="0" applyAlignment="0" applyProtection="0"/>
    <xf numFmtId="175" fontId="5" fillId="37" borderId="0" applyNumberFormat="0" applyBorder="0" applyAlignment="0" applyProtection="0"/>
    <xf numFmtId="175" fontId="5" fillId="37" borderId="0" applyNumberFormat="0" applyBorder="0" applyAlignment="0" applyProtection="0"/>
    <xf numFmtId="0" fontId="5" fillId="37" borderId="0" applyNumberFormat="0" applyBorder="0" applyAlignment="0" applyProtection="0"/>
    <xf numFmtId="0" fontId="5" fillId="37" borderId="0" applyNumberFormat="0" applyBorder="0" applyAlignment="0" applyProtection="0"/>
    <xf numFmtId="175" fontId="5" fillId="37" borderId="0" applyNumberFormat="0" applyBorder="0" applyAlignment="0" applyProtection="0"/>
    <xf numFmtId="0" fontId="5" fillId="37" borderId="0" applyNumberFormat="0" applyBorder="0" applyAlignment="0" applyProtection="0"/>
    <xf numFmtId="175" fontId="5" fillId="10" borderId="0" applyNumberFormat="0" applyBorder="0" applyAlignment="0" applyProtection="0"/>
    <xf numFmtId="175" fontId="5" fillId="10" borderId="0" applyNumberFormat="0" applyBorder="0" applyAlignment="0" applyProtection="0"/>
    <xf numFmtId="175"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175" fontId="5" fillId="10" borderId="0" applyNumberFormat="0" applyBorder="0" applyAlignment="0" applyProtection="0"/>
    <xf numFmtId="0" fontId="5" fillId="10" borderId="0" applyNumberFormat="0" applyBorder="0" applyAlignment="0" applyProtection="0"/>
    <xf numFmtId="175" fontId="5" fillId="38" borderId="0" applyNumberFormat="0" applyBorder="0" applyAlignment="0" applyProtection="0"/>
    <xf numFmtId="175" fontId="5" fillId="38" borderId="0" applyNumberFormat="0" applyBorder="0" applyAlignment="0" applyProtection="0"/>
    <xf numFmtId="175" fontId="5" fillId="38" borderId="0" applyNumberFormat="0" applyBorder="0" applyAlignment="0" applyProtection="0"/>
    <xf numFmtId="0" fontId="5" fillId="38" borderId="0" applyNumberFormat="0" applyBorder="0" applyAlignment="0" applyProtection="0"/>
    <xf numFmtId="0" fontId="5" fillId="38" borderId="0" applyNumberFormat="0" applyBorder="0" applyAlignment="0" applyProtection="0"/>
    <xf numFmtId="175" fontId="5" fillId="38" borderId="0" applyNumberFormat="0" applyBorder="0" applyAlignment="0" applyProtection="0"/>
    <xf numFmtId="0" fontId="5" fillId="38" borderId="0" applyNumberFormat="0" applyBorder="0" applyAlignment="0" applyProtection="0"/>
    <xf numFmtId="175" fontId="5" fillId="13" borderId="0" applyNumberFormat="0" applyBorder="0" applyAlignment="0" applyProtection="0"/>
    <xf numFmtId="175" fontId="5" fillId="13" borderId="0" applyNumberFormat="0" applyBorder="0" applyAlignment="0" applyProtection="0"/>
    <xf numFmtId="175"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175" fontId="5" fillId="13" borderId="0" applyNumberFormat="0" applyBorder="0" applyAlignment="0" applyProtection="0"/>
    <xf numFmtId="0" fontId="5" fillId="13" borderId="0" applyNumberFormat="0" applyBorder="0" applyAlignment="0" applyProtection="0"/>
    <xf numFmtId="175" fontId="5" fillId="10" borderId="0" applyNumberFormat="0" applyBorder="0" applyAlignment="0" applyProtection="0"/>
    <xf numFmtId="175" fontId="5" fillId="10" borderId="0" applyNumberFormat="0" applyBorder="0" applyAlignment="0" applyProtection="0"/>
    <xf numFmtId="175"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175" fontId="5" fillId="10" borderId="0" applyNumberFormat="0" applyBorder="0" applyAlignment="0" applyProtection="0"/>
    <xf numFmtId="0" fontId="5" fillId="10" borderId="0" applyNumberFormat="0" applyBorder="0" applyAlignment="0" applyProtection="0"/>
    <xf numFmtId="175" fontId="5" fillId="39" borderId="0" applyNumberFormat="0" applyBorder="0" applyAlignment="0" applyProtection="0"/>
    <xf numFmtId="175" fontId="5" fillId="39" borderId="0" applyNumberFormat="0" applyBorder="0" applyAlignment="0" applyProtection="0"/>
    <xf numFmtId="175"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175" fontId="5" fillId="39" borderId="0" applyNumberFormat="0" applyBorder="0" applyAlignment="0" applyProtection="0"/>
    <xf numFmtId="0" fontId="5" fillId="39" borderId="0" applyNumberFormat="0" applyBorder="0" applyAlignment="0" applyProtection="0"/>
    <xf numFmtId="175" fontId="5" fillId="4" borderId="0" applyNumberFormat="0" applyBorder="0" applyAlignment="0" applyProtection="0"/>
    <xf numFmtId="175" fontId="5" fillId="4" borderId="0" applyNumberFormat="0" applyBorder="0" applyAlignment="0" applyProtection="0"/>
    <xf numFmtId="175"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75" fontId="5" fillId="4" borderId="0" applyNumberFormat="0" applyBorder="0" applyAlignment="0" applyProtection="0"/>
    <xf numFmtId="0" fontId="5" fillId="4" borderId="0" applyNumberFormat="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5" fillId="0" borderId="0"/>
    <xf numFmtId="167"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67"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0" fontId="5" fillId="0" borderId="0"/>
    <xf numFmtId="175"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75" fontId="5" fillId="0" borderId="0"/>
    <xf numFmtId="175" fontId="5" fillId="0" borderId="0"/>
    <xf numFmtId="0" fontId="5" fillId="0" borderId="0"/>
    <xf numFmtId="0" fontId="5" fillId="0" borderId="0"/>
    <xf numFmtId="175" fontId="5" fillId="0" borderId="0"/>
    <xf numFmtId="175" fontId="5" fillId="0" borderId="0"/>
    <xf numFmtId="175" fontId="5" fillId="0" borderId="0"/>
    <xf numFmtId="175" fontId="5" fillId="0" borderId="0"/>
    <xf numFmtId="175" fontId="5" fillId="0" borderId="0"/>
    <xf numFmtId="175" fontId="5" fillId="0" borderId="0"/>
    <xf numFmtId="175" fontId="5" fillId="0" borderId="0"/>
    <xf numFmtId="175" fontId="5" fillId="0" borderId="0"/>
    <xf numFmtId="175" fontId="5" fillId="0" borderId="0"/>
    <xf numFmtId="175" fontId="5" fillId="0" borderId="0"/>
    <xf numFmtId="175" fontId="6" fillId="49" borderId="37" applyNumberFormat="0" applyFont="0" applyAlignment="0" applyProtection="0"/>
    <xf numFmtId="175" fontId="6" fillId="49" borderId="37" applyNumberFormat="0" applyFont="0" applyAlignment="0" applyProtection="0"/>
    <xf numFmtId="175" fontId="6" fillId="49" borderId="37" applyNumberFormat="0" applyFont="0" applyAlignment="0" applyProtection="0"/>
    <xf numFmtId="0" fontId="6" fillId="49" borderId="37" applyNumberFormat="0" applyFont="0" applyAlignment="0" applyProtection="0"/>
    <xf numFmtId="0" fontId="6" fillId="49" borderId="37" applyNumberFormat="0" applyFont="0" applyAlignment="0" applyProtection="0"/>
    <xf numFmtId="175" fontId="6" fillId="49" borderId="37" applyNumberFormat="0" applyFont="0" applyAlignment="0" applyProtection="0"/>
    <xf numFmtId="0" fontId="6" fillId="49" borderId="37" applyNumberFormat="0" applyFont="0" applyAlignment="0" applyProtection="0"/>
    <xf numFmtId="0" fontId="6" fillId="49" borderId="37"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175" fontId="4" fillId="2"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175" fontId="4" fillId="6" borderId="0" applyNumberFormat="0" applyBorder="0" applyAlignment="0" applyProtection="0"/>
    <xf numFmtId="175" fontId="4" fillId="6" borderId="0" applyNumberFormat="0" applyBorder="0" applyAlignment="0" applyProtection="0"/>
    <xf numFmtId="175"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75" fontId="4" fillId="6" borderId="0" applyNumberFormat="0" applyBorder="0" applyAlignment="0" applyProtection="0"/>
    <xf numFmtId="0" fontId="4" fillId="6"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175" fontId="4" fillId="36" borderId="0" applyNumberFormat="0" applyBorder="0" applyAlignment="0" applyProtection="0"/>
    <xf numFmtId="175" fontId="4" fillId="36" borderId="0" applyNumberFormat="0" applyBorder="0" applyAlignment="0" applyProtection="0"/>
    <xf numFmtId="175" fontId="4" fillId="36"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175" fontId="4" fillId="36" borderId="0" applyNumberFormat="0" applyBorder="0" applyAlignment="0" applyProtection="0"/>
    <xf numFmtId="0" fontId="4" fillId="36" borderId="0" applyNumberFormat="0" applyBorder="0" applyAlignment="0" applyProtection="0"/>
    <xf numFmtId="175" fontId="4" fillId="37" borderId="0" applyNumberFormat="0" applyBorder="0" applyAlignment="0" applyProtection="0"/>
    <xf numFmtId="175" fontId="4" fillId="37" borderId="0" applyNumberFormat="0" applyBorder="0" applyAlignment="0" applyProtection="0"/>
    <xf numFmtId="175" fontId="4" fillId="37" borderId="0" applyNumberFormat="0" applyBorder="0" applyAlignment="0" applyProtection="0"/>
    <xf numFmtId="0" fontId="4" fillId="37" borderId="0" applyNumberFormat="0" applyBorder="0" applyAlignment="0" applyProtection="0"/>
    <xf numFmtId="0" fontId="4" fillId="37" borderId="0" applyNumberFormat="0" applyBorder="0" applyAlignment="0" applyProtection="0"/>
    <xf numFmtId="175" fontId="4" fillId="37" borderId="0" applyNumberFormat="0" applyBorder="0" applyAlignment="0" applyProtection="0"/>
    <xf numFmtId="0" fontId="4" fillId="37"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175" fontId="4" fillId="38" borderId="0" applyNumberFormat="0" applyBorder="0" applyAlignment="0" applyProtection="0"/>
    <xf numFmtId="175" fontId="4" fillId="38" borderId="0" applyNumberFormat="0" applyBorder="0" applyAlignment="0" applyProtection="0"/>
    <xf numFmtId="175"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175" fontId="4" fillId="38" borderId="0" applyNumberFormat="0" applyBorder="0" applyAlignment="0" applyProtection="0"/>
    <xf numFmtId="0" fontId="4" fillId="38" borderId="0" applyNumberFormat="0" applyBorder="0" applyAlignment="0" applyProtection="0"/>
    <xf numFmtId="175" fontId="4" fillId="13" borderId="0" applyNumberFormat="0" applyBorder="0" applyAlignment="0" applyProtection="0"/>
    <xf numFmtId="175" fontId="4" fillId="13" borderId="0" applyNumberFormat="0" applyBorder="0" applyAlignment="0" applyProtection="0"/>
    <xf numFmtId="175"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175" fontId="4" fillId="13" borderId="0" applyNumberFormat="0" applyBorder="0" applyAlignment="0" applyProtection="0"/>
    <xf numFmtId="0" fontId="4" fillId="13"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175" fontId="4" fillId="39" borderId="0" applyNumberFormat="0" applyBorder="0" applyAlignment="0" applyProtection="0"/>
    <xf numFmtId="175" fontId="4" fillId="39" borderId="0" applyNumberFormat="0" applyBorder="0" applyAlignment="0" applyProtection="0"/>
    <xf numFmtId="175"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175" fontId="4" fillId="39" borderId="0" applyNumberFormat="0" applyBorder="0" applyAlignment="0" applyProtection="0"/>
    <xf numFmtId="0" fontId="4" fillId="39"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0" borderId="0"/>
    <xf numFmtId="0" fontId="4" fillId="0" borderId="0"/>
    <xf numFmtId="0"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2"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175" fontId="4" fillId="6" borderId="0" applyNumberFormat="0" applyBorder="0" applyAlignment="0" applyProtection="0"/>
    <xf numFmtId="175" fontId="4" fillId="6" borderId="0" applyNumberFormat="0" applyBorder="0" applyAlignment="0" applyProtection="0"/>
    <xf numFmtId="175"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75" fontId="4" fillId="6" borderId="0" applyNumberFormat="0" applyBorder="0" applyAlignment="0" applyProtection="0"/>
    <xf numFmtId="0" fontId="4" fillId="6"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75" fontId="4" fillId="2" borderId="0" applyNumberFormat="0" applyBorder="0" applyAlignment="0" applyProtection="0"/>
    <xf numFmtId="0" fontId="4" fillId="2" borderId="0" applyNumberFormat="0" applyBorder="0" applyAlignment="0" applyProtection="0"/>
    <xf numFmtId="175" fontId="4" fillId="36" borderId="0" applyNumberFormat="0" applyBorder="0" applyAlignment="0" applyProtection="0"/>
    <xf numFmtId="175" fontId="4" fillId="36" borderId="0" applyNumberFormat="0" applyBorder="0" applyAlignment="0" applyProtection="0"/>
    <xf numFmtId="175" fontId="4" fillId="36"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175" fontId="4" fillId="36" borderId="0" applyNumberFormat="0" applyBorder="0" applyAlignment="0" applyProtection="0"/>
    <xf numFmtId="0" fontId="4" fillId="36" borderId="0" applyNumberFormat="0" applyBorder="0" applyAlignment="0" applyProtection="0"/>
    <xf numFmtId="175" fontId="4" fillId="37" borderId="0" applyNumberFormat="0" applyBorder="0" applyAlignment="0" applyProtection="0"/>
    <xf numFmtId="175" fontId="4" fillId="37" borderId="0" applyNumberFormat="0" applyBorder="0" applyAlignment="0" applyProtection="0"/>
    <xf numFmtId="175" fontId="4" fillId="37" borderId="0" applyNumberFormat="0" applyBorder="0" applyAlignment="0" applyProtection="0"/>
    <xf numFmtId="0" fontId="4" fillId="37" borderId="0" applyNumberFormat="0" applyBorder="0" applyAlignment="0" applyProtection="0"/>
    <xf numFmtId="0" fontId="4" fillId="37" borderId="0" applyNumberFormat="0" applyBorder="0" applyAlignment="0" applyProtection="0"/>
    <xf numFmtId="175" fontId="4" fillId="37" borderId="0" applyNumberFormat="0" applyBorder="0" applyAlignment="0" applyProtection="0"/>
    <xf numFmtId="0" fontId="4" fillId="37"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175" fontId="4" fillId="38" borderId="0" applyNumberFormat="0" applyBorder="0" applyAlignment="0" applyProtection="0"/>
    <xf numFmtId="175" fontId="4" fillId="38" borderId="0" applyNumberFormat="0" applyBorder="0" applyAlignment="0" applyProtection="0"/>
    <xf numFmtId="175"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175" fontId="4" fillId="38" borderId="0" applyNumberFormat="0" applyBorder="0" applyAlignment="0" applyProtection="0"/>
    <xf numFmtId="0" fontId="4" fillId="38" borderId="0" applyNumberFormat="0" applyBorder="0" applyAlignment="0" applyProtection="0"/>
    <xf numFmtId="175" fontId="4" fillId="13" borderId="0" applyNumberFormat="0" applyBorder="0" applyAlignment="0" applyProtection="0"/>
    <xf numFmtId="175" fontId="4" fillId="13" borderId="0" applyNumberFormat="0" applyBorder="0" applyAlignment="0" applyProtection="0"/>
    <xf numFmtId="175"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175" fontId="4" fillId="13" borderId="0" applyNumberFormat="0" applyBorder="0" applyAlignment="0" applyProtection="0"/>
    <xf numFmtId="0" fontId="4" fillId="13"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75" fontId="4" fillId="10" borderId="0" applyNumberFormat="0" applyBorder="0" applyAlignment="0" applyProtection="0"/>
    <xf numFmtId="0" fontId="4" fillId="10" borderId="0" applyNumberFormat="0" applyBorder="0" applyAlignment="0" applyProtection="0"/>
    <xf numFmtId="175" fontId="4" fillId="39" borderId="0" applyNumberFormat="0" applyBorder="0" applyAlignment="0" applyProtection="0"/>
    <xf numFmtId="175" fontId="4" fillId="39" borderId="0" applyNumberFormat="0" applyBorder="0" applyAlignment="0" applyProtection="0"/>
    <xf numFmtId="175"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175" fontId="4" fillId="39" borderId="0" applyNumberFormat="0" applyBorder="0" applyAlignment="0" applyProtection="0"/>
    <xf numFmtId="0" fontId="4" fillId="39"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75" fontId="4" fillId="4" borderId="0" applyNumberFormat="0" applyBorder="0" applyAlignment="0" applyProtection="0"/>
    <xf numFmtId="0" fontId="4" fillId="4" borderId="0" applyNumberFormat="0" applyBorder="0" applyAlignment="0" applyProtection="0"/>
    <xf numFmtId="0" fontId="4" fillId="0" borderId="0"/>
    <xf numFmtId="0" fontId="4" fillId="0" borderId="0"/>
    <xf numFmtId="0"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67"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75"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75" fontId="4" fillId="0" borderId="0"/>
    <xf numFmtId="175" fontId="4" fillId="0" borderId="0"/>
    <xf numFmtId="0" fontId="4" fillId="0" borderId="0"/>
    <xf numFmtId="0"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75" fontId="4" fillId="0" borderId="0"/>
    <xf numFmtId="166" fontId="72" fillId="0" borderId="0"/>
    <xf numFmtId="167" fontId="3" fillId="0" borderId="0"/>
    <xf numFmtId="0" fontId="3" fillId="0" borderId="0"/>
    <xf numFmtId="9" fontId="9" fillId="0" borderId="0" applyFont="0" applyFill="0" applyBorder="0" applyAlignment="0" applyProtection="0"/>
    <xf numFmtId="44" fontId="9" fillId="0" borderId="0" applyFont="0" applyFill="0" applyBorder="0" applyAlignment="0" applyProtection="0"/>
    <xf numFmtId="186" fontId="78" fillId="0" borderId="40"/>
    <xf numFmtId="171" fontId="79" fillId="0" borderId="0"/>
    <xf numFmtId="187" fontId="11" fillId="0" borderId="0"/>
    <xf numFmtId="187" fontId="11" fillId="0" borderId="0"/>
    <xf numFmtId="187" fontId="11" fillId="0" borderId="0"/>
    <xf numFmtId="187" fontId="80" fillId="0" borderId="0"/>
    <xf numFmtId="188" fontId="11" fillId="0" borderId="0" applyFont="0" applyFill="0" applyBorder="0" applyAlignment="0" applyProtection="0"/>
    <xf numFmtId="187" fontId="80" fillId="0" borderId="0"/>
    <xf numFmtId="187" fontId="80" fillId="0" borderId="0"/>
    <xf numFmtId="187" fontId="80" fillId="0" borderId="0"/>
    <xf numFmtId="187" fontId="80" fillId="0" borderId="0"/>
    <xf numFmtId="189" fontId="11" fillId="0" borderId="0" applyFont="0" applyFill="0" applyBorder="0" applyAlignment="0" applyProtection="0"/>
    <xf numFmtId="190" fontId="15" fillId="0" borderId="0" applyFont="0" applyFill="0" applyBorder="0" applyAlignment="0" applyProtection="0">
      <alignment vertical="top"/>
    </xf>
    <xf numFmtId="191" fontId="11" fillId="0" borderId="0" applyFont="0" applyFill="0" applyBorder="0" applyAlignment="0" applyProtection="0"/>
    <xf numFmtId="187" fontId="11" fillId="0" borderId="0"/>
    <xf numFmtId="166" fontId="11" fillId="0" borderId="0">
      <alignment horizontal="left" wrapText="1"/>
    </xf>
    <xf numFmtId="187" fontId="11" fillId="0" borderId="0"/>
    <xf numFmtId="187" fontId="11" fillId="0" borderId="0"/>
    <xf numFmtId="166" fontId="11" fillId="0" borderId="0">
      <alignment horizontal="left" wrapText="1"/>
    </xf>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81" fillId="35" borderId="0"/>
    <xf numFmtId="187" fontId="81" fillId="35" borderId="0"/>
    <xf numFmtId="187" fontId="81" fillId="35" borderId="0"/>
    <xf numFmtId="187" fontId="81" fillId="35" borderId="0"/>
    <xf numFmtId="187" fontId="29" fillId="32" borderId="0"/>
    <xf numFmtId="187" fontId="29" fillId="32" borderId="0"/>
    <xf numFmtId="187" fontId="29" fillId="32" borderId="0"/>
    <xf numFmtId="187" fontId="29" fillId="32" borderId="0"/>
    <xf numFmtId="187" fontId="82" fillId="52" borderId="0"/>
    <xf numFmtId="187" fontId="82" fillId="52" borderId="0"/>
    <xf numFmtId="187" fontId="82" fillId="52" borderId="0"/>
    <xf numFmtId="187" fontId="82" fillId="52" borderId="0"/>
    <xf numFmtId="187" fontId="83" fillId="32" borderId="0"/>
    <xf numFmtId="187" fontId="83" fillId="32" borderId="0"/>
    <xf numFmtId="187" fontId="83" fillId="32" borderId="0"/>
    <xf numFmtId="187" fontId="83" fillId="32" borderId="0"/>
    <xf numFmtId="187" fontId="84" fillId="53" borderId="0"/>
    <xf numFmtId="187" fontId="84" fillId="53" borderId="0"/>
    <xf numFmtId="187" fontId="84" fillId="53" borderId="0"/>
    <xf numFmtId="187" fontId="84" fillId="53" borderId="0"/>
    <xf numFmtId="187" fontId="85" fillId="32" borderId="0"/>
    <xf numFmtId="187" fontId="85" fillId="32" borderId="0"/>
    <xf numFmtId="187" fontId="85" fillId="32" borderId="0"/>
    <xf numFmtId="187" fontId="85" fillId="32" borderId="0"/>
    <xf numFmtId="187" fontId="86" fillId="0" borderId="0"/>
    <xf numFmtId="187" fontId="86" fillId="0" borderId="0"/>
    <xf numFmtId="187" fontId="86" fillId="0" borderId="0"/>
    <xf numFmtId="187" fontId="86" fillId="0" borderId="0"/>
    <xf numFmtId="187" fontId="86" fillId="32" borderId="0"/>
    <xf numFmtId="187" fontId="86" fillId="32" borderId="0"/>
    <xf numFmtId="187" fontId="86" fillId="32" borderId="0"/>
    <xf numFmtId="187" fontId="86" fillId="32" borderId="0"/>
    <xf numFmtId="187" fontId="87" fillId="0" borderId="0"/>
    <xf numFmtId="187" fontId="87" fillId="0" borderId="0"/>
    <xf numFmtId="187" fontId="87" fillId="0" borderId="0"/>
    <xf numFmtId="187" fontId="87" fillId="0" borderId="0"/>
    <xf numFmtId="187" fontId="87" fillId="32" borderId="0"/>
    <xf numFmtId="187" fontId="87" fillId="32" borderId="0"/>
    <xf numFmtId="187" fontId="87" fillId="32" borderId="0"/>
    <xf numFmtId="187" fontId="87" fillId="32" borderId="0"/>
    <xf numFmtId="187" fontId="31" fillId="0" borderId="0"/>
    <xf numFmtId="187" fontId="31" fillId="0" borderId="0"/>
    <xf numFmtId="187" fontId="31" fillId="0" borderId="0"/>
    <xf numFmtId="187" fontId="31" fillId="0" borderId="0"/>
    <xf numFmtId="187" fontId="31" fillId="32" borderId="0"/>
    <xf numFmtId="187" fontId="31" fillId="32" borderId="0"/>
    <xf numFmtId="187" fontId="31" fillId="32" borderId="0"/>
    <xf numFmtId="187" fontId="31" fillId="32" borderId="0"/>
    <xf numFmtId="192" fontId="11" fillId="0" borderId="0" applyFont="0" applyFill="0" applyBorder="0" applyAlignment="0" applyProtection="0"/>
    <xf numFmtId="193" fontId="11" fillId="0" borderId="0" applyFont="0" applyFill="0" applyBorder="0" applyAlignment="0" applyProtection="0"/>
    <xf numFmtId="39" fontId="11" fillId="0" borderId="0" applyFont="0" applyFill="0" applyBorder="0" applyAlignment="0" applyProtection="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37" fontId="11" fillId="31" borderId="0"/>
    <xf numFmtId="37" fontId="11" fillId="31" borderId="0"/>
    <xf numFmtId="37" fontId="11" fillId="31" borderId="0"/>
    <xf numFmtId="37" fontId="11" fillId="31" borderId="0"/>
    <xf numFmtId="37" fontId="11" fillId="31" borderId="0"/>
    <xf numFmtId="37" fontId="11" fillId="31" borderId="0"/>
    <xf numFmtId="4" fontId="11" fillId="29" borderId="0"/>
    <xf numFmtId="4" fontId="11" fillId="29" borderId="0"/>
    <xf numFmtId="4" fontId="11" fillId="29" borderId="0"/>
    <xf numFmtId="4" fontId="11" fillId="29" borderId="0"/>
    <xf numFmtId="4" fontId="11" fillId="29" borderId="0"/>
    <xf numFmtId="4" fontId="11" fillId="29" borderId="0"/>
    <xf numFmtId="194" fontId="11" fillId="29" borderId="41"/>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applyProtection="0"/>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1" fillId="0" borderId="0" applyFont="0" applyFill="0" applyBorder="0" applyAlignment="0" applyProtection="0"/>
    <xf numFmtId="187" fontId="83" fillId="54" borderId="0"/>
    <xf numFmtId="187" fontId="83" fillId="54" borderId="0"/>
    <xf numFmtId="187" fontId="83" fillId="54" borderId="0"/>
    <xf numFmtId="187" fontId="83" fillId="54" borderId="0"/>
    <xf numFmtId="187" fontId="83" fillId="29" borderId="0"/>
    <xf numFmtId="187" fontId="83" fillId="29" borderId="0"/>
    <xf numFmtId="187" fontId="83" fillId="29" borderId="0"/>
    <xf numFmtId="187" fontId="83" fillId="29" borderId="0"/>
    <xf numFmtId="166" fontId="11" fillId="0" borderId="0">
      <alignment horizontal="left" wrapText="1"/>
    </xf>
    <xf numFmtId="187" fontId="11" fillId="0" borderId="0" applyNumberFormat="0" applyFill="0" applyBorder="0" applyAlignment="0" applyProtection="0"/>
    <xf numFmtId="187" fontId="11" fillId="0" borderId="0" applyNumberFormat="0" applyFill="0" applyBorder="0" applyAlignment="0" applyProtection="0"/>
    <xf numFmtId="187" fontId="11" fillId="0" borderId="0" applyNumberFormat="0" applyFill="0" applyBorder="0" applyAlignment="0" applyProtection="0"/>
    <xf numFmtId="187" fontId="11" fillId="0" borderId="0" applyNumberFormat="0" applyFill="0" applyBorder="0" applyAlignment="0" applyProtection="0"/>
    <xf numFmtId="187" fontId="11" fillId="0" borderId="0" applyFont="0" applyFill="0" applyBorder="0" applyAlignment="0" applyProtection="0"/>
    <xf numFmtId="195" fontId="11" fillId="0" borderId="0" applyFont="0" applyFill="0" applyBorder="0" applyAlignment="0" applyProtection="0"/>
    <xf numFmtId="196" fontId="88" fillId="0" borderId="0" applyFont="0" applyFill="0" applyBorder="0" applyAlignment="0" applyProtection="0"/>
    <xf numFmtId="197" fontId="11" fillId="0" borderId="0" applyFont="0" applyFill="0" applyBorder="0" applyAlignment="0" applyProtection="0"/>
    <xf numFmtId="187" fontId="11" fillId="0" borderId="0" applyFont="0" applyFill="0" applyBorder="0" applyAlignment="0" applyProtection="0"/>
    <xf numFmtId="198" fontId="11" fillId="0" borderId="0" applyFont="0" applyFill="0" applyBorder="0" applyAlignment="0" applyProtection="0"/>
    <xf numFmtId="199" fontId="88" fillId="0" borderId="0" applyFont="0" applyFill="0" applyBorder="0" applyAlignment="0" applyProtection="0"/>
    <xf numFmtId="200" fontId="11" fillId="0" borderId="0" applyFont="0" applyFill="0" applyBorder="0" applyAlignment="0" applyProtection="0"/>
    <xf numFmtId="187" fontId="11" fillId="0" borderId="0" applyNumberFormat="0" applyFill="0" applyBorder="0" applyAlignment="0" applyProtection="0"/>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2" fillId="0" borderId="0">
      <alignment vertical="top"/>
    </xf>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0" borderId="0"/>
    <xf numFmtId="187" fontId="11" fillId="0" borderId="0"/>
    <xf numFmtId="187" fontId="11" fillId="0" borderId="0"/>
    <xf numFmtId="187" fontId="11" fillId="0"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11" fillId="32" borderId="0"/>
    <xf numFmtId="187" fontId="81" fillId="35" borderId="0"/>
    <xf numFmtId="187" fontId="81" fillId="35" borderId="0"/>
    <xf numFmtId="187" fontId="81" fillId="35" borderId="0"/>
    <xf numFmtId="187" fontId="81" fillId="35" borderId="0"/>
    <xf numFmtId="187" fontId="29" fillId="32" borderId="0"/>
    <xf numFmtId="187" fontId="29" fillId="32" borderId="0"/>
    <xf numFmtId="187" fontId="29" fillId="32" borderId="0"/>
    <xf numFmtId="187" fontId="29" fillId="32" borderId="0"/>
    <xf numFmtId="187" fontId="82" fillId="52" borderId="0"/>
    <xf numFmtId="187" fontId="82" fillId="52" borderId="0"/>
    <xf numFmtId="187" fontId="82" fillId="52" borderId="0"/>
    <xf numFmtId="187" fontId="82" fillId="52" borderId="0"/>
    <xf numFmtId="187" fontId="83" fillId="32" borderId="0"/>
    <xf numFmtId="187" fontId="83" fillId="32" borderId="0"/>
    <xf numFmtId="187" fontId="83" fillId="32" borderId="0"/>
    <xf numFmtId="187" fontId="83" fillId="32" borderId="0"/>
    <xf numFmtId="187" fontId="84" fillId="53" borderId="0"/>
    <xf numFmtId="187" fontId="84" fillId="53" borderId="0"/>
    <xf numFmtId="187" fontId="84" fillId="53" borderId="0"/>
    <xf numFmtId="187" fontId="84" fillId="53" borderId="0"/>
    <xf numFmtId="187" fontId="11" fillId="32" borderId="0"/>
    <xf numFmtId="187" fontId="11" fillId="32" borderId="0"/>
    <xf numFmtId="187" fontId="11" fillId="32" borderId="0"/>
    <xf numFmtId="187" fontId="11" fillId="32" borderId="0"/>
    <xf numFmtId="187" fontId="86" fillId="0" borderId="0"/>
    <xf numFmtId="187" fontId="86" fillId="0" borderId="0"/>
    <xf numFmtId="187" fontId="86" fillId="0" borderId="0"/>
    <xf numFmtId="187" fontId="86" fillId="0" borderId="0"/>
    <xf numFmtId="187" fontId="86" fillId="32" borderId="0"/>
    <xf numFmtId="187" fontId="86" fillId="32" borderId="0"/>
    <xf numFmtId="187" fontId="86" fillId="32" borderId="0"/>
    <xf numFmtId="187" fontId="86" fillId="32" borderId="0"/>
    <xf numFmtId="187" fontId="87" fillId="0" borderId="0"/>
    <xf numFmtId="187" fontId="87" fillId="0" borderId="0"/>
    <xf numFmtId="187" fontId="87" fillId="0" borderId="0"/>
    <xf numFmtId="187" fontId="87" fillId="0" borderId="0"/>
    <xf numFmtId="187" fontId="87" fillId="32" borderId="0"/>
    <xf numFmtId="187" fontId="87" fillId="32" borderId="0"/>
    <xf numFmtId="187" fontId="87" fillId="32" borderId="0"/>
    <xf numFmtId="187" fontId="87" fillId="32" borderId="0"/>
    <xf numFmtId="187" fontId="31" fillId="0" borderId="0"/>
    <xf numFmtId="187" fontId="31" fillId="0" borderId="0"/>
    <xf numFmtId="187" fontId="31" fillId="0" borderId="0"/>
    <xf numFmtId="187" fontId="31" fillId="0" borderId="0"/>
    <xf numFmtId="187" fontId="31" fillId="32" borderId="0"/>
    <xf numFmtId="187" fontId="31" fillId="32" borderId="0"/>
    <xf numFmtId="187" fontId="31" fillId="32" borderId="0"/>
    <xf numFmtId="187" fontId="31" fillId="32" borderId="0"/>
    <xf numFmtId="187" fontId="11" fillId="0" borderId="0"/>
    <xf numFmtId="187" fontId="23" fillId="0" borderId="42" applyNumberFormat="0" applyFill="0" applyAlignment="0" applyProtection="0"/>
    <xf numFmtId="166" fontId="11" fillId="0" borderId="0">
      <alignment horizontal="left" wrapText="1"/>
    </xf>
    <xf numFmtId="187" fontId="89" fillId="0" borderId="0" applyFont="0" applyFill="0" applyBorder="0" applyAlignment="0" applyProtection="0"/>
    <xf numFmtId="187" fontId="89" fillId="0" borderId="0" applyFont="0" applyFill="0" applyBorder="0" applyAlignment="0" applyProtection="0"/>
    <xf numFmtId="187" fontId="79" fillId="0" borderId="0" applyFont="0" applyFill="0" applyBorder="0" applyAlignment="0" applyProtection="0"/>
    <xf numFmtId="201" fontId="79" fillId="0" borderId="0" applyFont="0" applyFill="0" applyBorder="0" applyAlignment="0" applyProtection="0"/>
    <xf numFmtId="9" fontId="11" fillId="55" borderId="0"/>
    <xf numFmtId="187" fontId="11" fillId="0" borderId="0"/>
    <xf numFmtId="187" fontId="11" fillId="0" borderId="0"/>
    <xf numFmtId="187" fontId="11" fillId="0" borderId="0"/>
    <xf numFmtId="187" fontId="31" fillId="0" borderId="0"/>
    <xf numFmtId="187" fontId="31" fillId="0" borderId="0"/>
    <xf numFmtId="187" fontId="90" fillId="0" borderId="0"/>
    <xf numFmtId="187" fontId="90" fillId="0" borderId="0"/>
    <xf numFmtId="172" fontId="15" fillId="0" borderId="0"/>
    <xf numFmtId="1" fontId="15" fillId="0" borderId="0"/>
    <xf numFmtId="9" fontId="11" fillId="0" borderId="0"/>
    <xf numFmtId="176" fontId="15" fillId="0" borderId="0"/>
    <xf numFmtId="171" fontId="15" fillId="0" borderId="0"/>
    <xf numFmtId="2" fontId="15" fillId="0" borderId="0"/>
    <xf numFmtId="10" fontId="15" fillId="0" borderId="0"/>
    <xf numFmtId="1" fontId="15" fillId="0" borderId="0"/>
    <xf numFmtId="1" fontId="15" fillId="0" borderId="0"/>
    <xf numFmtId="1" fontId="15" fillId="0" borderId="0"/>
    <xf numFmtId="3" fontId="91" fillId="0" borderId="0" applyFont="0" applyFill="0" applyBorder="0" applyAlignment="0" applyProtection="0"/>
    <xf numFmtId="49" fontId="20" fillId="31" borderId="0" applyFill="0" applyBorder="0">
      <alignment horizontal="left"/>
    </xf>
    <xf numFmtId="187" fontId="31" fillId="0" borderId="27" applyNumberFormat="0" applyFont="0" applyAlignment="0">
      <alignment vertical="center"/>
    </xf>
    <xf numFmtId="187" fontId="92" fillId="0" borderId="0" applyFill="0" applyBorder="0">
      <alignment vertical="center"/>
    </xf>
    <xf numFmtId="202" fontId="32" fillId="0" borderId="0" applyFill="0" applyBorder="0">
      <alignment horizontal="right" vertical="center"/>
    </xf>
    <xf numFmtId="202" fontId="31" fillId="0" borderId="0" applyFill="0" applyBorder="0">
      <alignment horizontal="right" vertical="center"/>
    </xf>
    <xf numFmtId="171" fontId="31" fillId="0" borderId="0" applyFill="0" applyBorder="0">
      <alignment horizontal="right" vertical="center"/>
    </xf>
    <xf numFmtId="187" fontId="32" fillId="0" borderId="27" applyFill="0" applyBorder="0">
      <alignment vertical="center"/>
    </xf>
    <xf numFmtId="9" fontId="93" fillId="0" borderId="0" applyFont="0" applyFill="0" applyBorder="0" applyAlignment="0" applyProtection="0"/>
    <xf numFmtId="187" fontId="11" fillId="0" borderId="0"/>
    <xf numFmtId="187" fontId="11" fillId="0" borderId="0"/>
    <xf numFmtId="187" fontId="11" fillId="0" borderId="0"/>
    <xf numFmtId="187" fontId="11" fillId="0" borderId="0"/>
    <xf numFmtId="187" fontId="91" fillId="0" borderId="0">
      <protection locked="0"/>
    </xf>
    <xf numFmtId="187" fontId="91" fillId="0" borderId="0">
      <protection locked="0"/>
    </xf>
    <xf numFmtId="187" fontId="91" fillId="0" borderId="0">
      <protection locked="0"/>
    </xf>
    <xf numFmtId="187" fontId="91" fillId="0" borderId="0">
      <protection locked="0"/>
    </xf>
    <xf numFmtId="37" fontId="94" fillId="0" borderId="0">
      <alignment horizontal="center"/>
    </xf>
    <xf numFmtId="187" fontId="95" fillId="0" borderId="23" applyBorder="0"/>
    <xf numFmtId="187" fontId="95" fillId="0" borderId="23" applyBorder="0"/>
    <xf numFmtId="187" fontId="95" fillId="0" borderId="23" applyBorder="0"/>
    <xf numFmtId="187" fontId="95" fillId="0" borderId="23" applyBorder="0"/>
    <xf numFmtId="187" fontId="31" fillId="0" borderId="0" applyNumberFormat="0" applyAlignment="0"/>
    <xf numFmtId="187" fontId="31" fillId="0" borderId="0" applyNumberFormat="0" applyAlignment="0"/>
    <xf numFmtId="187" fontId="31" fillId="0" borderId="0" applyNumberFormat="0" applyAlignment="0"/>
    <xf numFmtId="187" fontId="31" fillId="0" borderId="0" applyNumberFormat="0" applyAlignment="0"/>
    <xf numFmtId="187" fontId="96" fillId="0" borderId="0" applyBorder="0"/>
    <xf numFmtId="187" fontId="96" fillId="0" borderId="0" applyBorder="0"/>
    <xf numFmtId="187" fontId="96" fillId="0" borderId="0" applyBorder="0"/>
    <xf numFmtId="187" fontId="96" fillId="0" borderId="0" applyBorder="0"/>
    <xf numFmtId="0" fontId="97" fillId="0" borderId="0" applyNumberFormat="0" applyFill="0" applyBorder="0" applyAlignment="0">
      <protection locked="0"/>
    </xf>
    <xf numFmtId="182" fontId="11" fillId="0" borderId="0" applyFont="0" applyFill="0" applyBorder="0" applyAlignment="0" applyProtection="0"/>
    <xf numFmtId="182" fontId="11" fillId="0" borderId="0" applyFont="0" applyFill="0" applyBorder="0" applyAlignment="0" applyProtection="0"/>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xf numFmtId="0" fontId="11" fillId="0" borderId="0">
      <alignment horizontal="left" wrapText="1"/>
    </xf>
    <xf numFmtId="0" fontId="11" fillId="0" borderId="0">
      <alignment horizontal="left" wrapText="1"/>
    </xf>
    <xf numFmtId="0" fontId="11" fillId="0" borderId="0">
      <alignment horizontal="left" wrapText="1"/>
    </xf>
    <xf numFmtId="203" fontId="11" fillId="0" borderId="0" applyFont="0" applyFill="0" applyBorder="0" applyAlignment="0" applyProtection="0"/>
    <xf numFmtId="187" fontId="98" fillId="0" borderId="0">
      <alignment horizontal="center" wrapText="1"/>
      <protection locked="0"/>
    </xf>
    <xf numFmtId="187" fontId="98" fillId="0" borderId="0">
      <alignment horizontal="center" wrapText="1"/>
      <protection locked="0"/>
    </xf>
    <xf numFmtId="187" fontId="98" fillId="0" borderId="0">
      <alignment horizontal="center" wrapText="1"/>
      <protection locked="0"/>
    </xf>
    <xf numFmtId="187" fontId="98" fillId="0" borderId="0">
      <alignment horizontal="center" wrapText="1"/>
      <protection locked="0"/>
    </xf>
    <xf numFmtId="3" fontId="21" fillId="0" borderId="0" applyNumberFormat="0" applyFill="0" applyBorder="0" applyAlignment="0" applyProtection="0"/>
    <xf numFmtId="3" fontId="99" fillId="0" borderId="0" applyNumberFormat="0" applyFill="0" applyBorder="0" applyAlignment="0" applyProtection="0"/>
    <xf numFmtId="0" fontId="97" fillId="34" borderId="40"/>
    <xf numFmtId="171" fontId="15" fillId="0" borderId="0" applyFont="0" applyFill="0" applyBorder="0" applyAlignment="0" applyProtection="0"/>
    <xf numFmtId="204" fontId="100" fillId="34" borderId="40" applyBorder="0"/>
    <xf numFmtId="205" fontId="97" fillId="34" borderId="40">
      <alignment horizontal="center"/>
      <protection locked="0"/>
    </xf>
    <xf numFmtId="206" fontId="101" fillId="0" borderId="0" applyFont="0" applyFill="0" applyBorder="0" applyAlignment="0" applyProtection="0"/>
    <xf numFmtId="207" fontId="11" fillId="0" borderId="0" applyFont="0" applyFill="0" applyBorder="0" applyAlignment="0" applyProtection="0"/>
    <xf numFmtId="187" fontId="102" fillId="0" borderId="0"/>
    <xf numFmtId="187" fontId="75" fillId="0" borderId="0"/>
    <xf numFmtId="192" fontId="103" fillId="0" borderId="0" applyNumberFormat="0" applyFill="0" applyBorder="0" applyAlignment="0" applyProtection="0"/>
    <xf numFmtId="38" fontId="11" fillId="31" borderId="0" applyNumberFormat="0" applyFont="0" applyAlignment="0"/>
    <xf numFmtId="38" fontId="11" fillId="31" borderId="0" applyNumberFormat="0" applyFont="0" applyAlignment="0"/>
    <xf numFmtId="0" fontId="104" fillId="44" borderId="0" applyNumberFormat="0" applyBorder="0" applyAlignment="0" applyProtection="0"/>
    <xf numFmtId="1" fontId="105" fillId="56" borderId="31" applyNumberFormat="0" applyBorder="0" applyAlignment="0">
      <alignment horizontal="center" vertical="top" wrapText="1"/>
      <protection hidden="1"/>
    </xf>
    <xf numFmtId="187" fontId="106" fillId="0" borderId="0" applyNumberFormat="0" applyFill="0" applyBorder="0" applyAlignment="0" applyProtection="0"/>
    <xf numFmtId="187" fontId="106" fillId="0" borderId="0" applyNumberFormat="0" applyFill="0" applyBorder="0" applyAlignment="0" applyProtection="0"/>
    <xf numFmtId="187" fontId="106" fillId="0" borderId="0" applyNumberFormat="0" applyFill="0" applyBorder="0" applyAlignment="0" applyProtection="0"/>
    <xf numFmtId="187" fontId="106" fillId="0" borderId="0" applyNumberFormat="0" applyFill="0" applyBorder="0" applyAlignment="0" applyProtection="0"/>
    <xf numFmtId="187" fontId="107" fillId="29" borderId="0"/>
    <xf numFmtId="187" fontId="108" fillId="57" borderId="0" applyNumberFormat="0" applyBorder="0">
      <alignment horizontal="center" vertical="center"/>
    </xf>
    <xf numFmtId="187" fontId="108" fillId="57" borderId="0" applyNumberFormat="0" applyBorder="0">
      <alignment horizontal="center" vertical="center"/>
    </xf>
    <xf numFmtId="187" fontId="108" fillId="57" borderId="0" applyNumberFormat="0" applyBorder="0">
      <alignment horizontal="center" vertical="center"/>
    </xf>
    <xf numFmtId="187" fontId="108" fillId="57" borderId="0" applyNumberFormat="0" applyBorder="0">
      <alignment horizontal="center" vertical="center"/>
    </xf>
    <xf numFmtId="41" fontId="109" fillId="33" borderId="24" applyNumberFormat="0" applyFont="0" applyBorder="0" applyAlignment="0"/>
    <xf numFmtId="187" fontId="110" fillId="0" borderId="0" applyNumberFormat="0" applyFill="0" applyBorder="0" applyAlignment="0" applyProtection="0"/>
    <xf numFmtId="187" fontId="111" fillId="0" borderId="0" applyNumberFormat="0" applyFill="0" applyBorder="0" applyAlignment="0" applyProtection="0"/>
    <xf numFmtId="187" fontId="112" fillId="28" borderId="0"/>
    <xf numFmtId="187" fontId="113" fillId="0" borderId="0" applyNumberFormat="0" applyFill="0" applyBorder="0" applyAlignment="0" applyProtection="0"/>
    <xf numFmtId="187" fontId="114" fillId="0" borderId="0" applyNumberFormat="0" applyFill="0" applyBorder="0" applyAlignment="0" applyProtection="0"/>
    <xf numFmtId="187" fontId="114" fillId="0" borderId="0" applyNumberFormat="0" applyFill="0" applyBorder="0" applyAlignment="0" applyProtection="0"/>
    <xf numFmtId="187" fontId="114" fillId="0" borderId="0" applyNumberFormat="0" applyFill="0" applyBorder="0" applyAlignment="0" applyProtection="0"/>
    <xf numFmtId="187" fontId="114" fillId="0" borderId="0" applyNumberFormat="0" applyFill="0" applyBorder="0" applyAlignment="0" applyProtection="0"/>
    <xf numFmtId="187" fontId="32" fillId="0" borderId="0" applyNumberFormat="0" applyAlignment="0" applyProtection="0"/>
    <xf numFmtId="181" fontId="56" fillId="0" borderId="0" applyNumberFormat="0" applyFill="0" applyBorder="0" applyAlignment="0"/>
    <xf numFmtId="187" fontId="115" fillId="0" borderId="23" applyNumberFormat="0" applyFill="0" applyAlignment="0" applyProtection="0"/>
    <xf numFmtId="187" fontId="116" fillId="0" borderId="0" applyNumberFormat="0" applyAlignment="0" applyProtection="0"/>
    <xf numFmtId="192" fontId="117" fillId="0" borderId="26" applyBorder="0"/>
    <xf numFmtId="208" fontId="78" fillId="0" borderId="0" applyAlignment="0" applyProtection="0"/>
    <xf numFmtId="49" fontId="31" fillId="0" borderId="0" applyNumberFormat="0" applyAlignment="0" applyProtection="0">
      <alignment horizontal="left"/>
    </xf>
    <xf numFmtId="187" fontId="79" fillId="0" borderId="0" applyFont="0" applyFill="0" applyBorder="0" applyAlignment="0" applyProtection="0"/>
    <xf numFmtId="187" fontId="118" fillId="0" borderId="0"/>
    <xf numFmtId="187" fontId="119" fillId="0" borderId="0" applyNumberFormat="0" applyFill="0" applyBorder="0" applyAlignment="0" applyProtection="0"/>
    <xf numFmtId="187" fontId="119" fillId="0" borderId="0" applyNumberFormat="0" applyFill="0" applyBorder="0" applyAlignment="0" applyProtection="0"/>
    <xf numFmtId="187" fontId="119" fillId="0" borderId="0" applyNumberFormat="0" applyFill="0" applyBorder="0" applyAlignment="0" applyProtection="0"/>
    <xf numFmtId="187" fontId="119" fillId="0" borderId="0" applyNumberFormat="0" applyFill="0" applyBorder="0" applyAlignment="0" applyProtection="0"/>
    <xf numFmtId="187" fontId="120" fillId="0" borderId="0" applyNumberFormat="0" applyFill="0" applyBorder="0" applyAlignment="0" applyProtection="0"/>
    <xf numFmtId="187" fontId="120" fillId="0" borderId="0" applyNumberFormat="0" applyFill="0" applyBorder="0" applyAlignment="0" applyProtection="0"/>
    <xf numFmtId="187" fontId="120" fillId="0" borderId="0" applyNumberFormat="0" applyFill="0" applyBorder="0" applyAlignment="0" applyProtection="0"/>
    <xf numFmtId="187" fontId="120" fillId="0" borderId="0" applyNumberFormat="0" applyFill="0" applyBorder="0" applyAlignment="0" applyProtection="0"/>
    <xf numFmtId="209" fontId="11" fillId="0" borderId="0" applyFill="0" applyBorder="0" applyAlignment="0"/>
    <xf numFmtId="210" fontId="15" fillId="0" borderId="0" applyFill="0" applyBorder="0" applyAlignment="0"/>
    <xf numFmtId="211" fontId="94" fillId="0" borderId="0" applyFill="0" applyBorder="0" applyAlignment="0"/>
    <xf numFmtId="178" fontId="15" fillId="0" borderId="0" applyFill="0" applyBorder="0" applyAlignment="0"/>
    <xf numFmtId="212" fontId="11" fillId="0" borderId="0" applyFill="0" applyBorder="0" applyAlignment="0"/>
    <xf numFmtId="213" fontId="11" fillId="0" borderId="0" applyFill="0" applyBorder="0" applyAlignment="0"/>
    <xf numFmtId="177" fontId="11" fillId="0" borderId="0" applyFill="0" applyBorder="0" applyAlignment="0"/>
    <xf numFmtId="214" fontId="11" fillId="0" borderId="0" applyFill="0" applyBorder="0" applyAlignment="0"/>
    <xf numFmtId="176" fontId="15" fillId="0" borderId="0" applyFill="0" applyBorder="0" applyAlignment="0"/>
    <xf numFmtId="178" fontId="15" fillId="0" borderId="0" applyFill="0" applyBorder="0" applyAlignment="0"/>
    <xf numFmtId="215" fontId="78" fillId="31" borderId="40"/>
    <xf numFmtId="0" fontId="40" fillId="10" borderId="1" applyNumberFormat="0" applyAlignment="0" applyProtection="0"/>
    <xf numFmtId="0" fontId="40" fillId="10" borderId="1" applyNumberFormat="0" applyAlignment="0" applyProtection="0"/>
    <xf numFmtId="175" fontId="40" fillId="10" borderId="1" applyNumberFormat="0" applyAlignment="0" applyProtection="0"/>
    <xf numFmtId="175" fontId="40" fillId="10" borderId="1" applyNumberFormat="0" applyAlignment="0" applyProtection="0"/>
    <xf numFmtId="175" fontId="40" fillId="10" borderId="1" applyNumberFormat="0" applyAlignment="0" applyProtection="0"/>
    <xf numFmtId="175"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10" borderId="1" applyNumberFormat="0" applyAlignment="0" applyProtection="0"/>
    <xf numFmtId="187" fontId="40" fillId="2" borderId="1" applyNumberFormat="0" applyAlignment="0" applyProtection="0"/>
    <xf numFmtId="187" fontId="31" fillId="0" borderId="24"/>
    <xf numFmtId="187" fontId="31" fillId="0" borderId="24"/>
    <xf numFmtId="1" fontId="19" fillId="0" borderId="0"/>
    <xf numFmtId="216" fontId="78" fillId="0" borderId="32">
      <alignment horizontal="right" vertical="center"/>
    </xf>
    <xf numFmtId="187" fontId="41" fillId="26" borderId="2" applyNumberFormat="0" applyAlignment="0" applyProtection="0"/>
    <xf numFmtId="187" fontId="11" fillId="0" borderId="0" applyNumberFormat="0" applyFont="0" applyFill="0" applyBorder="0" applyAlignment="0" applyProtection="0"/>
    <xf numFmtId="187" fontId="11" fillId="0" borderId="0" applyNumberFormat="0" applyFont="0" applyFill="0" applyBorder="0" applyAlignment="0" applyProtection="0"/>
    <xf numFmtId="187" fontId="29" fillId="0" borderId="0" applyNumberFormat="0" applyFont="0" applyFill="0" applyBorder="0" applyAlignment="0" applyProtection="0"/>
    <xf numFmtId="187" fontId="11" fillId="0" borderId="0">
      <alignment horizontal="center" wrapText="1"/>
      <protection hidden="1"/>
    </xf>
    <xf numFmtId="187" fontId="11" fillId="0" borderId="0">
      <alignment horizontal="center" wrapText="1"/>
      <protection hidden="1"/>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187" fontId="11" fillId="0" borderId="27" applyNumberFormat="0" applyFill="0" applyProtection="0">
      <alignment horizontal="right"/>
    </xf>
    <xf numFmtId="41" fontId="121" fillId="0" borderId="0" applyFont="0" applyFill="0" applyBorder="0" applyAlignment="0" applyProtection="0"/>
    <xf numFmtId="38" fontId="32" fillId="31" borderId="23" applyNumberFormat="0">
      <alignment horizontal="centerContinuous" wrapText="1"/>
    </xf>
    <xf numFmtId="187" fontId="122" fillId="0" borderId="0">
      <alignment horizontal="right"/>
    </xf>
    <xf numFmtId="187" fontId="32" fillId="0" borderId="43">
      <alignment horizontal="center"/>
    </xf>
    <xf numFmtId="192" fontId="123" fillId="0" borderId="23" applyBorder="0">
      <alignment horizontal="center"/>
    </xf>
    <xf numFmtId="176" fontId="32" fillId="0" borderId="0" applyBorder="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176" fontId="32" fillId="0" borderId="39" applyAlignment="0">
      <alignment horizontal="right"/>
    </xf>
    <xf numFmtId="217" fontId="124" fillId="0" borderId="0"/>
    <xf numFmtId="217" fontId="124" fillId="0" borderId="0"/>
    <xf numFmtId="217" fontId="124" fillId="0" borderId="0"/>
    <xf numFmtId="217" fontId="124" fillId="0" borderId="0"/>
    <xf numFmtId="217" fontId="124" fillId="0" borderId="0"/>
    <xf numFmtId="217" fontId="124" fillId="0" borderId="0"/>
    <xf numFmtId="217" fontId="124" fillId="0" borderId="0"/>
    <xf numFmtId="217" fontId="124" fillId="0" borderId="0"/>
    <xf numFmtId="168" fontId="11" fillId="0" borderId="0"/>
    <xf numFmtId="43" fontId="11" fillId="0" borderId="0" applyFont="0" applyFill="0" applyBorder="0" applyAlignment="0" applyProtection="0"/>
    <xf numFmtId="214" fontId="11" fillId="0" borderId="0" applyFont="0" applyFill="0" applyBorder="0" applyAlignment="0" applyProtection="0"/>
    <xf numFmtId="168" fontId="125" fillId="0" borderId="0" applyFont="0" applyFill="0" applyBorder="0" applyAlignment="0" applyProtection="0"/>
    <xf numFmtId="218" fontId="11" fillId="0" borderId="0" applyFont="0" applyFill="0" applyBorder="0" applyAlignment="0" applyProtection="0"/>
    <xf numFmtId="189" fontId="11"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43"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89" fontId="11" fillId="0" borderId="0" applyFont="0" applyFill="0" applyBorder="0" applyAlignment="0" applyProtection="0"/>
    <xf numFmtId="187" fontId="11" fillId="0" borderId="0"/>
    <xf numFmtId="187" fontId="11" fillId="0" borderId="0"/>
    <xf numFmtId="187" fontId="11" fillId="0" borderId="0"/>
    <xf numFmtId="187" fontId="11" fillId="0" borderId="0"/>
    <xf numFmtId="187" fontId="11"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87" fontId="11" fillId="0" borderId="0"/>
    <xf numFmtId="187" fontId="11" fillId="0" borderId="0"/>
    <xf numFmtId="187" fontId="11" fillId="0" borderId="0"/>
    <xf numFmtId="187" fontId="11" fillId="0" borderId="0"/>
    <xf numFmtId="187" fontId="11" fillId="0" borderId="0"/>
    <xf numFmtId="187" fontId="11" fillId="0" borderId="0"/>
    <xf numFmtId="187" fontId="11" fillId="0" borderId="0"/>
    <xf numFmtId="187" fontId="11" fillId="0" borderId="0"/>
    <xf numFmtId="187" fontId="11" fillId="0" borderId="0"/>
    <xf numFmtId="189" fontId="11" fillId="0" borderId="0" applyFont="0" applyFill="0" applyBorder="0" applyAlignment="0" applyProtection="0"/>
    <xf numFmtId="187" fontId="11" fillId="0" borderId="0"/>
    <xf numFmtId="43" fontId="6" fillId="0" borderId="0" applyFont="0" applyFill="0" applyBorder="0" applyAlignment="0" applyProtection="0"/>
    <xf numFmtId="189" fontId="11" fillId="0" borderId="0" applyFont="0" applyFill="0" applyBorder="0" applyAlignment="0" applyProtection="0"/>
    <xf numFmtId="43" fontId="11" fillId="0" borderId="0" applyFont="0" applyFill="0" applyBorder="0" applyAlignment="0" applyProtection="0"/>
    <xf numFmtId="167" fontId="3" fillId="0" borderId="0" applyFont="0" applyFill="0" applyBorder="0" applyAlignment="0" applyProtection="0"/>
    <xf numFmtId="43" fontId="11" fillId="0" borderId="0" applyFont="0" applyFill="0" applyBorder="0" applyAlignment="0" applyProtection="0"/>
    <xf numFmtId="3" fontId="11" fillId="0" borderId="0" applyFont="0" applyFill="0" applyBorder="0" applyAlignment="0" applyProtection="0"/>
    <xf numFmtId="187" fontId="11" fillId="0" borderId="0"/>
    <xf numFmtId="187" fontId="11" fillId="0" borderId="0"/>
    <xf numFmtId="187" fontId="11" fillId="0" borderId="0"/>
    <xf numFmtId="43" fontId="11" fillId="0" borderId="0" applyFont="0" applyFill="0" applyBorder="0" applyAlignment="0" applyProtection="0"/>
    <xf numFmtId="187" fontId="11" fillId="0" borderId="0"/>
    <xf numFmtId="187" fontId="11" fillId="0" borderId="0"/>
    <xf numFmtId="187" fontId="11" fillId="0" borderId="0"/>
    <xf numFmtId="43" fontId="11" fillId="0" borderId="0" applyFont="0" applyFill="0" applyBorder="0" applyAlignment="0" applyProtection="0"/>
    <xf numFmtId="18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189" fontId="1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19" fontId="1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7" fontId="3"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43" fontId="3"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7" fontId="3" fillId="0" borderId="0" applyFont="0" applyFill="0" applyBorder="0" applyAlignment="0" applyProtection="0"/>
    <xf numFmtId="43" fontId="73" fillId="0" borderId="0" applyFont="0" applyFill="0" applyBorder="0" applyAlignment="0" applyProtection="0"/>
    <xf numFmtId="167"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167" fontId="3" fillId="0" borderId="0" applyFont="0" applyFill="0" applyBorder="0" applyAlignment="0" applyProtection="0"/>
    <xf numFmtId="219" fontId="3" fillId="0" borderId="0" applyFont="0" applyFill="0" applyBorder="0" applyAlignment="0" applyProtection="0"/>
    <xf numFmtId="167"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167"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20" fontId="11"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20" fontId="11"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21" fontId="78" fillId="0" borderId="0" applyFont="0" applyFill="0" applyBorder="0" applyAlignment="0" applyProtection="0"/>
    <xf numFmtId="221" fontId="78" fillId="0" borderId="0" applyFont="0" applyFill="0" applyBorder="0" applyAlignment="0" applyProtection="0"/>
    <xf numFmtId="187" fontId="127" fillId="58" borderId="0">
      <alignment horizontal="center" vertical="center" wrapText="1"/>
    </xf>
    <xf numFmtId="222" fontId="128" fillId="0" borderId="0">
      <alignment horizontal="center"/>
    </xf>
    <xf numFmtId="187" fontId="129" fillId="0" borderId="0" applyNumberFormat="0" applyAlignment="0">
      <alignment horizontal="left"/>
    </xf>
    <xf numFmtId="187" fontId="129" fillId="0" borderId="0" applyNumberFormat="0" applyAlignment="0">
      <alignment horizontal="left"/>
    </xf>
    <xf numFmtId="187" fontId="129" fillId="0" borderId="0" applyNumberFormat="0" applyAlignment="0">
      <alignment horizontal="left"/>
    </xf>
    <xf numFmtId="187" fontId="129" fillId="0" borderId="0" applyNumberFormat="0" applyAlignment="0">
      <alignment horizontal="left"/>
    </xf>
    <xf numFmtId="187" fontId="130" fillId="0" borderId="0" applyNumberFormat="0" applyAlignment="0"/>
    <xf numFmtId="187" fontId="130" fillId="0" borderId="0" applyNumberFormat="0" applyAlignment="0"/>
    <xf numFmtId="187" fontId="130" fillId="0" borderId="0" applyNumberFormat="0" applyAlignment="0"/>
    <xf numFmtId="187" fontId="130" fillId="0" borderId="0" applyNumberFormat="0" applyAlignment="0"/>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192" fontId="131" fillId="0" borderId="39">
      <alignment horizontal="left"/>
    </xf>
    <xf numFmtId="7" fontId="132" fillId="0" borderId="0" applyFill="0" applyBorder="0">
      <alignment horizontal="right"/>
      <protection locked="0"/>
    </xf>
    <xf numFmtId="223" fontId="15" fillId="0" borderId="0" applyFont="0" applyFill="0" applyBorder="0" applyAlignment="0" applyProtection="0"/>
    <xf numFmtId="224" fontId="15" fillId="0" borderId="0" applyFont="0" applyFill="0" applyBorder="0" applyAlignment="0" applyProtection="0"/>
    <xf numFmtId="178" fontId="15" fillId="0" borderId="0" applyFont="0" applyFill="0" applyBorder="0" applyAlignment="0" applyProtection="0"/>
    <xf numFmtId="179" fontId="31" fillId="0" borderId="0" applyFont="0" applyFill="0" applyBorder="0" applyAlignment="0"/>
    <xf numFmtId="179" fontId="31" fillId="0" borderId="0" applyFont="0" applyFill="0" applyBorder="0" applyAlignment="0"/>
    <xf numFmtId="8" fontId="11" fillId="0" borderId="0" applyFont="0" applyFill="0" applyBorder="0" applyAlignment="0"/>
    <xf numFmtId="44" fontId="11" fillId="0" borderId="0" applyFont="0" applyFill="0" applyBorder="0" applyAlignment="0" applyProtection="0"/>
    <xf numFmtId="44" fontId="11" fillId="0" borderId="0" applyFont="0" applyFill="0" applyBorder="0" applyAlignment="0" applyProtection="0"/>
    <xf numFmtId="44" fontId="77" fillId="0" borderId="0" applyFont="0" applyFill="0" applyBorder="0" applyAlignment="0" applyProtection="0"/>
    <xf numFmtId="44" fontId="77" fillId="0" borderId="0" applyFont="0" applyFill="0" applyBorder="0" applyAlignment="0" applyProtection="0"/>
    <xf numFmtId="44" fontId="7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87" fontId="15" fillId="0" borderId="0" applyFont="0" applyFill="0" applyBorder="0" applyAlignment="0">
      <protection locked="0"/>
    </xf>
    <xf numFmtId="187" fontId="79" fillId="0" borderId="0" applyFont="0" applyFill="0" applyBorder="0" applyAlignment="0" applyProtection="0"/>
    <xf numFmtId="225" fontId="11" fillId="0" borderId="0" applyFont="0" applyFill="0" applyBorder="0" applyAlignment="0"/>
    <xf numFmtId="1" fontId="11" fillId="0" borderId="14"/>
    <xf numFmtId="14" fontId="31" fillId="0" borderId="40">
      <alignment horizontal="right"/>
    </xf>
    <xf numFmtId="16" fontId="133" fillId="0" borderId="0" applyFont="0" applyFill="0" applyBorder="0" applyAlignment="0" applyProtection="0"/>
    <xf numFmtId="15" fontId="133" fillId="0" borderId="0" applyFont="0" applyFill="0" applyBorder="0" applyAlignment="0" applyProtection="0"/>
    <xf numFmtId="17" fontId="133" fillId="0" borderId="0" applyFont="0" applyFill="0" applyBorder="0" applyAlignment="0" applyProtection="0"/>
    <xf numFmtId="15" fontId="32" fillId="0" borderId="0" applyFill="0" applyBorder="0" applyAlignment="0"/>
    <xf numFmtId="226" fontId="32" fillId="29" borderId="0" applyFont="0" applyFill="0" applyBorder="0" applyAlignment="0" applyProtection="0"/>
    <xf numFmtId="187" fontId="134" fillId="29" borderId="25" applyFont="0" applyFill="0" applyBorder="0" applyAlignment="0" applyProtection="0"/>
    <xf numFmtId="17" fontId="32" fillId="0" borderId="0" applyFill="0" applyBorder="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31" fillId="0" borderId="4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227" fontId="135" fillId="0" borderId="0">
      <protection locked="0"/>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227" fontId="135" fillId="0" borderId="0">
      <protection locked="0"/>
    </xf>
    <xf numFmtId="14" fontId="31" fillId="0" borderId="0" applyFont="0" applyFill="0" applyBorder="0" applyAlignment="0" applyProtection="0"/>
    <xf numFmtId="227" fontId="135" fillId="0" borderId="0">
      <protection locked="0"/>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228" fontId="79" fillId="0" borderId="0" applyFont="0" applyFill="0" applyBorder="0" applyAlignment="0" applyProtection="0"/>
    <xf numFmtId="185" fontId="79" fillId="0" borderId="0" applyFont="0" applyFill="0" applyBorder="0" applyAlignment="0" applyProtection="0"/>
    <xf numFmtId="15" fontId="78" fillId="0" borderId="0" applyFont="0" applyFill="0" applyBorder="0" applyAlignment="0">
      <alignment vertical="top"/>
    </xf>
    <xf numFmtId="15" fontId="78" fillId="0" borderId="0" applyFont="0" applyFill="0" applyBorder="0" applyAlignment="0">
      <alignment vertical="top"/>
    </xf>
    <xf numFmtId="205" fontId="78" fillId="0" borderId="0" applyFont="0" applyFill="0" applyBorder="0" applyAlignment="0">
      <alignment vertical="top"/>
    </xf>
    <xf numFmtId="205" fontId="78" fillId="0" borderId="0" applyFont="0" applyFill="0" applyBorder="0" applyAlignment="0">
      <alignment vertical="top"/>
    </xf>
    <xf numFmtId="17" fontId="78" fillId="0" borderId="0" applyFont="0" applyFill="0" applyBorder="0" applyAlignment="0">
      <alignment vertical="top"/>
    </xf>
    <xf numFmtId="17" fontId="78" fillId="0" borderId="0" applyFont="0" applyFill="0" applyBorder="0" applyAlignment="0">
      <alignment vertical="top"/>
    </xf>
    <xf numFmtId="17" fontId="136" fillId="0" borderId="0" applyFont="0" applyFill="0" applyBorder="0" applyAlignment="0" applyProtection="0">
      <protection locked="0"/>
    </xf>
    <xf numFmtId="187" fontId="11" fillId="0" borderId="0"/>
    <xf numFmtId="187" fontId="15" fillId="0" borderId="0"/>
    <xf numFmtId="187" fontId="15" fillId="0" borderId="0"/>
    <xf numFmtId="187" fontId="15" fillId="0" borderId="0"/>
    <xf numFmtId="187" fontId="15" fillId="0" borderId="0"/>
    <xf numFmtId="229" fontId="11" fillId="0" borderId="0" applyFont="0" applyFill="0" applyBorder="0" applyProtection="0">
      <alignment horizontal="left"/>
    </xf>
    <xf numFmtId="230" fontId="11" fillId="0" borderId="0" applyFont="0" applyFill="0" applyBorder="0" applyAlignment="0" applyProtection="0">
      <alignment horizontal="right"/>
    </xf>
    <xf numFmtId="230" fontId="11" fillId="0" borderId="0" applyFont="0" applyFill="0" applyBorder="0" applyAlignment="0" applyProtection="0">
      <alignment horizontal="right"/>
    </xf>
    <xf numFmtId="192" fontId="137" fillId="0" borderId="0" applyFont="0" applyFill="0" applyBorder="0" applyAlignment="0" applyProtection="0">
      <protection locked="0"/>
    </xf>
    <xf numFmtId="39" fontId="91" fillId="0" borderId="0" applyFont="0" applyFill="0" applyBorder="0" applyAlignment="0" applyProtection="0"/>
    <xf numFmtId="231" fontId="98" fillId="0" borderId="0" applyFont="0" applyFill="0" applyBorder="0" applyAlignment="0"/>
    <xf numFmtId="232" fontId="11" fillId="0" borderId="0" applyFont="0" applyFill="0" applyBorder="0" applyAlignment="0" applyProtection="0"/>
    <xf numFmtId="43" fontId="11" fillId="0" borderId="0" applyFont="0" applyFill="0" applyBorder="0" applyAlignment="0" applyProtection="0"/>
    <xf numFmtId="38" fontId="15" fillId="0" borderId="0" applyFont="0" applyFill="0" applyBorder="0" applyAlignment="0" applyProtection="0"/>
    <xf numFmtId="5" fontId="12" fillId="0" borderId="0" applyFont="0" applyFill="0" applyBorder="0" applyAlignment="0" applyProtection="0">
      <protection locked="0"/>
    </xf>
    <xf numFmtId="8" fontId="11" fillId="0" borderId="0" applyFill="0" applyBorder="0" applyAlignment="0" applyProtection="0"/>
    <xf numFmtId="6" fontId="11" fillId="0" borderId="0" applyFill="0" applyBorder="0" applyAlignment="0" applyProtection="0"/>
    <xf numFmtId="8" fontId="11" fillId="0" borderId="0" applyFill="0" applyBorder="0" applyAlignment="0" applyProtection="0"/>
    <xf numFmtId="233" fontId="138" fillId="0" borderId="45" applyFont="0" applyFill="0" applyAlignment="0">
      <alignment horizontal="fill"/>
    </xf>
    <xf numFmtId="187" fontId="37" fillId="0" borderId="0" applyNumberFormat="0" applyFill="0" applyBorder="0" applyAlignment="0" applyProtection="0"/>
    <xf numFmtId="187" fontId="37" fillId="0" borderId="0" applyNumberFormat="0" applyFill="0" applyBorder="0" applyAlignment="0" applyProtection="0"/>
    <xf numFmtId="187" fontId="37" fillId="0" borderId="0" applyNumberFormat="0" applyFill="0" applyBorder="0" applyAlignment="0" applyProtection="0"/>
    <xf numFmtId="187" fontId="37" fillId="0" borderId="0" applyNumberFormat="0" applyFill="0" applyBorder="0" applyAlignment="0" applyProtection="0"/>
    <xf numFmtId="187" fontId="36" fillId="0" borderId="0" applyNumberFormat="0" applyFill="0" applyBorder="0" applyAlignment="0" applyProtection="0"/>
    <xf numFmtId="187" fontId="36" fillId="0" borderId="0" applyNumberFormat="0" applyFill="0" applyBorder="0" applyAlignment="0" applyProtection="0"/>
    <xf numFmtId="187" fontId="36" fillId="0" borderId="0" applyNumberFormat="0" applyFill="0" applyBorder="0" applyAlignment="0" applyProtection="0"/>
    <xf numFmtId="187" fontId="36" fillId="0" borderId="0" applyNumberFormat="0" applyFill="0" applyBorder="0" applyAlignment="0" applyProtection="0"/>
    <xf numFmtId="214" fontId="11" fillId="0" borderId="0" applyFill="0" applyBorder="0" applyAlignment="0"/>
    <xf numFmtId="178" fontId="15" fillId="0" borderId="0" applyFill="0" applyBorder="0" applyAlignment="0"/>
    <xf numFmtId="214" fontId="11" fillId="0" borderId="0" applyFill="0" applyBorder="0" applyAlignment="0"/>
    <xf numFmtId="176" fontId="15" fillId="0" borderId="0" applyFill="0" applyBorder="0" applyAlignment="0"/>
    <xf numFmtId="178" fontId="15" fillId="0" borderId="0" applyFill="0" applyBorder="0" applyAlignment="0"/>
    <xf numFmtId="187" fontId="139" fillId="0" borderId="0" applyNumberFormat="0" applyAlignment="0">
      <alignment horizontal="left"/>
    </xf>
    <xf numFmtId="187" fontId="139" fillId="0" borderId="0" applyNumberFormat="0" applyAlignment="0">
      <alignment horizontal="left"/>
    </xf>
    <xf numFmtId="187" fontId="139" fillId="0" borderId="0" applyNumberFormat="0" applyAlignment="0">
      <alignment horizontal="left"/>
    </xf>
    <xf numFmtId="187" fontId="139" fillId="0" borderId="0" applyNumberFormat="0" applyAlignment="0">
      <alignment horizontal="left"/>
    </xf>
    <xf numFmtId="187" fontId="29" fillId="0" borderId="0" applyNumberFormat="0" applyFont="0" applyFill="0"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187" fontId="11" fillId="0" borderId="0" applyNumberFormat="0" applyFill="0" applyBorder="0" applyAlignment="0" applyProtection="0"/>
    <xf numFmtId="187" fontId="11" fillId="0" borderId="0" applyNumberFormat="0" applyFill="0" applyBorder="0" applyAlignment="0" applyProtection="0"/>
    <xf numFmtId="187" fontId="11" fillId="0" borderId="0" applyNumberFormat="0" applyFill="0" applyBorder="0" applyAlignment="0" applyProtection="0"/>
    <xf numFmtId="187" fontId="11" fillId="0" borderId="0" applyNumberFormat="0" applyFill="0" applyBorder="0" applyAlignment="0" applyProtection="0"/>
    <xf numFmtId="187" fontId="140" fillId="0" borderId="0"/>
    <xf numFmtId="187" fontId="140" fillId="0" borderId="0"/>
    <xf numFmtId="187" fontId="140" fillId="0" borderId="0"/>
    <xf numFmtId="187" fontId="140" fillId="0" borderId="0"/>
    <xf numFmtId="41" fontId="11" fillId="0" borderId="0" applyFont="0" applyFill="0" applyBorder="0" applyAlignment="0" applyProtection="0"/>
    <xf numFmtId="187" fontId="141" fillId="0" borderId="32" applyFill="0" applyBorder="0" applyAlignment="0">
      <alignment vertical="center"/>
    </xf>
    <xf numFmtId="187" fontId="141" fillId="0" borderId="32" applyFill="0" applyBorder="0" applyAlignment="0">
      <alignment vertical="center"/>
    </xf>
    <xf numFmtId="187" fontId="141" fillId="0" borderId="32" applyFill="0" applyBorder="0" applyAlignment="0">
      <alignment vertical="center"/>
    </xf>
    <xf numFmtId="187" fontId="141" fillId="0" borderId="32" applyFill="0" applyBorder="0" applyAlignment="0">
      <alignment vertical="center"/>
    </xf>
    <xf numFmtId="234"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5"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234"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187" fontId="11" fillId="0" borderId="0" applyFont="0" applyFill="0" applyBorder="0" applyAlignment="0" applyProtection="0"/>
    <xf numFmtId="0" fontId="79" fillId="26" borderId="0" applyNumberFormat="0" applyFont="0" applyBorder="0" applyAlignment="0" applyProtection="0"/>
    <xf numFmtId="0" fontId="100" fillId="0" borderId="0" applyNumberFormat="0" applyFill="0" applyBorder="0" applyAlignment="0" applyProtection="0"/>
    <xf numFmtId="236" fontId="142" fillId="0" borderId="0" applyFill="0" applyBorder="0"/>
    <xf numFmtId="15" fontId="12" fillId="0" borderId="0" applyFill="0" applyBorder="0" applyProtection="0">
      <alignment horizontal="center"/>
    </xf>
    <xf numFmtId="0" fontId="79" fillId="5" borderId="0" applyNumberFormat="0" applyFont="0" applyBorder="0" applyAlignment="0" applyProtection="0"/>
    <xf numFmtId="237" fontId="26" fillId="10" borderId="44" applyAlignment="0" applyProtection="0"/>
    <xf numFmtId="237" fontId="26" fillId="10" borderId="44" applyAlignment="0" applyProtection="0"/>
    <xf numFmtId="238" fontId="143" fillId="0" borderId="0" applyNumberFormat="0" applyFill="0" applyBorder="0" applyAlignment="0" applyProtection="0"/>
    <xf numFmtId="238" fontId="144" fillId="0" borderId="0" applyNumberFormat="0" applyFill="0" applyBorder="0" applyAlignment="0" applyProtection="0"/>
    <xf numFmtId="15" fontId="97" fillId="13" borderId="40">
      <alignment horizontal="center"/>
      <protection locked="0"/>
    </xf>
    <xf numFmtId="239" fontId="97" fillId="13" borderId="40" applyAlignment="0">
      <protection locked="0"/>
    </xf>
    <xf numFmtId="238" fontId="97" fillId="13" borderId="40" applyAlignment="0">
      <protection locked="0"/>
    </xf>
    <xf numFmtId="238" fontId="12" fillId="0" borderId="0" applyFill="0" applyBorder="0" applyAlignment="0" applyProtection="0"/>
    <xf numFmtId="239" fontId="12" fillId="0" borderId="0" applyFill="0" applyBorder="0" applyAlignment="0" applyProtection="0"/>
    <xf numFmtId="240" fontId="12" fillId="0" borderId="0" applyFill="0" applyBorder="0" applyAlignment="0" applyProtection="0"/>
    <xf numFmtId="0" fontId="79" fillId="0" borderId="29" applyNumberFormat="0" applyFont="0" applyAlignment="0" applyProtection="0"/>
    <xf numFmtId="0" fontId="79" fillId="0" borderId="46" applyNumberFormat="0" applyFont="0" applyAlignment="0" applyProtection="0"/>
    <xf numFmtId="0" fontId="79" fillId="14" borderId="0" applyNumberFormat="0" applyFont="0" applyBorder="0" applyAlignment="0" applyProtection="0"/>
    <xf numFmtId="191" fontId="11" fillId="31" borderId="24" applyBorder="0"/>
    <xf numFmtId="191" fontId="11" fillId="31" borderId="24" applyBorder="0"/>
    <xf numFmtId="241" fontId="11" fillId="0" borderId="0" applyFont="0" applyFill="0" applyBorder="0">
      <alignment horizontal="left"/>
    </xf>
    <xf numFmtId="241" fontId="11" fillId="0" borderId="0" applyFont="0" applyFill="0" applyBorder="0">
      <alignment horizontal="left"/>
    </xf>
    <xf numFmtId="242" fontId="11" fillId="0" borderId="0" applyFont="0" applyFill="0" applyBorder="0" applyProtection="0">
      <alignment horizontal="center"/>
    </xf>
    <xf numFmtId="187" fontId="145" fillId="0" borderId="0" applyFont="0" applyFill="0" applyBorder="0" applyAlignment="0" applyProtection="0"/>
    <xf numFmtId="187" fontId="145" fillId="0" borderId="0" applyFont="0" applyFill="0" applyBorder="0" applyAlignment="0" applyProtection="0"/>
    <xf numFmtId="187" fontId="145" fillId="0" borderId="0" applyFont="0" applyFill="0" applyBorder="0" applyAlignment="0" applyProtection="0"/>
    <xf numFmtId="187" fontId="145" fillId="0" borderId="0" applyFont="0" applyFill="0" applyBorder="0" applyAlignment="0" applyProtection="0"/>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2" fontId="145" fillId="0" borderId="0" applyFont="0" applyFill="0" applyBorder="0" applyAlignment="0" applyProtection="0"/>
    <xf numFmtId="243" fontId="135" fillId="0" borderId="0">
      <protection locked="0"/>
    </xf>
    <xf numFmtId="244" fontId="11" fillId="29" borderId="0" applyFont="0" applyFill="0" applyBorder="0" applyAlignment="0"/>
    <xf numFmtId="192" fontId="147" fillId="0" borderId="0"/>
    <xf numFmtId="1" fontId="29" fillId="32" borderId="47">
      <alignment horizontal="center" vertical="center" wrapText="1"/>
    </xf>
    <xf numFmtId="37" fontId="78" fillId="0" borderId="0" applyNumberFormat="0" applyFill="0" applyBorder="0" applyAlignment="0" applyProtection="0"/>
    <xf numFmtId="245" fontId="97" fillId="0" borderId="32" applyNumberFormat="0" applyFill="0" applyBorder="0" applyAlignment="0" applyProtection="0"/>
    <xf numFmtId="41" fontId="148" fillId="13" borderId="0" applyNumberFormat="0" applyFont="0">
      <protection locked="0"/>
    </xf>
    <xf numFmtId="0" fontId="79" fillId="0" borderId="0" applyFont="0" applyFill="0" applyBorder="0" applyAlignment="0" applyProtection="0"/>
    <xf numFmtId="38" fontId="31" fillId="32" borderId="0" applyNumberFormat="0" applyBorder="0" applyAlignment="0" applyProtection="0"/>
    <xf numFmtId="38" fontId="31" fillId="32" borderId="0" applyNumberFormat="0" applyBorder="0" applyAlignment="0" applyProtection="0"/>
    <xf numFmtId="246" fontId="11" fillId="0" borderId="0"/>
    <xf numFmtId="0" fontId="11" fillId="0" borderId="0" applyFont="0"/>
    <xf numFmtId="187" fontId="11" fillId="0" borderId="0" applyFont="0"/>
    <xf numFmtId="171" fontId="11" fillId="55" borderId="14" applyNumberFormat="0" applyFont="0" applyBorder="0" applyAlignment="0" applyProtection="0"/>
    <xf numFmtId="171" fontId="11" fillId="55" borderId="14" applyNumberFormat="0" applyFont="0" applyBorder="0" applyAlignment="0" applyProtection="0"/>
    <xf numFmtId="192" fontId="149" fillId="55" borderId="0" applyNumberFormat="0" applyFont="0" applyAlignment="0"/>
    <xf numFmtId="0" fontId="56" fillId="60" borderId="48">
      <alignment horizontal="left" vertical="center" indent="1"/>
    </xf>
    <xf numFmtId="187" fontId="36" fillId="0" borderId="49" applyNumberFormat="0" applyAlignment="0" applyProtection="0">
      <alignment horizontal="left" vertical="center"/>
    </xf>
    <xf numFmtId="187" fontId="36" fillId="0" borderId="49" applyNumberFormat="0" applyAlignment="0" applyProtection="0">
      <alignment horizontal="left" vertical="center"/>
    </xf>
    <xf numFmtId="187" fontId="36" fillId="0" borderId="49" applyNumberFormat="0" applyAlignment="0" applyProtection="0">
      <alignment horizontal="left" vertical="center"/>
    </xf>
    <xf numFmtId="187" fontId="36" fillId="0" borderId="49" applyNumberFormat="0" applyAlignment="0" applyProtection="0">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44">
      <alignment horizontal="left" vertical="center"/>
    </xf>
    <xf numFmtId="187" fontId="36" fillId="0" borderId="0"/>
    <xf numFmtId="187" fontId="36" fillId="0" borderId="0"/>
    <xf numFmtId="187" fontId="36" fillId="0" borderId="0"/>
    <xf numFmtId="187" fontId="36" fillId="0" borderId="0"/>
    <xf numFmtId="187" fontId="32" fillId="0" borderId="0" applyNumberFormat="0" applyFill="0" applyBorder="0">
      <alignment horizontal="center" vertical="center" wrapText="1"/>
    </xf>
    <xf numFmtId="187" fontId="150" fillId="10" borderId="0"/>
    <xf numFmtId="187" fontId="150" fillId="10" borderId="0"/>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187" fontId="150" fillId="10" borderId="0"/>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187" fontId="150" fillId="10" borderId="0"/>
    <xf numFmtId="247" fontId="151" fillId="0" borderId="0">
      <protection locked="0"/>
    </xf>
    <xf numFmtId="247" fontId="151" fillId="0" borderId="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48" fontId="152" fillId="0" borderId="51" applyNumberFormat="0" applyFont="0" applyBorder="0" applyAlignment="0" applyProtection="0">
      <protection locked="0"/>
    </xf>
    <xf numFmtId="231" fontId="153" fillId="0" borderId="0" applyNumberFormat="0" applyFill="0" applyBorder="0" applyAlignment="0">
      <protection locked="0" hidden="1"/>
    </xf>
    <xf numFmtId="248" fontId="154" fillId="0" borderId="0" applyNumberFormat="0" applyFill="0" applyBorder="0" applyAlignment="0"/>
    <xf numFmtId="181" fontId="29" fillId="0" borderId="0"/>
    <xf numFmtId="187" fontId="155" fillId="0" borderId="0" applyNumberFormat="0" applyFill="0" applyBorder="0" applyAlignment="0" applyProtection="0">
      <alignment vertical="top"/>
      <protection locked="0"/>
    </xf>
    <xf numFmtId="187" fontId="155" fillId="0" borderId="0" applyNumberFormat="0" applyFill="0" applyBorder="0" applyAlignment="0" applyProtection="0">
      <alignment vertical="top"/>
      <protection locked="0"/>
    </xf>
    <xf numFmtId="187" fontId="155" fillId="0" borderId="0" applyNumberFormat="0" applyFill="0" applyBorder="0" applyAlignment="0" applyProtection="0">
      <alignment vertical="top"/>
      <protection locked="0"/>
    </xf>
    <xf numFmtId="2" fontId="156" fillId="0" borderId="0">
      <alignment horizontal="right"/>
    </xf>
    <xf numFmtId="176" fontId="157" fillId="0" borderId="51" applyNumberFormat="0" applyFill="0" applyBorder="0" applyAlignment="0">
      <alignment horizontal="right"/>
      <protection locked="0"/>
    </xf>
    <xf numFmtId="248" fontId="158" fillId="0" borderId="0" applyNumberFormat="0" applyFill="0" applyBorder="0" applyAlignment="0">
      <protection locked="0"/>
    </xf>
    <xf numFmtId="187" fontId="158" fillId="0" borderId="0" applyNumberFormat="0" applyFill="0" applyBorder="0" applyAlignment="0">
      <protection locked="0"/>
    </xf>
    <xf numFmtId="192" fontId="11" fillId="0" borderId="0"/>
    <xf numFmtId="171" fontId="159" fillId="0" borderId="31" applyFill="0" applyBorder="0" applyAlignment="0">
      <alignment horizontal="center"/>
      <protection locked="0"/>
    </xf>
    <xf numFmtId="249" fontId="160" fillId="34" borderId="52"/>
    <xf numFmtId="10" fontId="31" fillId="29" borderId="53" applyNumberFormat="0" applyBorder="0" applyAlignment="0" applyProtection="0"/>
    <xf numFmtId="10" fontId="31" fillId="29" borderId="53" applyNumberFormat="0" applyBorder="0" applyAlignment="0" applyProtection="0"/>
    <xf numFmtId="192" fontId="159" fillId="0" borderId="0" applyFill="0" applyBorder="0" applyAlignment="0">
      <protection locked="0"/>
    </xf>
    <xf numFmtId="192" fontId="161" fillId="0" borderId="0" applyNumberFormat="0" applyFill="0" applyBorder="0" applyAlignment="0">
      <protection locked="0"/>
    </xf>
    <xf numFmtId="192" fontId="161" fillId="0" borderId="0" applyNumberFormat="0" applyFill="0" applyBorder="0" applyAlignment="0">
      <protection locked="0"/>
    </xf>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0" fontId="44" fillId="4" borderId="1" applyNumberFormat="0" applyAlignment="0" applyProtection="0"/>
    <xf numFmtId="0" fontId="44" fillId="4" borderId="1" applyNumberFormat="0" applyAlignment="0" applyProtection="0"/>
    <xf numFmtId="175" fontId="44" fillId="4" borderId="1" applyNumberFormat="0" applyAlignment="0" applyProtection="0"/>
    <xf numFmtId="175" fontId="44" fillId="4" borderId="1" applyNumberFormat="0" applyAlignment="0" applyProtection="0"/>
    <xf numFmtId="175" fontId="44" fillId="4" borderId="1" applyNumberFormat="0" applyAlignment="0" applyProtection="0"/>
    <xf numFmtId="175" fontId="44" fillId="4" borderId="1"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87" fontId="69" fillId="47" borderId="33" applyNumberFormat="0" applyAlignment="0" applyProtection="0"/>
    <xf numFmtId="192" fontId="161" fillId="0" borderId="0" applyNumberFormat="0" applyFill="0" applyBorder="0" applyAlignment="0">
      <protection locked="0"/>
    </xf>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4" borderId="1" applyNumberFormat="0" applyAlignment="0" applyProtection="0"/>
    <xf numFmtId="187" fontId="44" fillId="13" borderId="1" applyNumberFormat="0" applyAlignment="0" applyProtection="0"/>
    <xf numFmtId="187" fontId="44" fillId="13" borderId="1" applyNumberFormat="0" applyAlignment="0" applyProtection="0"/>
    <xf numFmtId="187" fontId="44" fillId="13" borderId="1" applyNumberFormat="0" applyAlignment="0" applyProtection="0"/>
    <xf numFmtId="187" fontId="44" fillId="13" borderId="1" applyNumberFormat="0" applyAlignment="0" applyProtection="0"/>
    <xf numFmtId="187" fontId="44" fillId="13" borderId="1" applyNumberFormat="0" applyAlignment="0" applyProtection="0"/>
    <xf numFmtId="187" fontId="44" fillId="13" borderId="1" applyNumberFormat="0" applyAlignment="0" applyProtection="0"/>
    <xf numFmtId="192" fontId="161" fillId="0" borderId="0" applyNumberFormat="0" applyFill="0" applyBorder="0" applyAlignment="0">
      <protection locked="0"/>
    </xf>
    <xf numFmtId="192" fontId="161" fillId="0" borderId="0" applyNumberFormat="0" applyFill="0" applyBorder="0" applyAlignment="0">
      <protection locked="0"/>
    </xf>
    <xf numFmtId="192" fontId="161" fillId="0" borderId="0" applyNumberFormat="0" applyFill="0" applyBorder="0" applyAlignment="0">
      <protection locked="0"/>
    </xf>
    <xf numFmtId="192" fontId="161" fillId="0" borderId="0" applyNumberFormat="0" applyFill="0" applyBorder="0" applyAlignment="0">
      <protection locked="0"/>
    </xf>
    <xf numFmtId="192" fontId="161" fillId="0" borderId="0" applyNumberFormat="0" applyFill="0" applyBorder="0" applyAlignment="0">
      <protection locked="0"/>
    </xf>
    <xf numFmtId="192" fontId="161" fillId="0" borderId="0" applyNumberFormat="0" applyFill="0" applyBorder="0" applyAlignment="0">
      <protection locked="0"/>
    </xf>
    <xf numFmtId="192" fontId="95" fillId="61" borderId="0"/>
    <xf numFmtId="250" fontId="11" fillId="61" borderId="0"/>
    <xf numFmtId="250" fontId="11" fillId="61" borderId="0"/>
    <xf numFmtId="8" fontId="31" fillId="29" borderId="0" applyFont="0" applyBorder="0" applyAlignment="0" applyProtection="0">
      <protection locked="0"/>
    </xf>
    <xf numFmtId="8" fontId="31" fillId="29" borderId="0" applyFont="0" applyBorder="0" applyAlignment="0" applyProtection="0">
      <protection locked="0"/>
    </xf>
    <xf numFmtId="14" fontId="134" fillId="29" borderId="40">
      <alignment horizontal="right"/>
    </xf>
    <xf numFmtId="15" fontId="31" fillId="29" borderId="0" applyFont="0" applyBorder="0" applyAlignment="0" applyProtection="0">
      <protection locked="0"/>
    </xf>
    <xf numFmtId="244" fontId="31" fillId="29" borderId="0" applyFont="0" applyBorder="0" applyAlignment="0">
      <protection locked="0"/>
    </xf>
    <xf numFmtId="244" fontId="31" fillId="29" borderId="0" applyFont="0" applyBorder="0" applyAlignment="0">
      <protection locked="0"/>
    </xf>
    <xf numFmtId="3" fontId="134" fillId="29" borderId="40"/>
    <xf numFmtId="38" fontId="31" fillId="29" borderId="0">
      <protection locked="0"/>
    </xf>
    <xf numFmtId="38" fontId="31" fillId="29" borderId="0">
      <protection locked="0"/>
    </xf>
    <xf numFmtId="251" fontId="31" fillId="29" borderId="0" applyFont="0" applyBorder="0" applyAlignment="0">
      <protection locked="0"/>
    </xf>
    <xf numFmtId="10" fontId="31" fillId="29" borderId="0">
      <protection locked="0"/>
    </xf>
    <xf numFmtId="10" fontId="31" fillId="29" borderId="0">
      <protection locked="0"/>
    </xf>
    <xf numFmtId="251" fontId="31" fillId="29" borderId="0" applyFont="0" applyBorder="0" applyAlignment="0">
      <protection locked="0"/>
    </xf>
    <xf numFmtId="251" fontId="31" fillId="29" borderId="0" applyFont="0" applyBorder="0" applyAlignment="0">
      <protection locked="0"/>
    </xf>
    <xf numFmtId="251" fontId="31" fillId="29" borderId="0" applyFont="0" applyBorder="0" applyAlignment="0">
      <protection locked="0"/>
    </xf>
    <xf numFmtId="181" fontId="33" fillId="29" borderId="0" applyNumberFormat="0" applyBorder="0" applyAlignment="0">
      <protection locked="0"/>
    </xf>
    <xf numFmtId="10" fontId="162" fillId="0" borderId="0">
      <protection locked="0"/>
    </xf>
    <xf numFmtId="187" fontId="97" fillId="0" borderId="0" applyNumberFormat="0" applyFill="0" applyBorder="0" applyAlignment="0">
      <protection locked="0"/>
    </xf>
    <xf numFmtId="192" fontId="97" fillId="0" borderId="0" applyNumberFormat="0" applyBorder="0" applyAlignment="0" applyProtection="0"/>
    <xf numFmtId="15" fontId="162" fillId="0" borderId="0">
      <protection locked="0"/>
    </xf>
    <xf numFmtId="2" fontId="162" fillId="0" borderId="24">
      <protection locked="0"/>
    </xf>
    <xf numFmtId="252" fontId="97" fillId="29" borderId="54"/>
    <xf numFmtId="187" fontId="162" fillId="0" borderId="0">
      <protection locked="0"/>
    </xf>
    <xf numFmtId="187" fontId="15" fillId="0" borderId="0" applyFill="0" applyBorder="0">
      <alignment horizontal="right"/>
      <protection locked="0"/>
    </xf>
    <xf numFmtId="253" fontId="78" fillId="0" borderId="0" applyFont="0" applyFill="0" applyBorder="0" applyAlignment="0">
      <alignment vertical="top"/>
    </xf>
    <xf numFmtId="253" fontId="78" fillId="0" borderId="0" applyFont="0" applyFill="0" applyBorder="0" applyAlignment="0">
      <alignment vertical="top"/>
    </xf>
    <xf numFmtId="254" fontId="78" fillId="0" borderId="0" applyFont="0" applyFill="0" applyBorder="0" applyAlignment="0">
      <alignment vertical="top"/>
    </xf>
    <xf numFmtId="254" fontId="78" fillId="0" borderId="0" applyFont="0" applyFill="0" applyBorder="0" applyAlignment="0">
      <alignment vertical="top"/>
    </xf>
    <xf numFmtId="174" fontId="11" fillId="0" borderId="0" applyFill="0" applyBorder="0">
      <alignment horizontal="right"/>
      <protection locked="0"/>
    </xf>
    <xf numFmtId="174" fontId="11" fillId="0" borderId="0" applyFill="0" applyBorder="0">
      <alignment horizontal="right"/>
      <protection locked="0"/>
    </xf>
    <xf numFmtId="255" fontId="35" fillId="62" borderId="0" applyBorder="0"/>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187" fontId="29" fillId="30" borderId="28">
      <alignment horizontal="left" vertical="center" wrapText="1"/>
    </xf>
    <xf numFmtId="238" fontId="11" fillId="0" borderId="0"/>
    <xf numFmtId="192" fontId="29" fillId="0" borderId="0"/>
    <xf numFmtId="187" fontId="91" fillId="0" borderId="0" applyNumberFormat="0" applyFill="0" applyBorder="0" applyAlignment="0" applyProtection="0"/>
    <xf numFmtId="3" fontId="163" fillId="0" borderId="26" applyFill="0" applyBorder="0">
      <protection locked="0"/>
    </xf>
    <xf numFmtId="187" fontId="156" fillId="0" borderId="0" applyNumberFormat="0" applyFill="0" applyBorder="0" applyAlignment="0" applyProtection="0">
      <alignment vertical="top"/>
      <protection locked="0"/>
    </xf>
    <xf numFmtId="187" fontId="156" fillId="0" borderId="0" applyNumberFormat="0" applyFill="0" applyBorder="0" applyAlignment="0" applyProtection="0">
      <alignment vertical="top"/>
      <protection locked="0"/>
    </xf>
    <xf numFmtId="187" fontId="156" fillId="0" borderId="0" applyNumberFormat="0" applyFill="0" applyBorder="0" applyAlignment="0" applyProtection="0">
      <alignment vertical="top"/>
      <protection locked="0"/>
    </xf>
    <xf numFmtId="187" fontId="156" fillId="0" borderId="0" applyNumberFormat="0" applyFill="0" applyBorder="0" applyAlignment="0" applyProtection="0">
      <alignment vertical="top"/>
      <protection locked="0"/>
    </xf>
    <xf numFmtId="187" fontId="164" fillId="0" borderId="0" applyNumberFormat="0" applyFill="0" applyBorder="0" applyAlignment="0" applyProtection="0">
      <alignment vertical="top"/>
      <protection locked="0"/>
    </xf>
    <xf numFmtId="187" fontId="164" fillId="0" borderId="0" applyNumberFormat="0" applyFill="0" applyBorder="0" applyAlignment="0" applyProtection="0">
      <alignment vertical="top"/>
      <protection locked="0"/>
    </xf>
    <xf numFmtId="187" fontId="164" fillId="0" borderId="0" applyNumberFormat="0" applyFill="0" applyBorder="0" applyAlignment="0" applyProtection="0">
      <alignment vertical="top"/>
      <protection locked="0"/>
    </xf>
    <xf numFmtId="187" fontId="164" fillId="0" borderId="0" applyNumberFormat="0" applyFill="0" applyBorder="0" applyAlignment="0" applyProtection="0">
      <alignment vertical="top"/>
      <protection locked="0"/>
    </xf>
    <xf numFmtId="187" fontId="156" fillId="0" borderId="0" applyNumberFormat="0" applyFill="0" applyBorder="0" applyAlignment="0" applyProtection="0">
      <alignment vertical="top"/>
      <protection locked="0"/>
    </xf>
    <xf numFmtId="38" fontId="31" fillId="31" borderId="0">
      <alignment vertical="top"/>
    </xf>
    <xf numFmtId="38" fontId="31" fillId="31" borderId="0">
      <alignment vertical="top"/>
    </xf>
    <xf numFmtId="38" fontId="31" fillId="34" borderId="26">
      <alignment wrapText="1"/>
      <protection locked="0"/>
    </xf>
    <xf numFmtId="38" fontId="31" fillId="34" borderId="26">
      <alignment wrapText="1"/>
      <protection locked="0"/>
    </xf>
    <xf numFmtId="214" fontId="11" fillId="0" borderId="0" applyFill="0" applyBorder="0" applyAlignment="0"/>
    <xf numFmtId="178" fontId="15" fillId="0" borderId="0" applyFill="0" applyBorder="0" applyAlignment="0"/>
    <xf numFmtId="214" fontId="11" fillId="0" borderId="0" applyFill="0" applyBorder="0" applyAlignment="0"/>
    <xf numFmtId="176" fontId="15" fillId="0" borderId="0" applyFill="0" applyBorder="0" applyAlignment="0"/>
    <xf numFmtId="178" fontId="15" fillId="0" borderId="0" applyFill="0" applyBorder="0" applyAlignment="0"/>
    <xf numFmtId="250" fontId="11" fillId="63" borderId="0"/>
    <xf numFmtId="250" fontId="11" fillId="63" borderId="0"/>
    <xf numFmtId="256" fontId="165" fillId="62" borderId="0" applyBorder="0" applyAlignment="0">
      <alignment horizontal="right"/>
    </xf>
    <xf numFmtId="38" fontId="15" fillId="0" borderId="0" applyFont="0" applyFill="0" applyBorder="0" applyAlignment="0" applyProtection="0"/>
    <xf numFmtId="41" fontId="11" fillId="0" borderId="0" applyFont="0" applyFill="0" applyBorder="0" applyAlignment="0" applyProtection="0"/>
    <xf numFmtId="257" fontId="11" fillId="0" borderId="0" applyFont="0" applyFill="0" applyBorder="0" applyAlignment="0" applyProtection="0"/>
    <xf numFmtId="43" fontId="11"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219" fontId="3" fillId="0" borderId="0" applyFont="0" applyFill="0" applyBorder="0" applyAlignment="0" applyProtection="0"/>
    <xf numFmtId="43" fontId="11"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219" fontId="6" fillId="0" borderId="0" applyFont="0" applyFill="0" applyBorder="0" applyAlignment="0" applyProtection="0"/>
    <xf numFmtId="43" fontId="11" fillId="0" borderId="0" applyFont="0" applyFill="0" applyBorder="0" applyAlignment="0" applyProtection="0"/>
    <xf numFmtId="219" fontId="6" fillId="0" borderId="0" applyFont="0" applyFill="0" applyBorder="0" applyAlignment="0" applyProtection="0"/>
    <xf numFmtId="43" fontId="11" fillId="0" borderId="0" applyFont="0" applyFill="0" applyBorder="0" applyAlignment="0" applyProtection="0"/>
    <xf numFmtId="258" fontId="3" fillId="0" borderId="0" applyFont="0" applyFill="0" applyBorder="0" applyAlignment="0" applyProtection="0"/>
    <xf numFmtId="258" fontId="3" fillId="0" borderId="0" applyFont="0" applyFill="0" applyBorder="0" applyAlignment="0" applyProtection="0"/>
    <xf numFmtId="219" fontId="6" fillId="0" borderId="0" applyFont="0" applyFill="0" applyBorder="0" applyAlignment="0" applyProtection="0"/>
    <xf numFmtId="43" fontId="11" fillId="0" borderId="0" applyFont="0" applyFill="0" applyBorder="0" applyAlignment="0" applyProtection="0"/>
    <xf numFmtId="258" fontId="3" fillId="0" borderId="0" applyFont="0" applyFill="0" applyBorder="0" applyAlignment="0" applyProtection="0"/>
    <xf numFmtId="219" fontId="3" fillId="0" borderId="0" applyFont="0" applyFill="0" applyBorder="0" applyAlignment="0" applyProtection="0"/>
    <xf numFmtId="219" fontId="3" fillId="0" borderId="0" applyFont="0" applyFill="0" applyBorder="0" applyAlignment="0" applyProtection="0"/>
    <xf numFmtId="43" fontId="3" fillId="0" borderId="0" applyFont="0" applyFill="0" applyBorder="0" applyAlignment="0" applyProtection="0"/>
    <xf numFmtId="43" fontId="11" fillId="0" borderId="0" applyFont="0" applyFill="0" applyBorder="0" applyAlignment="0" applyProtection="0"/>
    <xf numFmtId="219" fontId="6" fillId="0" borderId="0" applyFont="0" applyFill="0" applyBorder="0" applyAlignment="0" applyProtection="0"/>
    <xf numFmtId="43" fontId="11" fillId="0" borderId="0" applyFont="0" applyFill="0" applyBorder="0" applyAlignment="0" applyProtection="0"/>
    <xf numFmtId="183" fontId="11" fillId="0" borderId="0" applyFont="0" applyFill="0" applyBorder="0" applyAlignment="0" applyProtection="0"/>
    <xf numFmtId="219" fontId="11" fillId="0" borderId="0" applyFont="0" applyFill="0" applyBorder="0" applyAlignment="0" applyProtection="0"/>
    <xf numFmtId="43" fontId="11" fillId="0" borderId="0" applyFont="0" applyFill="0" applyBorder="0" applyAlignment="0" applyProtection="0"/>
    <xf numFmtId="183" fontId="11" fillId="0" borderId="0" applyFont="0" applyFill="0" applyBorder="0" applyAlignment="0" applyProtection="0"/>
    <xf numFmtId="183" fontId="11" fillId="0" borderId="0" applyFont="0" applyFill="0" applyBorder="0" applyAlignment="0" applyProtection="0"/>
    <xf numFmtId="183" fontId="11" fillId="0" borderId="0" applyFont="0" applyFill="0" applyBorder="0" applyAlignment="0" applyProtection="0"/>
    <xf numFmtId="219" fontId="6"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91" fontId="11" fillId="0" borderId="0" applyFont="0" applyFill="0" applyBorder="0" applyAlignment="0" applyProtection="0"/>
    <xf numFmtId="189" fontId="11" fillId="0" borderId="0" applyFont="0" applyFill="0" applyBorder="0" applyAlignment="0" applyProtection="0"/>
    <xf numFmtId="3" fontId="79" fillId="0" borderId="0"/>
    <xf numFmtId="37" fontId="78" fillId="0" borderId="0" applyFont="0" applyFill="0" applyBorder="0" applyAlignment="0" applyProtection="0"/>
    <xf numFmtId="259" fontId="78" fillId="0" borderId="0" applyFont="0" applyFill="0" applyBorder="0" applyAlignment="0" applyProtection="0"/>
    <xf numFmtId="260" fontId="78" fillId="0" borderId="0" applyFont="0" applyFill="0" applyBorder="0" applyAlignment="0" applyProtection="0"/>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187" fontId="166" fillId="31" borderId="55">
      <alignment horizontal="left" vertical="top" indent="2"/>
    </xf>
    <xf numFmtId="261" fontId="78" fillId="0" borderId="0" applyFont="0" applyFill="0" applyBorder="0" applyAlignment="0" applyProtection="0"/>
    <xf numFmtId="262" fontId="78" fillId="0" borderId="0" applyFont="0" applyFill="0" applyBorder="0" applyAlignment="0" applyProtection="0"/>
    <xf numFmtId="263" fontId="78" fillId="0" borderId="0" applyFont="0" applyFill="0" applyBorder="0" applyAlignment="0" applyProtection="0"/>
    <xf numFmtId="264" fontId="78" fillId="0" borderId="0" applyFont="0" applyFill="0" applyBorder="0" applyAlignment="0" applyProtection="0"/>
    <xf numFmtId="180" fontId="15" fillId="0" borderId="0"/>
    <xf numFmtId="187" fontId="36" fillId="0" borderId="0" applyFill="0" applyBorder="0">
      <alignment horizontal="left" vertical="center"/>
    </xf>
    <xf numFmtId="187" fontId="36" fillId="0" borderId="0" applyFill="0" applyBorder="0">
      <alignment horizontal="left" vertical="center"/>
    </xf>
    <xf numFmtId="187" fontId="11" fillId="64" borderId="0" applyNumberFormat="0" applyFont="0" applyBorder="0" applyAlignment="0" applyProtection="0"/>
    <xf numFmtId="265" fontId="11" fillId="0" borderId="0" applyFont="0" applyFill="0" applyBorder="0" applyAlignment="0" applyProtection="0"/>
    <xf numFmtId="266" fontId="11" fillId="0" borderId="0" applyFont="0" applyFill="0" applyBorder="0" applyAlignment="0" applyProtection="0"/>
    <xf numFmtId="187" fontId="167" fillId="0" borderId="0" applyFont="0" applyFill="0" applyBorder="0" applyAlignment="0" applyProtection="0"/>
    <xf numFmtId="187" fontId="167" fillId="0" borderId="0" applyFont="0" applyFill="0" applyBorder="0" applyAlignment="0" applyProtection="0"/>
    <xf numFmtId="267" fontId="11" fillId="0" borderId="0" applyFont="0" applyFill="0" applyBorder="0" applyAlignment="0" applyProtection="0"/>
    <xf numFmtId="268" fontId="11" fillId="0" borderId="0" applyFont="0" applyFill="0" applyBorder="0" applyAlignment="0" applyProtection="0"/>
    <xf numFmtId="188" fontId="11" fillId="0" borderId="0" applyFont="0" applyFill="0" applyBorder="0" applyAlignment="0" applyProtection="0"/>
    <xf numFmtId="269" fontId="94" fillId="0" borderId="0" applyFont="0" applyFill="0" applyBorder="0" applyAlignment="0" applyProtection="0"/>
    <xf numFmtId="270" fontId="11" fillId="0" borderId="0">
      <alignment horizontal="right"/>
    </xf>
    <xf numFmtId="270" fontId="11" fillId="0" borderId="0">
      <alignment horizontal="right"/>
    </xf>
    <xf numFmtId="0" fontId="3" fillId="0" borderId="0"/>
    <xf numFmtId="0" fontId="77" fillId="0" borderId="0"/>
    <xf numFmtId="0" fontId="77" fillId="0" borderId="0"/>
    <xf numFmtId="165" fontId="11" fillId="0" borderId="0"/>
    <xf numFmtId="0" fontId="3" fillId="0" borderId="0"/>
    <xf numFmtId="0" fontId="3" fillId="0" borderId="0"/>
    <xf numFmtId="0" fontId="11" fillId="0" borderId="0"/>
    <xf numFmtId="0" fontId="11" fillId="6" borderId="9" applyNumberFormat="0" applyFont="0" applyAlignment="0" applyProtection="0"/>
    <xf numFmtId="0" fontId="11" fillId="6" borderId="9" applyNumberFormat="0" applyFont="0" applyAlignment="0" applyProtection="0"/>
    <xf numFmtId="175" fontId="11" fillId="6" borderId="9" applyNumberFormat="0" applyFont="0" applyAlignment="0" applyProtection="0"/>
    <xf numFmtId="175" fontId="11" fillId="6" borderId="9" applyNumberFormat="0" applyFont="0" applyAlignment="0" applyProtection="0"/>
    <xf numFmtId="175" fontId="11" fillId="6" borderId="9" applyNumberFormat="0" applyFont="0" applyAlignment="0" applyProtection="0"/>
    <xf numFmtId="175" fontId="11" fillId="6" borderId="9" applyNumberFormat="0" applyFont="0" applyAlignment="0" applyProtection="0"/>
    <xf numFmtId="204" fontId="23" fillId="0" borderId="40"/>
    <xf numFmtId="184" fontId="11" fillId="0" borderId="40"/>
    <xf numFmtId="184" fontId="11" fillId="0" borderId="40"/>
    <xf numFmtId="204" fontId="23" fillId="0" borderId="40" applyBorder="0"/>
    <xf numFmtId="0" fontId="47" fillId="10" borderId="10" applyNumberFormat="0" applyAlignment="0" applyProtection="0"/>
    <xf numFmtId="0" fontId="47" fillId="10" borderId="10" applyNumberFormat="0" applyAlignment="0" applyProtection="0"/>
    <xf numFmtId="175" fontId="47" fillId="10" borderId="10" applyNumberFormat="0" applyAlignment="0" applyProtection="0"/>
    <xf numFmtId="175" fontId="47" fillId="10" borderId="10" applyNumberFormat="0" applyAlignment="0" applyProtection="0"/>
    <xf numFmtId="175" fontId="47" fillId="10" borderId="10" applyNumberFormat="0" applyAlignment="0" applyProtection="0"/>
    <xf numFmtId="175" fontId="47" fillId="10" borderId="10" applyNumberFormat="0" applyAlignment="0" applyProtection="0"/>
    <xf numFmtId="0" fontId="168" fillId="0" borderId="0">
      <alignment horizontal="right"/>
    </xf>
    <xf numFmtId="0" fontId="168" fillId="0" borderId="0">
      <alignment horizontal="right"/>
    </xf>
    <xf numFmtId="271" fontId="79"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7" fillId="0" borderId="0" applyFont="0" applyFill="0" applyBorder="0" applyAlignment="0" applyProtection="0"/>
    <xf numFmtId="9" fontId="77" fillId="0" borderId="0" applyFont="0" applyFill="0" applyBorder="0" applyAlignment="0" applyProtection="0"/>
    <xf numFmtId="9" fontId="73" fillId="0" borderId="0" applyFont="0" applyFill="0" applyBorder="0" applyAlignment="0" applyProtection="0"/>
    <xf numFmtId="49" fontId="79" fillId="0" borderId="0" applyFont="0" applyFill="0" applyBorder="0" applyAlignment="0" applyProtection="0"/>
    <xf numFmtId="0" fontId="48" fillId="0" borderId="13" applyNumberFormat="0" applyFill="0" applyAlignment="0" applyProtection="0"/>
    <xf numFmtId="0" fontId="48" fillId="0" borderId="13" applyNumberFormat="0" applyFill="0" applyAlignment="0" applyProtection="0"/>
    <xf numFmtId="175" fontId="48" fillId="0" borderId="13" applyNumberFormat="0" applyFill="0" applyAlignment="0" applyProtection="0"/>
    <xf numFmtId="175" fontId="48" fillId="0" borderId="13" applyNumberFormat="0" applyFill="0" applyAlignment="0" applyProtection="0"/>
    <xf numFmtId="175" fontId="48" fillId="0" borderId="13" applyNumberFormat="0" applyFill="0" applyAlignment="0" applyProtection="0"/>
    <xf numFmtId="175" fontId="48" fillId="0" borderId="13" applyNumberFormat="0" applyFill="0" applyAlignment="0" applyProtection="0"/>
    <xf numFmtId="0" fontId="75" fillId="0" borderId="12" applyNumberFormat="0" applyFill="0" applyAlignment="0" applyProtection="0"/>
    <xf numFmtId="0" fontId="75" fillId="0" borderId="12" applyNumberFormat="0" applyFill="0" applyAlignment="0" applyProtection="0"/>
    <xf numFmtId="175" fontId="75" fillId="0" borderId="12" applyNumberFormat="0" applyFill="0" applyAlignment="0" applyProtection="0"/>
    <xf numFmtId="175" fontId="75" fillId="0" borderId="12" applyNumberFormat="0" applyFill="0" applyAlignment="0" applyProtection="0"/>
    <xf numFmtId="272" fontId="128" fillId="0" borderId="0">
      <alignment horizontal="center"/>
    </xf>
    <xf numFmtId="0" fontId="169" fillId="0" borderId="0"/>
    <xf numFmtId="187" fontId="77" fillId="0" borderId="0"/>
    <xf numFmtId="0" fontId="2" fillId="0" borderId="0"/>
    <xf numFmtId="0" fontId="72"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61">
    <xf numFmtId="166" fontId="0" fillId="0" borderId="0" xfId="0"/>
    <xf numFmtId="166" fontId="12" fillId="0" borderId="0" xfId="0" applyFont="1"/>
    <xf numFmtId="166" fontId="12" fillId="0" borderId="0" xfId="0" applyFont="1" applyAlignment="1">
      <alignment horizontal="right"/>
    </xf>
    <xf numFmtId="166" fontId="12" fillId="0" borderId="15" xfId="0" applyFont="1" applyBorder="1" applyAlignment="1">
      <alignment horizontal="left" indent="1"/>
    </xf>
    <xf numFmtId="166" fontId="12" fillId="0" borderId="15" xfId="0" applyFont="1" applyBorder="1"/>
    <xf numFmtId="166" fontId="12" fillId="0" borderId="16" xfId="0" applyFont="1" applyBorder="1" applyAlignment="1">
      <alignment horizontal="right"/>
    </xf>
    <xf numFmtId="166" fontId="25" fillId="0" borderId="17" xfId="0" applyFont="1" applyBorder="1"/>
    <xf numFmtId="0" fontId="12" fillId="0" borderId="18" xfId="0" applyNumberFormat="1" applyFont="1" applyBorder="1" applyAlignment="1">
      <alignment horizontal="right"/>
    </xf>
    <xf numFmtId="166" fontId="30" fillId="0" borderId="15" xfId="0" applyFont="1" applyBorder="1"/>
    <xf numFmtId="167" fontId="30" fillId="0" borderId="0" xfId="311" applyNumberFormat="1" applyFont="1"/>
    <xf numFmtId="167" fontId="30" fillId="0" borderId="16" xfId="311" applyNumberFormat="1" applyFont="1" applyBorder="1"/>
    <xf numFmtId="167" fontId="22" fillId="0" borderId="0" xfId="311" applyNumberFormat="1" applyFont="1"/>
    <xf numFmtId="167" fontId="22" fillId="0" borderId="16" xfId="311" applyNumberFormat="1" applyFont="1" applyBorder="1"/>
    <xf numFmtId="166" fontId="30" fillId="0" borderId="19" xfId="0" applyFont="1" applyBorder="1"/>
    <xf numFmtId="167" fontId="30" fillId="0" borderId="20" xfId="311" applyNumberFormat="1" applyFont="1" applyBorder="1"/>
    <xf numFmtId="167" fontId="30" fillId="0" borderId="21" xfId="311" applyNumberFormat="1" applyFont="1" applyBorder="1"/>
    <xf numFmtId="166" fontId="27" fillId="0" borderId="17" xfId="0" applyFont="1" applyBorder="1"/>
    <xf numFmtId="0" fontId="24" fillId="0" borderId="18" xfId="0" applyNumberFormat="1" applyFont="1" applyBorder="1" applyAlignment="1">
      <alignment horizontal="right"/>
    </xf>
    <xf numFmtId="166" fontId="27" fillId="0" borderId="15" xfId="0" applyFont="1" applyBorder="1"/>
    <xf numFmtId="167" fontId="27" fillId="0" borderId="0" xfId="311" applyNumberFormat="1" applyFont="1"/>
    <xf numFmtId="167" fontId="27" fillId="0" borderId="16" xfId="311" applyNumberFormat="1" applyFont="1" applyBorder="1"/>
    <xf numFmtId="166" fontId="24" fillId="0" borderId="15" xfId="0" applyFont="1" applyBorder="1" applyAlignment="1">
      <alignment horizontal="left" indent="1"/>
    </xf>
    <xf numFmtId="167" fontId="24" fillId="0" borderId="0" xfId="311" applyNumberFormat="1" applyFont="1"/>
    <xf numFmtId="167" fontId="24" fillId="0" borderId="16" xfId="311" applyNumberFormat="1" applyFont="1" applyBorder="1"/>
    <xf numFmtId="166" fontId="27" fillId="0" borderId="19" xfId="0" applyFont="1" applyBorder="1"/>
    <xf numFmtId="167" fontId="27" fillId="0" borderId="20" xfId="311" applyNumberFormat="1" applyFont="1" applyBorder="1"/>
    <xf numFmtId="167" fontId="27" fillId="0" borderId="21" xfId="311" applyNumberFormat="1" applyFont="1" applyBorder="1"/>
    <xf numFmtId="166" fontId="12" fillId="0" borderId="22" xfId="0" applyFont="1" applyBorder="1" applyAlignment="1">
      <alignment horizontal="right"/>
    </xf>
    <xf numFmtId="167" fontId="28" fillId="29" borderId="0" xfId="299" applyNumberFormat="1" applyFont="1" applyFill="1" applyAlignment="1">
      <alignment horizontal="right"/>
    </xf>
    <xf numFmtId="166" fontId="24" fillId="0" borderId="22" xfId="0" applyFont="1" applyBorder="1" applyAlignment="1">
      <alignment horizontal="right"/>
    </xf>
    <xf numFmtId="166" fontId="24" fillId="0" borderId="15" xfId="0" applyFont="1" applyBorder="1"/>
    <xf numFmtId="166" fontId="24" fillId="0" borderId="0" xfId="0" applyFont="1" applyAlignment="1">
      <alignment horizontal="right"/>
    </xf>
    <xf numFmtId="166" fontId="24" fillId="0" borderId="16" xfId="0" applyFont="1" applyBorder="1" applyAlignment="1">
      <alignment horizontal="right"/>
    </xf>
    <xf numFmtId="14" fontId="0" fillId="0" borderId="0" xfId="0" applyNumberFormat="1"/>
    <xf numFmtId="0" fontId="0" fillId="0" borderId="0" xfId="0" applyNumberFormat="1"/>
    <xf numFmtId="1" fontId="0" fillId="0" borderId="0" xfId="0" applyNumberFormat="1"/>
    <xf numFmtId="2" fontId="0" fillId="0" borderId="0" xfId="0" applyNumberFormat="1"/>
    <xf numFmtId="166" fontId="0" fillId="0" borderId="0" xfId="0" applyAlignment="1">
      <alignment horizontal="center"/>
    </xf>
    <xf numFmtId="166" fontId="0" fillId="0" borderId="14" xfId="0" applyBorder="1"/>
    <xf numFmtId="166" fontId="0" fillId="0" borderId="24" xfId="0" applyBorder="1"/>
    <xf numFmtId="166" fontId="0" fillId="0" borderId="24" xfId="0" applyBorder="1" applyAlignment="1">
      <alignment horizontal="center"/>
    </xf>
    <xf numFmtId="166" fontId="0" fillId="0" borderId="0" xfId="0" applyAlignment="1">
      <alignment vertical="center"/>
    </xf>
    <xf numFmtId="2" fontId="0" fillId="50" borderId="0" xfId="0" applyNumberFormat="1" applyFill="1" applyAlignment="1">
      <alignment vertical="center"/>
    </xf>
    <xf numFmtId="2" fontId="0" fillId="50" borderId="0" xfId="0" applyNumberFormat="1" applyFill="1"/>
    <xf numFmtId="173" fontId="0" fillId="50" borderId="0" xfId="0" applyNumberFormat="1" applyFill="1" applyAlignment="1">
      <alignment vertical="center"/>
    </xf>
    <xf numFmtId="173" fontId="0" fillId="50" borderId="0" xfId="0" applyNumberFormat="1" applyFill="1"/>
    <xf numFmtId="166" fontId="0" fillId="0" borderId="24" xfId="0" applyBorder="1" applyAlignment="1">
      <alignment vertical="center"/>
    </xf>
    <xf numFmtId="166" fontId="0" fillId="0" borderId="57" xfId="0" applyBorder="1"/>
    <xf numFmtId="2" fontId="0" fillId="0" borderId="57" xfId="0" applyNumberFormat="1" applyBorder="1"/>
    <xf numFmtId="166" fontId="0" fillId="0" borderId="57" xfId="0" applyBorder="1" applyAlignment="1">
      <alignment vertical="center"/>
    </xf>
    <xf numFmtId="185" fontId="0" fillId="0" borderId="57" xfId="0" applyNumberFormat="1" applyBorder="1" applyAlignment="1">
      <alignment vertical="center"/>
    </xf>
    <xf numFmtId="185" fontId="0" fillId="0" borderId="56" xfId="0" applyNumberFormat="1" applyBorder="1" applyAlignment="1">
      <alignment vertical="center"/>
    </xf>
    <xf numFmtId="14" fontId="0" fillId="65" borderId="0" xfId="0" applyNumberFormat="1" applyFill="1"/>
    <xf numFmtId="185" fontId="0" fillId="0" borderId="0" xfId="0" applyNumberFormat="1" applyAlignment="1">
      <alignment vertical="center"/>
    </xf>
    <xf numFmtId="166" fontId="0" fillId="0" borderId="14" xfId="0" applyBorder="1" applyAlignment="1">
      <alignment vertical="center"/>
    </xf>
    <xf numFmtId="0" fontId="0" fillId="0" borderId="14" xfId="0" applyNumberFormat="1" applyBorder="1" applyAlignment="1">
      <alignment vertical="center"/>
    </xf>
    <xf numFmtId="0" fontId="0" fillId="0" borderId="0" xfId="0" applyNumberFormat="1" applyAlignment="1">
      <alignment vertical="center"/>
    </xf>
    <xf numFmtId="4" fontId="0" fillId="0" borderId="0" xfId="0" applyNumberFormat="1" applyAlignment="1">
      <alignment vertical="center"/>
    </xf>
    <xf numFmtId="3" fontId="0" fillId="0" borderId="0" xfId="0" applyNumberFormat="1" applyAlignment="1">
      <alignment vertical="center"/>
    </xf>
    <xf numFmtId="166" fontId="0" fillId="51" borderId="0" xfId="0" applyFill="1" applyAlignment="1">
      <alignment horizontal="center"/>
    </xf>
    <xf numFmtId="166" fontId="0" fillId="51" borderId="32" xfId="0" applyFill="1" applyBorder="1" applyAlignment="1">
      <alignment horizontal="center"/>
    </xf>
  </cellXfs>
  <cellStyles count="13787">
    <cellStyle name="%" xfId="7174" xr:uid="{00000000-0005-0000-0000-000000000000}"/>
    <cellStyle name="%1" xfId="7175" xr:uid="{00000000-0005-0000-0000-000001000000}"/>
    <cellStyle name=";±_x0013_;‰–@_x0001_¥" xfId="7176" xr:uid="{00000000-0005-0000-0000-000002000000}"/>
    <cellStyle name=";±_x0013_;‰–@_x0001_¥ 2" xfId="7177" xr:uid="{00000000-0005-0000-0000-000003000000}"/>
    <cellStyle name=";±_x0013_;‰–@_x0001_¥ 3" xfId="7178" xr:uid="{00000000-0005-0000-0000-000004000000}"/>
    <cellStyle name="??" xfId="7179" xr:uid="{00000000-0005-0000-0000-000005000000}"/>
    <cellStyle name="?? [0.00]_ARAVA" xfId="7180" xr:uid="{00000000-0005-0000-0000-000006000000}"/>
    <cellStyle name="?? 2" xfId="7181" xr:uid="{00000000-0005-0000-0000-000007000000}"/>
    <cellStyle name="?? 3" xfId="7182" xr:uid="{00000000-0005-0000-0000-000008000000}"/>
    <cellStyle name="?? 4" xfId="7183" xr:uid="{00000000-0005-0000-0000-000009000000}"/>
    <cellStyle name="?? 5" xfId="7184" xr:uid="{00000000-0005-0000-0000-00000A000000}"/>
    <cellStyle name="???? [0.00]_ARAVA" xfId="7185" xr:uid="{00000000-0005-0000-0000-00000B000000}"/>
    <cellStyle name="?????_laroux" xfId="7186" xr:uid="{00000000-0005-0000-0000-00000C000000}"/>
    <cellStyle name="????_ARAVA" xfId="7187" xr:uid="{00000000-0005-0000-0000-00000D000000}"/>
    <cellStyle name="??_ARAVA" xfId="7188" xr:uid="{00000000-0005-0000-0000-00000E000000}"/>
    <cellStyle name="_0311 EGI format Variance Rpt_2011 Cash P&amp;L Budget " xfId="7189" xr:uid="{00000000-0005-0000-0000-00000F000000}"/>
    <cellStyle name="_20060502 - Sink calculations v1" xfId="7190" xr:uid="{00000000-0005-0000-0000-000010000000}"/>
    <cellStyle name="_20060502 - Transmission costs v1 (integrated)" xfId="7191" xr:uid="{00000000-0005-0000-0000-000011000000}"/>
    <cellStyle name="_Choctaw Gas Financial Budget forecast 05-06_2011 Cash P&amp;L Budget " xfId="7192" xr:uid="{00000000-0005-0000-0000-000012000000}"/>
    <cellStyle name="_Column1" xfId="7193" xr:uid="{00000000-0005-0000-0000-000013000000}"/>
    <cellStyle name="_Column1 2" xfId="7194" xr:uid="{00000000-0005-0000-0000-000014000000}"/>
    <cellStyle name="_Column1 3" xfId="7195" xr:uid="{00000000-0005-0000-0000-000015000000}"/>
    <cellStyle name="_Column1 4" xfId="7196" xr:uid="{00000000-0005-0000-0000-000016000000}"/>
    <cellStyle name="_Column1_0403 opening ceremony presentation detail" xfId="7197" xr:uid="{00000000-0005-0000-0000-000017000000}"/>
    <cellStyle name="_Column1_0403 opening ceremony presentation detail 2" xfId="7198" xr:uid="{00000000-0005-0000-0000-000018000000}"/>
    <cellStyle name="_Column1_0403 opening ceremony presentation detail 3" xfId="7199" xr:uid="{00000000-0005-0000-0000-000019000000}"/>
    <cellStyle name="_Column1_0403 opening ceremony presentation detail 4" xfId="7200" xr:uid="{00000000-0005-0000-0000-00001A000000}"/>
    <cellStyle name="_Column1_0403 opening ceremony presentation detail_AP MF3 Template" xfId="7201" xr:uid="{00000000-0005-0000-0000-00001B000000}"/>
    <cellStyle name="_Column1_0403 opening ceremony presentation detail_AP MF3 Template 2" xfId="7202" xr:uid="{00000000-0005-0000-0000-00001C000000}"/>
    <cellStyle name="_Column1_0403 opening ceremony presentation detail_AP MF3 Template 3" xfId="7203" xr:uid="{00000000-0005-0000-0000-00001D000000}"/>
    <cellStyle name="_Column1_0403 opening ceremony presentation detail_AP MF3 Template 4" xfId="7204" xr:uid="{00000000-0005-0000-0000-00001E000000}"/>
    <cellStyle name="_Column1_2003 Pack Beijing 61818" xfId="7205" xr:uid="{00000000-0005-0000-0000-00001F000000}"/>
    <cellStyle name="_Column1_2003 Pack Beijing 61818 2" xfId="7206" xr:uid="{00000000-0005-0000-0000-000020000000}"/>
    <cellStyle name="_Column1_2003 Pack Beijing 61818 3" xfId="7207" xr:uid="{00000000-0005-0000-0000-000021000000}"/>
    <cellStyle name="_Column1_2003 Pack Beijing 61818 4" xfId="7208" xr:uid="{00000000-0005-0000-0000-000022000000}"/>
    <cellStyle name="_Column1_2003 Pack Beijing 61818_AP MF3 Template" xfId="7209" xr:uid="{00000000-0005-0000-0000-000023000000}"/>
    <cellStyle name="_Column1_2003 Pack Beijing 61818_AP MF3 Template 2" xfId="7210" xr:uid="{00000000-0005-0000-0000-000024000000}"/>
    <cellStyle name="_Column1_2003 Pack Beijing 61818_AP MF3 Template 3" xfId="7211" xr:uid="{00000000-0005-0000-0000-000025000000}"/>
    <cellStyle name="_Column1_2003 Pack Beijing 61818_AP MF3 Template 4" xfId="7212" xr:uid="{00000000-0005-0000-0000-000026000000}"/>
    <cellStyle name="_Column1_2003 Pack Beijing 61818_Jul COGM" xfId="7213" xr:uid="{00000000-0005-0000-0000-000027000000}"/>
    <cellStyle name="_Column1_2003 Pack Beijing 61818_Jul COGM 2" xfId="7214" xr:uid="{00000000-0005-0000-0000-000028000000}"/>
    <cellStyle name="_Column1_2003 Pack Beijing 61818_Jul COGM 3" xfId="7215" xr:uid="{00000000-0005-0000-0000-000029000000}"/>
    <cellStyle name="_Column1_2003 Pack Beijing 61818_Jul COGM 4" xfId="7216" xr:uid="{00000000-0005-0000-0000-00002A000000}"/>
    <cellStyle name="_Column1_2003 Pack Beijing 61818_Jul COGM_AP MF3 Template" xfId="7217" xr:uid="{00000000-0005-0000-0000-00002B000000}"/>
    <cellStyle name="_Column1_2003 Pack Beijing 61818_Jul COGM_AP MF3 Template 2" xfId="7218" xr:uid="{00000000-0005-0000-0000-00002C000000}"/>
    <cellStyle name="_Column1_2003 Pack Beijing 61818_Jul COGM_AP MF3 Template 3" xfId="7219" xr:uid="{00000000-0005-0000-0000-00002D000000}"/>
    <cellStyle name="_Column1_2003 Pack Beijing 61818_Jul COGM_AP MF3 Template 4" xfId="7220" xr:uid="{00000000-0005-0000-0000-00002E000000}"/>
    <cellStyle name="_Column1_2003 Pack Beijing 61818_Jul COGM_Nov COGM" xfId="7221" xr:uid="{00000000-0005-0000-0000-00002F000000}"/>
    <cellStyle name="_Column1_2003 Pack Beijing 61818_Jul COGM_Nov COGM 2" xfId="7222" xr:uid="{00000000-0005-0000-0000-000030000000}"/>
    <cellStyle name="_Column1_2003 Pack Beijing 61818_Jul COGM_Nov COGM 3" xfId="7223" xr:uid="{00000000-0005-0000-0000-000031000000}"/>
    <cellStyle name="_Column1_2003 Pack Beijing 61818_Jul COGM_Nov COGM 4" xfId="7224" xr:uid="{00000000-0005-0000-0000-000032000000}"/>
    <cellStyle name="_Column1_2003 Pack Beijing 61818_Jul COGM_Nov COGM_AP MF3 Template" xfId="7225" xr:uid="{00000000-0005-0000-0000-000033000000}"/>
    <cellStyle name="_Column1_2003 Pack Beijing 61818_Jul COGM_Nov COGM_AP MF3 Template 2" xfId="7226" xr:uid="{00000000-0005-0000-0000-000034000000}"/>
    <cellStyle name="_Column1_2003 Pack Beijing 61818_Jul COGM_Nov COGM_AP MF3 Template 3" xfId="7227" xr:uid="{00000000-0005-0000-0000-000035000000}"/>
    <cellStyle name="_Column1_2003 Pack Beijing 61818_Jul COGM_Nov COGM_AP MF3 Template 4" xfId="7228" xr:uid="{00000000-0005-0000-0000-000036000000}"/>
    <cellStyle name="_Column1_2003 Pack Beijing 61818_Mini Pack - Beijing" xfId="7229" xr:uid="{00000000-0005-0000-0000-000037000000}"/>
    <cellStyle name="_Column1_2003 Pack Beijing 61818_Mini Pack - Beijing 2" xfId="7230" xr:uid="{00000000-0005-0000-0000-000038000000}"/>
    <cellStyle name="_Column1_2003 Pack Beijing 61818_Mini Pack - Beijing 3" xfId="7231" xr:uid="{00000000-0005-0000-0000-000039000000}"/>
    <cellStyle name="_Column1_2003 Pack Beijing 61818_Mini Pack - Beijing 4" xfId="7232" xr:uid="{00000000-0005-0000-0000-00003A000000}"/>
    <cellStyle name="_Column1_2003 Pack Beijing 61818_Mini Pack - Beijing_AP MF3 Template" xfId="7233" xr:uid="{00000000-0005-0000-0000-00003B000000}"/>
    <cellStyle name="_Column1_2003 Pack Beijing 61818_Mini Pack - Beijing_AP MF3 Template 2" xfId="7234" xr:uid="{00000000-0005-0000-0000-00003C000000}"/>
    <cellStyle name="_Column1_2003 Pack Beijing 61818_Mini Pack - Beijing_AP MF3 Template 3" xfId="7235" xr:uid="{00000000-0005-0000-0000-00003D000000}"/>
    <cellStyle name="_Column1_2003 Pack Beijing 61818_Mini Pack - Beijing_AP MF3 Template 4" xfId="7236" xr:uid="{00000000-0005-0000-0000-00003E000000}"/>
    <cellStyle name="_Column1_2003 Pack Beijing 61818_Q1 FS" xfId="7237" xr:uid="{00000000-0005-0000-0000-00003F000000}"/>
    <cellStyle name="_Column1_2003 Pack Beijing 61818_Q1 FS 2" xfId="7238" xr:uid="{00000000-0005-0000-0000-000040000000}"/>
    <cellStyle name="_Column1_2003 Pack Beijing 61818_Q1 FS 3" xfId="7239" xr:uid="{00000000-0005-0000-0000-000041000000}"/>
    <cellStyle name="_Column1_2003 Pack Beijing 61818_Q1 FS 4" xfId="7240" xr:uid="{00000000-0005-0000-0000-000042000000}"/>
    <cellStyle name="_Column1_2003 Pack Beijing 61818_Q1 FS_AP MF3 Template" xfId="7241" xr:uid="{00000000-0005-0000-0000-000043000000}"/>
    <cellStyle name="_Column1_2003 Pack Beijing 61818_Q1 FS_AP MF3 Template 2" xfId="7242" xr:uid="{00000000-0005-0000-0000-000044000000}"/>
    <cellStyle name="_Column1_2003 Pack Beijing 61818_Q1 FS_AP MF3 Template 3" xfId="7243" xr:uid="{00000000-0005-0000-0000-000045000000}"/>
    <cellStyle name="_Column1_2003 Pack Beijing 61818_Q1 FS_AP MF3 Template 4" xfId="7244" xr:uid="{00000000-0005-0000-0000-000046000000}"/>
    <cellStyle name="_Column1_2003 Pack Beijing 61818_Rolling Forecast 012003" xfId="7245" xr:uid="{00000000-0005-0000-0000-000047000000}"/>
    <cellStyle name="_Column1_2003 Pack Beijing 61818_Rolling Forecast 012003 2" xfId="7246" xr:uid="{00000000-0005-0000-0000-000048000000}"/>
    <cellStyle name="_Column1_2003 Pack Beijing 61818_Rolling Forecast 012003 3" xfId="7247" xr:uid="{00000000-0005-0000-0000-000049000000}"/>
    <cellStyle name="_Column1_2003 Pack Beijing 61818_Rolling Forecast 012003 4" xfId="7248" xr:uid="{00000000-0005-0000-0000-00004A000000}"/>
    <cellStyle name="_Column1_2003 Pack Beijing 61818_Rolling Forecast 012003_AP MF3 Template" xfId="7249" xr:uid="{00000000-0005-0000-0000-00004B000000}"/>
    <cellStyle name="_Column1_2003 Pack Beijing 61818_Rolling Forecast 012003_AP MF3 Template 2" xfId="7250" xr:uid="{00000000-0005-0000-0000-00004C000000}"/>
    <cellStyle name="_Column1_2003 Pack Beijing 61818_Rolling Forecast 012003_AP MF3 Template 3" xfId="7251" xr:uid="{00000000-0005-0000-0000-00004D000000}"/>
    <cellStyle name="_Column1_2003 Pack Beijing 61818_Rolling Forecast 012003_AP MF3 Template 4" xfId="7252" xr:uid="{00000000-0005-0000-0000-00004E000000}"/>
    <cellStyle name="_Column1_2003 Pack Beijing 61818_Rolling Forecast 02092002" xfId="7253" xr:uid="{00000000-0005-0000-0000-00004F000000}"/>
    <cellStyle name="_Column1_2003 Pack Beijing 61818_Rolling Forecast 02092002 2" xfId="7254" xr:uid="{00000000-0005-0000-0000-000050000000}"/>
    <cellStyle name="_Column1_2003 Pack Beijing 61818_Rolling Forecast 02092002 3" xfId="7255" xr:uid="{00000000-0005-0000-0000-000051000000}"/>
    <cellStyle name="_Column1_2003 Pack Beijing 61818_Rolling Forecast 02092002 4" xfId="7256" xr:uid="{00000000-0005-0000-0000-000052000000}"/>
    <cellStyle name="_Column1_2003 Pack Beijing 61818_Rolling Forecast 02092002_AP MF3 Template" xfId="7257" xr:uid="{00000000-0005-0000-0000-000053000000}"/>
    <cellStyle name="_Column1_2003 Pack Beijing 61818_Rolling Forecast 02092002_AP MF3 Template 2" xfId="7258" xr:uid="{00000000-0005-0000-0000-000054000000}"/>
    <cellStyle name="_Column1_2003 Pack Beijing 61818_Rolling Forecast 02092002_AP MF3 Template 3" xfId="7259" xr:uid="{00000000-0005-0000-0000-000055000000}"/>
    <cellStyle name="_Column1_2003 Pack Beijing 61818_Rolling Forecast 02092002_AP MF3 Template 4" xfId="7260" xr:uid="{00000000-0005-0000-0000-000056000000}"/>
    <cellStyle name="_Column1_2003 Pack Beijing 61818_Rolling Forecast(2003BP)" xfId="7261" xr:uid="{00000000-0005-0000-0000-000057000000}"/>
    <cellStyle name="_Column1_2003 Pack Beijing 61818_Rolling Forecast(2003BP) 2" xfId="7262" xr:uid="{00000000-0005-0000-0000-000058000000}"/>
    <cellStyle name="_Column1_2003 Pack Beijing 61818_Rolling Forecast(2003BP) 3" xfId="7263" xr:uid="{00000000-0005-0000-0000-000059000000}"/>
    <cellStyle name="_Column1_2003 Pack Beijing 61818_Rolling Forecast(2003BP) 4" xfId="7264" xr:uid="{00000000-0005-0000-0000-00005A000000}"/>
    <cellStyle name="_Column1_2003 Pack Beijing 61818_Rolling Forecast(2003BP)_AP MF3 Template" xfId="7265" xr:uid="{00000000-0005-0000-0000-00005B000000}"/>
    <cellStyle name="_Column1_2003 Pack Beijing 61818_Rolling Forecast(2003BP)_AP MF3 Template 2" xfId="7266" xr:uid="{00000000-0005-0000-0000-00005C000000}"/>
    <cellStyle name="_Column1_2003 Pack Beijing 61818_Rolling Forecast(2003BP)_AP MF3 Template 3" xfId="7267" xr:uid="{00000000-0005-0000-0000-00005D000000}"/>
    <cellStyle name="_Column1_2003 Pack Beijing 61818_Rolling Forecast(2003BP)_AP MF3 Template 4" xfId="7268" xr:uid="{00000000-0005-0000-0000-00005E000000}"/>
    <cellStyle name="_Column1_2004 Pack - Beijing" xfId="7269" xr:uid="{00000000-0005-0000-0000-00005F000000}"/>
    <cellStyle name="_Column1_2004 Pack - Beijing 2" xfId="7270" xr:uid="{00000000-0005-0000-0000-000060000000}"/>
    <cellStyle name="_Column1_2004 Pack - Beijing 3" xfId="7271" xr:uid="{00000000-0005-0000-0000-000061000000}"/>
    <cellStyle name="_Column1_2004 Pack - Beijing 4" xfId="7272" xr:uid="{00000000-0005-0000-0000-000062000000}"/>
    <cellStyle name="_Column1_2004 Pack - Beijing_AP MF3 Template" xfId="7273" xr:uid="{00000000-0005-0000-0000-000063000000}"/>
    <cellStyle name="_Column1_2004 Pack - Beijing_AP MF3 Template 2" xfId="7274" xr:uid="{00000000-0005-0000-0000-000064000000}"/>
    <cellStyle name="_Column1_2004 Pack - Beijing_AP MF3 Template 3" xfId="7275" xr:uid="{00000000-0005-0000-0000-000065000000}"/>
    <cellStyle name="_Column1_2004 Pack - Beijing_AP MF3 Template 4" xfId="7276" xr:uid="{00000000-0005-0000-0000-000066000000}"/>
    <cellStyle name="_Column1_2004P - DP INT - Supplemental APB" xfId="7277" xr:uid="{00000000-0005-0000-0000-000067000000}"/>
    <cellStyle name="_Column1_2004P - DP INT - Supplemental APB 2" xfId="7278" xr:uid="{00000000-0005-0000-0000-000068000000}"/>
    <cellStyle name="_Column1_2004P - DP INT - Supplemental APB 3" xfId="7279" xr:uid="{00000000-0005-0000-0000-000069000000}"/>
    <cellStyle name="_Column1_2004P - DP INT - Supplemental APB 4" xfId="7280" xr:uid="{00000000-0005-0000-0000-00006A000000}"/>
    <cellStyle name="_Column1_2004P - DP INT - Supplemental APB_AP MF3 Template" xfId="7281" xr:uid="{00000000-0005-0000-0000-00006B000000}"/>
    <cellStyle name="_Column1_2004P - DP INT - Supplemental APB_AP MF3 Template 2" xfId="7282" xr:uid="{00000000-0005-0000-0000-00006C000000}"/>
    <cellStyle name="_Column1_2004P - DP INT - Supplemental APB_AP MF3 Template 3" xfId="7283" xr:uid="{00000000-0005-0000-0000-00006D000000}"/>
    <cellStyle name="_Column1_2004P - DP INT - Supplemental APB_AP MF3 Template 4" xfId="7284" xr:uid="{00000000-0005-0000-0000-00006E000000}"/>
    <cellStyle name="_Column1_2005P Reviews - Draft" xfId="7285" xr:uid="{00000000-0005-0000-0000-00006F000000}"/>
    <cellStyle name="_Column1_2005P Reviews - Draft 2" xfId="7286" xr:uid="{00000000-0005-0000-0000-000070000000}"/>
    <cellStyle name="_Column1_2005P Reviews - Draft 3" xfId="7287" xr:uid="{00000000-0005-0000-0000-000071000000}"/>
    <cellStyle name="_Column1_2005P Reviews - Draft 4" xfId="7288" xr:uid="{00000000-0005-0000-0000-000072000000}"/>
    <cellStyle name="_Column1_AP MF3 Template" xfId="7289" xr:uid="{00000000-0005-0000-0000-000073000000}"/>
    <cellStyle name="_Column1_AP MF3 Template 2" xfId="7290" xr:uid="{00000000-0005-0000-0000-000074000000}"/>
    <cellStyle name="_Column1_AP MF3 Template 3" xfId="7291" xr:uid="{00000000-0005-0000-0000-000075000000}"/>
    <cellStyle name="_Column1_AP MF3 Template 4" xfId="7292" xr:uid="{00000000-0005-0000-0000-000076000000}"/>
    <cellStyle name="_Column1_Bp2001 0520" xfId="7293" xr:uid="{00000000-0005-0000-0000-000077000000}"/>
    <cellStyle name="_Column1_Bp2001 0520 2" xfId="7294" xr:uid="{00000000-0005-0000-0000-000078000000}"/>
    <cellStyle name="_Column1_Bp2001 0520 3" xfId="7295" xr:uid="{00000000-0005-0000-0000-000079000000}"/>
    <cellStyle name="_Column1_Bp2001 0520 4" xfId="7296" xr:uid="{00000000-0005-0000-0000-00007A000000}"/>
    <cellStyle name="_Column1_Bp2001 0520_AP MF3 Template" xfId="7297" xr:uid="{00000000-0005-0000-0000-00007B000000}"/>
    <cellStyle name="_Column1_Bp2001 0520_AP MF3 Template 2" xfId="7298" xr:uid="{00000000-0005-0000-0000-00007C000000}"/>
    <cellStyle name="_Column1_Bp2001 0520_AP MF3 Template 3" xfId="7299" xr:uid="{00000000-0005-0000-0000-00007D000000}"/>
    <cellStyle name="_Column1_Bp2001 0520_AP MF3 Template 4" xfId="7300" xr:uid="{00000000-0005-0000-0000-00007E000000}"/>
    <cellStyle name="_Column1_Ex-Works Sales 2000 New2" xfId="7301" xr:uid="{00000000-0005-0000-0000-00007F000000}"/>
    <cellStyle name="_Column1_Ex-Works Sales 2000 New2 2" xfId="7302" xr:uid="{00000000-0005-0000-0000-000080000000}"/>
    <cellStyle name="_Column1_Ex-Works Sales 2000 New2 3" xfId="7303" xr:uid="{00000000-0005-0000-0000-000081000000}"/>
    <cellStyle name="_Column1_Ex-Works Sales 2000 New2 4" xfId="7304" xr:uid="{00000000-0005-0000-0000-000082000000}"/>
    <cellStyle name="_Column1_Ex-Works Sales 2000 New2_AP MF3 Template" xfId="7305" xr:uid="{00000000-0005-0000-0000-000083000000}"/>
    <cellStyle name="_Column1_Ex-Works Sales 2000 New2_AP MF3 Template 2" xfId="7306" xr:uid="{00000000-0005-0000-0000-000084000000}"/>
    <cellStyle name="_Column1_Ex-Works Sales 2000 New2_AP MF3 Template 3" xfId="7307" xr:uid="{00000000-0005-0000-0000-000085000000}"/>
    <cellStyle name="_Column1_Ex-Works Sales 2000 New2_AP MF3 Template 4" xfId="7308" xr:uid="{00000000-0005-0000-0000-000086000000}"/>
    <cellStyle name="_Column1_Jul COGM" xfId="7309" xr:uid="{00000000-0005-0000-0000-000087000000}"/>
    <cellStyle name="_Column1_Jul COGM 2" xfId="7310" xr:uid="{00000000-0005-0000-0000-000088000000}"/>
    <cellStyle name="_Column1_Jul COGM 3" xfId="7311" xr:uid="{00000000-0005-0000-0000-000089000000}"/>
    <cellStyle name="_Column1_Jul COGM 4" xfId="7312" xr:uid="{00000000-0005-0000-0000-00008A000000}"/>
    <cellStyle name="_Column1_Jul COGM_AP MF3 Template" xfId="7313" xr:uid="{00000000-0005-0000-0000-00008B000000}"/>
    <cellStyle name="_Column1_Jul COGM_AP MF3 Template 2" xfId="7314" xr:uid="{00000000-0005-0000-0000-00008C000000}"/>
    <cellStyle name="_Column1_Jul COGM_AP MF3 Template 3" xfId="7315" xr:uid="{00000000-0005-0000-0000-00008D000000}"/>
    <cellStyle name="_Column1_Jul COGM_AP MF3 Template 4" xfId="7316" xr:uid="{00000000-0005-0000-0000-00008E000000}"/>
    <cellStyle name="_Column1_Jul COGM_Nov COGM" xfId="7317" xr:uid="{00000000-0005-0000-0000-00008F000000}"/>
    <cellStyle name="_Column1_Jul COGM_Nov COGM 2" xfId="7318" xr:uid="{00000000-0005-0000-0000-000090000000}"/>
    <cellStyle name="_Column1_Jul COGM_Nov COGM 3" xfId="7319" xr:uid="{00000000-0005-0000-0000-000091000000}"/>
    <cellStyle name="_Column1_Jul COGM_Nov COGM 4" xfId="7320" xr:uid="{00000000-0005-0000-0000-000092000000}"/>
    <cellStyle name="_Column1_Jul COGM_Nov COGM_AP MF3 Template" xfId="7321" xr:uid="{00000000-0005-0000-0000-000093000000}"/>
    <cellStyle name="_Column1_Jul COGM_Nov COGM_AP MF3 Template 2" xfId="7322" xr:uid="{00000000-0005-0000-0000-000094000000}"/>
    <cellStyle name="_Column1_Jul COGM_Nov COGM_AP MF3 Template 3" xfId="7323" xr:uid="{00000000-0005-0000-0000-000095000000}"/>
    <cellStyle name="_Column1_Jul COGM_Nov COGM_AP MF3 Template 4" xfId="7324" xr:uid="{00000000-0005-0000-0000-000096000000}"/>
    <cellStyle name="_Column1_Mini Pack - Beijing" xfId="7325" xr:uid="{00000000-0005-0000-0000-000097000000}"/>
    <cellStyle name="_Column1_Mini Pack - Beijing 2" xfId="7326" xr:uid="{00000000-0005-0000-0000-000098000000}"/>
    <cellStyle name="_Column1_Mini Pack - Beijing 3" xfId="7327" xr:uid="{00000000-0005-0000-0000-000099000000}"/>
    <cellStyle name="_Column1_Mini Pack - Beijing 4" xfId="7328" xr:uid="{00000000-0005-0000-0000-00009A000000}"/>
    <cellStyle name="_Column1_Mini Pack - Beijing_AP MF3 Template" xfId="7329" xr:uid="{00000000-0005-0000-0000-00009B000000}"/>
    <cellStyle name="_Column1_Mini Pack - Beijing_AP MF3 Template 2" xfId="7330" xr:uid="{00000000-0005-0000-0000-00009C000000}"/>
    <cellStyle name="_Column1_Mini Pack - Beijing_AP MF3 Template 3" xfId="7331" xr:uid="{00000000-0005-0000-0000-00009D000000}"/>
    <cellStyle name="_Column1_Mini Pack - Beijing_AP MF3 Template 4" xfId="7332" xr:uid="{00000000-0005-0000-0000-00009E000000}"/>
    <cellStyle name="_Column1_P&amp;L AGROBIGOTT 05" xfId="7333" xr:uid="{00000000-0005-0000-0000-00009F000000}"/>
    <cellStyle name="_Column1_P&amp;L AGROBIGOTT 05 2" xfId="7334" xr:uid="{00000000-0005-0000-0000-0000A0000000}"/>
    <cellStyle name="_Column1_P&amp;L AGROBIGOTT 05 3" xfId="7335" xr:uid="{00000000-0005-0000-0000-0000A1000000}"/>
    <cellStyle name="_Column1_P&amp;L AGROBIGOTT 05 4" xfId="7336" xr:uid="{00000000-0005-0000-0000-0000A2000000}"/>
    <cellStyle name="_Column1_P&amp;L AGROBIGOTT 05_JVG Hogar, C.A. Conciliación de la Renta al 31-12-2008" xfId="7337" xr:uid="{00000000-0005-0000-0000-0000A3000000}"/>
    <cellStyle name="_Column1_P&amp;L AGROBIGOTT 05_JVG Hogar, C.A. Conciliación de la Renta al 31-12-2008 2" xfId="7338" xr:uid="{00000000-0005-0000-0000-0000A4000000}"/>
    <cellStyle name="_Column1_P&amp;L AGROBIGOTT 05_JVG Hogar, C.A. Conciliación de la Renta al 31-12-2008 3" xfId="7339" xr:uid="{00000000-0005-0000-0000-0000A5000000}"/>
    <cellStyle name="_Column1_P&amp;L AGROBIGOTT 05_JVG Hogar, C.A. Conciliación de la Renta al 31-12-2008 4" xfId="7340" xr:uid="{00000000-0005-0000-0000-0000A6000000}"/>
    <cellStyle name="_Column1_Q1 FS" xfId="7341" xr:uid="{00000000-0005-0000-0000-0000A7000000}"/>
    <cellStyle name="_Column1_Q1 FS 2" xfId="7342" xr:uid="{00000000-0005-0000-0000-0000A8000000}"/>
    <cellStyle name="_Column1_Q1 FS 3" xfId="7343" xr:uid="{00000000-0005-0000-0000-0000A9000000}"/>
    <cellStyle name="_Column1_Q1 FS 4" xfId="7344" xr:uid="{00000000-0005-0000-0000-0000AA000000}"/>
    <cellStyle name="_Column1_Q1 FS_AP MF3 Template" xfId="7345" xr:uid="{00000000-0005-0000-0000-0000AB000000}"/>
    <cellStyle name="_Column1_Q1 FS_AP MF3 Template 2" xfId="7346" xr:uid="{00000000-0005-0000-0000-0000AC000000}"/>
    <cellStyle name="_Column1_Q1 FS_AP MF3 Template 3" xfId="7347" xr:uid="{00000000-0005-0000-0000-0000AD000000}"/>
    <cellStyle name="_Column1_Q1 FS_AP MF3 Template 4" xfId="7348" xr:uid="{00000000-0005-0000-0000-0000AE000000}"/>
    <cellStyle name="_Column1_Rolling Forecast 012003" xfId="7349" xr:uid="{00000000-0005-0000-0000-0000AF000000}"/>
    <cellStyle name="_Column1_Rolling Forecast 012003 2" xfId="7350" xr:uid="{00000000-0005-0000-0000-0000B0000000}"/>
    <cellStyle name="_Column1_Rolling Forecast 012003 3" xfId="7351" xr:uid="{00000000-0005-0000-0000-0000B1000000}"/>
    <cellStyle name="_Column1_Rolling Forecast 012003 4" xfId="7352" xr:uid="{00000000-0005-0000-0000-0000B2000000}"/>
    <cellStyle name="_Column1_Rolling Forecast 012003_AP MF3 Template" xfId="7353" xr:uid="{00000000-0005-0000-0000-0000B3000000}"/>
    <cellStyle name="_Column1_Rolling Forecast 012003_AP MF3 Template 2" xfId="7354" xr:uid="{00000000-0005-0000-0000-0000B4000000}"/>
    <cellStyle name="_Column1_Rolling Forecast 012003_AP MF3 Template 3" xfId="7355" xr:uid="{00000000-0005-0000-0000-0000B5000000}"/>
    <cellStyle name="_Column1_Rolling Forecast 012003_AP MF3 Template 4" xfId="7356" xr:uid="{00000000-0005-0000-0000-0000B6000000}"/>
    <cellStyle name="_Column1_Rolling Forecast 02092002" xfId="7357" xr:uid="{00000000-0005-0000-0000-0000B7000000}"/>
    <cellStyle name="_Column1_Rolling Forecast 02092002 2" xfId="7358" xr:uid="{00000000-0005-0000-0000-0000B8000000}"/>
    <cellStyle name="_Column1_Rolling Forecast 02092002 3" xfId="7359" xr:uid="{00000000-0005-0000-0000-0000B9000000}"/>
    <cellStyle name="_Column1_Rolling Forecast 02092002 4" xfId="7360" xr:uid="{00000000-0005-0000-0000-0000BA000000}"/>
    <cellStyle name="_Column1_Rolling Forecast 02092002_AP MF3 Template" xfId="7361" xr:uid="{00000000-0005-0000-0000-0000BB000000}"/>
    <cellStyle name="_Column1_Rolling Forecast 02092002_AP MF3 Template 2" xfId="7362" xr:uid="{00000000-0005-0000-0000-0000BC000000}"/>
    <cellStyle name="_Column1_Rolling Forecast 02092002_AP MF3 Template 3" xfId="7363" xr:uid="{00000000-0005-0000-0000-0000BD000000}"/>
    <cellStyle name="_Column1_Rolling Forecast 02092002_AP MF3 Template 4" xfId="7364" xr:uid="{00000000-0005-0000-0000-0000BE000000}"/>
    <cellStyle name="_Column1_Rolling Forecast Beijing" xfId="7365" xr:uid="{00000000-0005-0000-0000-0000BF000000}"/>
    <cellStyle name="_Column1_Rolling Forecast Beijing 2" xfId="7366" xr:uid="{00000000-0005-0000-0000-0000C0000000}"/>
    <cellStyle name="_Column1_Rolling Forecast Beijing 3" xfId="7367" xr:uid="{00000000-0005-0000-0000-0000C1000000}"/>
    <cellStyle name="_Column1_Rolling Forecast Beijing 4" xfId="7368" xr:uid="{00000000-0005-0000-0000-0000C2000000}"/>
    <cellStyle name="_Column1_Rolling Forecast Beijing_AP MF3 Template" xfId="7369" xr:uid="{00000000-0005-0000-0000-0000C3000000}"/>
    <cellStyle name="_Column1_Rolling Forecast Beijing_AP MF3 Template 2" xfId="7370" xr:uid="{00000000-0005-0000-0000-0000C4000000}"/>
    <cellStyle name="_Column1_Rolling Forecast Beijing_AP MF3 Template 3" xfId="7371" xr:uid="{00000000-0005-0000-0000-0000C5000000}"/>
    <cellStyle name="_Column1_Rolling Forecast Beijing_AP MF3 Template 4" xfId="7372" xr:uid="{00000000-0005-0000-0000-0000C6000000}"/>
    <cellStyle name="_Column1_Rolling Forecast F2" xfId="7373" xr:uid="{00000000-0005-0000-0000-0000C7000000}"/>
    <cellStyle name="_Column1_Rolling Forecast F2 2" xfId="7374" xr:uid="{00000000-0005-0000-0000-0000C8000000}"/>
    <cellStyle name="_Column1_Rolling Forecast F2 3" xfId="7375" xr:uid="{00000000-0005-0000-0000-0000C9000000}"/>
    <cellStyle name="_Column1_Rolling Forecast F2 4" xfId="7376" xr:uid="{00000000-0005-0000-0000-0000CA000000}"/>
    <cellStyle name="_Column1_Rolling Forecast F2_AP MF3 Template" xfId="7377" xr:uid="{00000000-0005-0000-0000-0000CB000000}"/>
    <cellStyle name="_Column1_Rolling Forecast F2_AP MF3 Template 2" xfId="7378" xr:uid="{00000000-0005-0000-0000-0000CC000000}"/>
    <cellStyle name="_Column1_Rolling Forecast F2_AP MF3 Template 3" xfId="7379" xr:uid="{00000000-0005-0000-0000-0000CD000000}"/>
    <cellStyle name="_Column1_Rolling Forecast F2_AP MF3 Template 4" xfId="7380" xr:uid="{00000000-0005-0000-0000-0000CE000000}"/>
    <cellStyle name="_Column1_Rolling Forecast(2003BP)" xfId="7381" xr:uid="{00000000-0005-0000-0000-0000CF000000}"/>
    <cellStyle name="_Column1_Rolling Forecast(2003BP) 2" xfId="7382" xr:uid="{00000000-0005-0000-0000-0000D0000000}"/>
    <cellStyle name="_Column1_Rolling Forecast(2003BP) 3" xfId="7383" xr:uid="{00000000-0005-0000-0000-0000D1000000}"/>
    <cellStyle name="_Column1_Rolling Forecast(2003BP) 4" xfId="7384" xr:uid="{00000000-0005-0000-0000-0000D2000000}"/>
    <cellStyle name="_Column1_Rolling Forecast(2003BP)_AP MF3 Template" xfId="7385" xr:uid="{00000000-0005-0000-0000-0000D3000000}"/>
    <cellStyle name="_Column1_Rolling Forecast(2003BP)_AP MF3 Template 2" xfId="7386" xr:uid="{00000000-0005-0000-0000-0000D4000000}"/>
    <cellStyle name="_Column1_Rolling Forecast(2003BP)_AP MF3 Template 3" xfId="7387" xr:uid="{00000000-0005-0000-0000-0000D5000000}"/>
    <cellStyle name="_Column1_Rolling Forecast(2003BP)_AP MF3 Template 4" xfId="7388" xr:uid="{00000000-0005-0000-0000-0000D6000000}"/>
    <cellStyle name="_Column1_Strategic review Wah" xfId="7389" xr:uid="{00000000-0005-0000-0000-0000D7000000}"/>
    <cellStyle name="_Column1_Strategic review Wah 2" xfId="7390" xr:uid="{00000000-0005-0000-0000-0000D8000000}"/>
    <cellStyle name="_Column1_Strategic review Wah 3" xfId="7391" xr:uid="{00000000-0005-0000-0000-0000D9000000}"/>
    <cellStyle name="_Column1_Strategic review Wah 4" xfId="7392" xr:uid="{00000000-0005-0000-0000-0000DA000000}"/>
    <cellStyle name="_Column2" xfId="7393" xr:uid="{00000000-0005-0000-0000-0000DB000000}"/>
    <cellStyle name="_Column2 2" xfId="7394" xr:uid="{00000000-0005-0000-0000-0000DC000000}"/>
    <cellStyle name="_Column2 3" xfId="7395" xr:uid="{00000000-0005-0000-0000-0000DD000000}"/>
    <cellStyle name="_Column2 4" xfId="7396" xr:uid="{00000000-0005-0000-0000-0000DE000000}"/>
    <cellStyle name="_Column2_P&amp;L AGROBIGOTT 05" xfId="7397" xr:uid="{00000000-0005-0000-0000-0000DF000000}"/>
    <cellStyle name="_Column2_P&amp;L AGROBIGOTT 05 2" xfId="7398" xr:uid="{00000000-0005-0000-0000-0000E0000000}"/>
    <cellStyle name="_Column2_P&amp;L AGROBIGOTT 05 3" xfId="7399" xr:uid="{00000000-0005-0000-0000-0000E1000000}"/>
    <cellStyle name="_Column2_P&amp;L AGROBIGOTT 05 4" xfId="7400" xr:uid="{00000000-0005-0000-0000-0000E2000000}"/>
    <cellStyle name="_Column3" xfId="7401" xr:uid="{00000000-0005-0000-0000-0000E3000000}"/>
    <cellStyle name="_Column3 2" xfId="7402" xr:uid="{00000000-0005-0000-0000-0000E4000000}"/>
    <cellStyle name="_Column3 3" xfId="7403" xr:uid="{00000000-0005-0000-0000-0000E5000000}"/>
    <cellStyle name="_Column3 4" xfId="7404" xr:uid="{00000000-0005-0000-0000-0000E6000000}"/>
    <cellStyle name="_Column3_P&amp;L AGROBIGOTT 05" xfId="7405" xr:uid="{00000000-0005-0000-0000-0000E7000000}"/>
    <cellStyle name="_Column3_P&amp;L AGROBIGOTT 05 2" xfId="7406" xr:uid="{00000000-0005-0000-0000-0000E8000000}"/>
    <cellStyle name="_Column3_P&amp;L AGROBIGOTT 05 3" xfId="7407" xr:uid="{00000000-0005-0000-0000-0000E9000000}"/>
    <cellStyle name="_Column3_P&amp;L AGROBIGOTT 05 4" xfId="7408" xr:uid="{00000000-0005-0000-0000-0000EA000000}"/>
    <cellStyle name="_Column4" xfId="7409" xr:uid="{00000000-0005-0000-0000-0000EB000000}"/>
    <cellStyle name="_Column4 2" xfId="7410" xr:uid="{00000000-0005-0000-0000-0000EC000000}"/>
    <cellStyle name="_Column4 3" xfId="7411" xr:uid="{00000000-0005-0000-0000-0000ED000000}"/>
    <cellStyle name="_Column4 4" xfId="7412" xr:uid="{00000000-0005-0000-0000-0000EE000000}"/>
    <cellStyle name="_Column4_P&amp;L AGROBIGOTT 05" xfId="7413" xr:uid="{00000000-0005-0000-0000-0000EF000000}"/>
    <cellStyle name="_Column4_P&amp;L AGROBIGOTT 05 2" xfId="7414" xr:uid="{00000000-0005-0000-0000-0000F0000000}"/>
    <cellStyle name="_Column4_P&amp;L AGROBIGOTT 05 3" xfId="7415" xr:uid="{00000000-0005-0000-0000-0000F1000000}"/>
    <cellStyle name="_Column4_P&amp;L AGROBIGOTT 05 4" xfId="7416" xr:uid="{00000000-0005-0000-0000-0000F2000000}"/>
    <cellStyle name="_Column5" xfId="7417" xr:uid="{00000000-0005-0000-0000-0000F3000000}"/>
    <cellStyle name="_Column5 2" xfId="7418" xr:uid="{00000000-0005-0000-0000-0000F4000000}"/>
    <cellStyle name="_Column5 3" xfId="7419" xr:uid="{00000000-0005-0000-0000-0000F5000000}"/>
    <cellStyle name="_Column5 4" xfId="7420" xr:uid="{00000000-0005-0000-0000-0000F6000000}"/>
    <cellStyle name="_Column5_P&amp;L AGROBIGOTT 05" xfId="7421" xr:uid="{00000000-0005-0000-0000-0000F7000000}"/>
    <cellStyle name="_Column5_P&amp;L AGROBIGOTT 05 2" xfId="7422" xr:uid="{00000000-0005-0000-0000-0000F8000000}"/>
    <cellStyle name="_Column5_P&amp;L AGROBIGOTT 05 3" xfId="7423" xr:uid="{00000000-0005-0000-0000-0000F9000000}"/>
    <cellStyle name="_Column5_P&amp;L AGROBIGOTT 05 4" xfId="7424" xr:uid="{00000000-0005-0000-0000-0000FA000000}"/>
    <cellStyle name="_Column6" xfId="7425" xr:uid="{00000000-0005-0000-0000-0000FB000000}"/>
    <cellStyle name="_Column6 2" xfId="7426" xr:uid="{00000000-0005-0000-0000-0000FC000000}"/>
    <cellStyle name="_Column6 3" xfId="7427" xr:uid="{00000000-0005-0000-0000-0000FD000000}"/>
    <cellStyle name="_Column6 4" xfId="7428" xr:uid="{00000000-0005-0000-0000-0000FE000000}"/>
    <cellStyle name="_Column6_P&amp;L AGROBIGOTT 05" xfId="7429" xr:uid="{00000000-0005-0000-0000-0000FF000000}"/>
    <cellStyle name="_Column6_P&amp;L AGROBIGOTT 05 2" xfId="7430" xr:uid="{00000000-0005-0000-0000-000000010000}"/>
    <cellStyle name="_Column6_P&amp;L AGROBIGOTT 05 3" xfId="7431" xr:uid="{00000000-0005-0000-0000-000001010000}"/>
    <cellStyle name="_Column6_P&amp;L AGROBIGOTT 05 4" xfId="7432" xr:uid="{00000000-0005-0000-0000-000002010000}"/>
    <cellStyle name="_Column7" xfId="7433" xr:uid="{00000000-0005-0000-0000-000003010000}"/>
    <cellStyle name="_Column7 2" xfId="7434" xr:uid="{00000000-0005-0000-0000-000004010000}"/>
    <cellStyle name="_Column7 3" xfId="7435" xr:uid="{00000000-0005-0000-0000-000005010000}"/>
    <cellStyle name="_Column7 4" xfId="7436" xr:uid="{00000000-0005-0000-0000-000006010000}"/>
    <cellStyle name="_Column7_P&amp;L AGROBIGOTT 05" xfId="7437" xr:uid="{00000000-0005-0000-0000-000007010000}"/>
    <cellStyle name="_Column7_P&amp;L AGROBIGOTT 05 2" xfId="7438" xr:uid="{00000000-0005-0000-0000-000008010000}"/>
    <cellStyle name="_Column7_P&amp;L AGROBIGOTT 05 3" xfId="7439" xr:uid="{00000000-0005-0000-0000-000009010000}"/>
    <cellStyle name="_Column7_P&amp;L AGROBIGOTT 05 4" xfId="7440" xr:uid="{00000000-0005-0000-0000-00000A010000}"/>
    <cellStyle name="_Comma" xfId="7441" xr:uid="{00000000-0005-0000-0000-00000B010000}"/>
    <cellStyle name="_Currency" xfId="7442" xr:uid="{00000000-0005-0000-0000-00000C010000}"/>
    <cellStyle name="_CurrencySpace" xfId="7443" xr:uid="{00000000-0005-0000-0000-00000D010000}"/>
    <cellStyle name="_Daily" xfId="1" xr:uid="{00000000-0005-0000-0000-00000E010000}"/>
    <cellStyle name="_Daily 10" xfId="2" xr:uid="{00000000-0005-0000-0000-00000F010000}"/>
    <cellStyle name="_Daily 11" xfId="3" xr:uid="{00000000-0005-0000-0000-000010010000}"/>
    <cellStyle name="_Daily 12" xfId="4" xr:uid="{00000000-0005-0000-0000-000011010000}"/>
    <cellStyle name="_Daily 13" xfId="5" xr:uid="{00000000-0005-0000-0000-000012010000}"/>
    <cellStyle name="_Daily 14" xfId="6" xr:uid="{00000000-0005-0000-0000-000013010000}"/>
    <cellStyle name="_Daily 15" xfId="7" xr:uid="{00000000-0005-0000-0000-000014010000}"/>
    <cellStyle name="_Daily 16" xfId="8" xr:uid="{00000000-0005-0000-0000-000015010000}"/>
    <cellStyle name="_Daily 17" xfId="9" xr:uid="{00000000-0005-0000-0000-000016010000}"/>
    <cellStyle name="_Daily 18" xfId="10" xr:uid="{00000000-0005-0000-0000-000017010000}"/>
    <cellStyle name="_Daily 19" xfId="11" xr:uid="{00000000-0005-0000-0000-000018010000}"/>
    <cellStyle name="_Daily 2" xfId="12" xr:uid="{00000000-0005-0000-0000-000019010000}"/>
    <cellStyle name="_Daily 20" xfId="13" xr:uid="{00000000-0005-0000-0000-00001A010000}"/>
    <cellStyle name="_Daily 21" xfId="14" xr:uid="{00000000-0005-0000-0000-00001B010000}"/>
    <cellStyle name="_Daily 22" xfId="15" xr:uid="{00000000-0005-0000-0000-00001C010000}"/>
    <cellStyle name="_Daily 23" xfId="16" xr:uid="{00000000-0005-0000-0000-00001D010000}"/>
    <cellStyle name="_Daily 24" xfId="17" xr:uid="{00000000-0005-0000-0000-00001E010000}"/>
    <cellStyle name="_Daily 25" xfId="18" xr:uid="{00000000-0005-0000-0000-00001F010000}"/>
    <cellStyle name="_Daily 26" xfId="19" xr:uid="{00000000-0005-0000-0000-000020010000}"/>
    <cellStyle name="_Daily 27" xfId="20" xr:uid="{00000000-0005-0000-0000-000021010000}"/>
    <cellStyle name="_Daily 28" xfId="21" xr:uid="{00000000-0005-0000-0000-000022010000}"/>
    <cellStyle name="_Daily 29" xfId="22" xr:uid="{00000000-0005-0000-0000-000023010000}"/>
    <cellStyle name="_Daily 3" xfId="23" xr:uid="{00000000-0005-0000-0000-000024010000}"/>
    <cellStyle name="_Daily 30" xfId="24" xr:uid="{00000000-0005-0000-0000-000025010000}"/>
    <cellStyle name="_Daily 31" xfId="25" xr:uid="{00000000-0005-0000-0000-000026010000}"/>
    <cellStyle name="_Daily 32" xfId="26" xr:uid="{00000000-0005-0000-0000-000027010000}"/>
    <cellStyle name="_Daily 33" xfId="27" xr:uid="{00000000-0005-0000-0000-000028010000}"/>
    <cellStyle name="_Daily 34" xfId="28" xr:uid="{00000000-0005-0000-0000-000029010000}"/>
    <cellStyle name="_Daily 35" xfId="29" xr:uid="{00000000-0005-0000-0000-00002A010000}"/>
    <cellStyle name="_Daily 36" xfId="30" xr:uid="{00000000-0005-0000-0000-00002B010000}"/>
    <cellStyle name="_Daily 37" xfId="31" xr:uid="{00000000-0005-0000-0000-00002C010000}"/>
    <cellStyle name="_Daily 38" xfId="32" xr:uid="{00000000-0005-0000-0000-00002D010000}"/>
    <cellStyle name="_Daily 39" xfId="33" xr:uid="{00000000-0005-0000-0000-00002E010000}"/>
    <cellStyle name="_Daily 4" xfId="34" xr:uid="{00000000-0005-0000-0000-00002F010000}"/>
    <cellStyle name="_Daily 40" xfId="35" xr:uid="{00000000-0005-0000-0000-000030010000}"/>
    <cellStyle name="_Daily 41" xfId="36" xr:uid="{00000000-0005-0000-0000-000031010000}"/>
    <cellStyle name="_Daily 42" xfId="37" xr:uid="{00000000-0005-0000-0000-000032010000}"/>
    <cellStyle name="_Daily 43" xfId="38" xr:uid="{00000000-0005-0000-0000-000033010000}"/>
    <cellStyle name="_Daily 5" xfId="39" xr:uid="{00000000-0005-0000-0000-000034010000}"/>
    <cellStyle name="_Daily 6" xfId="40" xr:uid="{00000000-0005-0000-0000-000035010000}"/>
    <cellStyle name="_Daily 7" xfId="41" xr:uid="{00000000-0005-0000-0000-000036010000}"/>
    <cellStyle name="_Daily 8" xfId="42" xr:uid="{00000000-0005-0000-0000-000037010000}"/>
    <cellStyle name="_Daily 9" xfId="43" xr:uid="{00000000-0005-0000-0000-000038010000}"/>
    <cellStyle name="_Data" xfId="7444" xr:uid="{00000000-0005-0000-0000-000039010000}"/>
    <cellStyle name="_Data_0403 opening ceremony presentation detail" xfId="7445" xr:uid="{00000000-0005-0000-0000-00003A010000}"/>
    <cellStyle name="_Data_0403 opening ceremony presentation detail_AP MF3 Template" xfId="7446" xr:uid="{00000000-0005-0000-0000-00003B010000}"/>
    <cellStyle name="_Data_2003 Pack Beijing 61818" xfId="7447" xr:uid="{00000000-0005-0000-0000-00003C010000}"/>
    <cellStyle name="_Data_2003 Pack Beijing 61818_AP MF3 Template" xfId="7448" xr:uid="{00000000-0005-0000-0000-00003D010000}"/>
    <cellStyle name="_Data_2003 Pack Beijing 61818_Jul COGM" xfId="7449" xr:uid="{00000000-0005-0000-0000-00003E010000}"/>
    <cellStyle name="_Data_2003 Pack Beijing 61818_Jul COGM_AP MF3 Template" xfId="7450" xr:uid="{00000000-0005-0000-0000-00003F010000}"/>
    <cellStyle name="_Data_2003 Pack Beijing 61818_Jul COGM_Nov COGM" xfId="7451" xr:uid="{00000000-0005-0000-0000-000040010000}"/>
    <cellStyle name="_Data_2003 Pack Beijing 61818_Jul COGM_Nov COGM_AP MF3 Template" xfId="7452" xr:uid="{00000000-0005-0000-0000-000041010000}"/>
    <cellStyle name="_Data_2003 Pack Beijing 61818_Mini Pack - Beijing" xfId="7453" xr:uid="{00000000-0005-0000-0000-000042010000}"/>
    <cellStyle name="_Data_2003 Pack Beijing 61818_Mini Pack - Beijing_AP MF3 Template" xfId="7454" xr:uid="{00000000-0005-0000-0000-000043010000}"/>
    <cellStyle name="_Data_2003 Pack Beijing 61818_Q1 FS" xfId="7455" xr:uid="{00000000-0005-0000-0000-000044010000}"/>
    <cellStyle name="_Data_2003 Pack Beijing 61818_Q1 FS_AP MF3 Template" xfId="7456" xr:uid="{00000000-0005-0000-0000-000045010000}"/>
    <cellStyle name="_Data_2003 Pack Beijing 61818_Rolling Forecast 012003" xfId="7457" xr:uid="{00000000-0005-0000-0000-000046010000}"/>
    <cellStyle name="_Data_2003 Pack Beijing 61818_Rolling Forecast 012003_AP MF3 Template" xfId="7458" xr:uid="{00000000-0005-0000-0000-000047010000}"/>
    <cellStyle name="_Data_2003 Pack Beijing 61818_Rolling Forecast 02092002" xfId="7459" xr:uid="{00000000-0005-0000-0000-000048010000}"/>
    <cellStyle name="_Data_2003 Pack Beijing 61818_Rolling Forecast 02092002_AP MF3 Template" xfId="7460" xr:uid="{00000000-0005-0000-0000-000049010000}"/>
    <cellStyle name="_Data_2003 Pack Beijing 61818_Rolling Forecast(2003BP)" xfId="7461" xr:uid="{00000000-0005-0000-0000-00004A010000}"/>
    <cellStyle name="_Data_2003 Pack Beijing 61818_Rolling Forecast(2003BP)_AP MF3 Template" xfId="7462" xr:uid="{00000000-0005-0000-0000-00004B010000}"/>
    <cellStyle name="_Data_2004 Pack - Beijing" xfId="7463" xr:uid="{00000000-0005-0000-0000-00004C010000}"/>
    <cellStyle name="_Data_2004 Pack - Beijing_AP MF3 Template" xfId="7464" xr:uid="{00000000-0005-0000-0000-00004D010000}"/>
    <cellStyle name="_Data_2004P - DP INT - Supplemental APB" xfId="7465" xr:uid="{00000000-0005-0000-0000-00004E010000}"/>
    <cellStyle name="_Data_2004P - DP INT - Supplemental APB_AP MF3 Template" xfId="7466" xr:uid="{00000000-0005-0000-0000-00004F010000}"/>
    <cellStyle name="_Data_2005P Reviews - Draft" xfId="7467" xr:uid="{00000000-0005-0000-0000-000050010000}"/>
    <cellStyle name="_Data_AP MF3 Template" xfId="7468" xr:uid="{00000000-0005-0000-0000-000051010000}"/>
    <cellStyle name="_Data_Bp2001 0520" xfId="7469" xr:uid="{00000000-0005-0000-0000-000052010000}"/>
    <cellStyle name="_Data_Bp2001 0520_AP MF3 Template" xfId="7470" xr:uid="{00000000-0005-0000-0000-000053010000}"/>
    <cellStyle name="_Data_BV 2002 final" xfId="7471" xr:uid="{00000000-0005-0000-0000-000054010000}"/>
    <cellStyle name="_Data_BV 2002 final_AP MF3 Template" xfId="7472" xr:uid="{00000000-0005-0000-0000-000055010000}"/>
    <cellStyle name="_Data_Ex-Works Sales 2000 New2" xfId="7473" xr:uid="{00000000-0005-0000-0000-000056010000}"/>
    <cellStyle name="_Data_Ex-Works Sales 2000 New2_AP MF3 Template" xfId="7474" xr:uid="{00000000-0005-0000-0000-000057010000}"/>
    <cellStyle name="_Data_Jul COGM" xfId="7475" xr:uid="{00000000-0005-0000-0000-000058010000}"/>
    <cellStyle name="_Data_Jul COGM_AP MF3 Template" xfId="7476" xr:uid="{00000000-0005-0000-0000-000059010000}"/>
    <cellStyle name="_Data_Jul COGM_Nov COGM" xfId="7477" xr:uid="{00000000-0005-0000-0000-00005A010000}"/>
    <cellStyle name="_Data_Jul COGM_Nov COGM_AP MF3 Template" xfId="7478" xr:uid="{00000000-0005-0000-0000-00005B010000}"/>
    <cellStyle name="_Data_Mini Pack - Beijing" xfId="7479" xr:uid="{00000000-0005-0000-0000-00005C010000}"/>
    <cellStyle name="_Data_Mini Pack - Beijing_AP MF3 Template" xfId="7480" xr:uid="{00000000-0005-0000-0000-00005D010000}"/>
    <cellStyle name="_Data_P&amp;L AGROBIGOTT 05" xfId="7481" xr:uid="{00000000-0005-0000-0000-00005E010000}"/>
    <cellStyle name="_Data_Q1 FS" xfId="7482" xr:uid="{00000000-0005-0000-0000-00005F010000}"/>
    <cellStyle name="_Data_Q1 FS_AP MF3 Template" xfId="7483" xr:uid="{00000000-0005-0000-0000-000060010000}"/>
    <cellStyle name="_Data_Rolling Forecast 012003" xfId="7484" xr:uid="{00000000-0005-0000-0000-000061010000}"/>
    <cellStyle name="_Data_Rolling Forecast 012003_AP MF3 Template" xfId="7485" xr:uid="{00000000-0005-0000-0000-000062010000}"/>
    <cellStyle name="_Data_Rolling Forecast 02092002" xfId="7486" xr:uid="{00000000-0005-0000-0000-000063010000}"/>
    <cellStyle name="_Data_Rolling Forecast 02092002_AP MF3 Template" xfId="7487" xr:uid="{00000000-0005-0000-0000-000064010000}"/>
    <cellStyle name="_Data_Rolling Forecast Beijing" xfId="7488" xr:uid="{00000000-0005-0000-0000-000065010000}"/>
    <cellStyle name="_Data_Rolling Forecast Beijing_AP MF3 Template" xfId="7489" xr:uid="{00000000-0005-0000-0000-000066010000}"/>
    <cellStyle name="_Data_Rolling Forecast F2" xfId="7490" xr:uid="{00000000-0005-0000-0000-000067010000}"/>
    <cellStyle name="_Data_Rolling Forecast F2_AP MF3 Template" xfId="7491" xr:uid="{00000000-0005-0000-0000-000068010000}"/>
    <cellStyle name="_Data_Rolling Forecast(2003BP)" xfId="7492" xr:uid="{00000000-0005-0000-0000-000069010000}"/>
    <cellStyle name="_Data_Rolling Forecast(2003BP)_AP MF3 Template" xfId="7493" xr:uid="{00000000-0005-0000-0000-00006A010000}"/>
    <cellStyle name="_Data_Strategic review Wah" xfId="7494" xr:uid="{00000000-0005-0000-0000-00006B010000}"/>
    <cellStyle name="_Data_Super Hoja Asignacion de Blend" xfId="7495" xr:uid="{00000000-0005-0000-0000-00006C010000}"/>
    <cellStyle name="_Detalle Inversión en Acciones AGO 08" xfId="7496" xr:uid="{00000000-0005-0000-0000-00006D010000}"/>
    <cellStyle name="_Detalle Inversión en Acciones AGO 08 2" xfId="7497" xr:uid="{00000000-0005-0000-0000-00006E010000}"/>
    <cellStyle name="_Detalle Inversión en Acciones AGO 08 3" xfId="7498" xr:uid="{00000000-0005-0000-0000-00006F010000}"/>
    <cellStyle name="_Detalle Inversión en Acciones AGO 08 4" xfId="7499" xr:uid="{00000000-0005-0000-0000-000070010000}"/>
    <cellStyle name="_Dollar" xfId="7500" xr:uid="{00000000-0005-0000-0000-000071010000}"/>
    <cellStyle name="_Gas" xfId="44" xr:uid="{00000000-0005-0000-0000-000072010000}"/>
    <cellStyle name="_Gas 10" xfId="45" xr:uid="{00000000-0005-0000-0000-000073010000}"/>
    <cellStyle name="_Gas 11" xfId="46" xr:uid="{00000000-0005-0000-0000-000074010000}"/>
    <cellStyle name="_Gas 12" xfId="47" xr:uid="{00000000-0005-0000-0000-000075010000}"/>
    <cellStyle name="_Gas 13" xfId="48" xr:uid="{00000000-0005-0000-0000-000076010000}"/>
    <cellStyle name="_Gas 14" xfId="49" xr:uid="{00000000-0005-0000-0000-000077010000}"/>
    <cellStyle name="_Gas 15" xfId="50" xr:uid="{00000000-0005-0000-0000-000078010000}"/>
    <cellStyle name="_Gas 16" xfId="51" xr:uid="{00000000-0005-0000-0000-000079010000}"/>
    <cellStyle name="_Gas 17" xfId="52" xr:uid="{00000000-0005-0000-0000-00007A010000}"/>
    <cellStyle name="_Gas 18" xfId="53" xr:uid="{00000000-0005-0000-0000-00007B010000}"/>
    <cellStyle name="_Gas 19" xfId="54" xr:uid="{00000000-0005-0000-0000-00007C010000}"/>
    <cellStyle name="_Gas 2" xfId="55" xr:uid="{00000000-0005-0000-0000-00007D010000}"/>
    <cellStyle name="_Gas 20" xfId="56" xr:uid="{00000000-0005-0000-0000-00007E010000}"/>
    <cellStyle name="_Gas 21" xfId="57" xr:uid="{00000000-0005-0000-0000-00007F010000}"/>
    <cellStyle name="_Gas 22" xfId="58" xr:uid="{00000000-0005-0000-0000-000080010000}"/>
    <cellStyle name="_Gas 23" xfId="59" xr:uid="{00000000-0005-0000-0000-000081010000}"/>
    <cellStyle name="_Gas 24" xfId="60" xr:uid="{00000000-0005-0000-0000-000082010000}"/>
    <cellStyle name="_Gas 25" xfId="61" xr:uid="{00000000-0005-0000-0000-000083010000}"/>
    <cellStyle name="_Gas 26" xfId="62" xr:uid="{00000000-0005-0000-0000-000084010000}"/>
    <cellStyle name="_Gas 27" xfId="63" xr:uid="{00000000-0005-0000-0000-000085010000}"/>
    <cellStyle name="_Gas 28" xfId="64" xr:uid="{00000000-0005-0000-0000-000086010000}"/>
    <cellStyle name="_Gas 29" xfId="65" xr:uid="{00000000-0005-0000-0000-000087010000}"/>
    <cellStyle name="_Gas 3" xfId="66" xr:uid="{00000000-0005-0000-0000-000088010000}"/>
    <cellStyle name="_Gas 30" xfId="67" xr:uid="{00000000-0005-0000-0000-000089010000}"/>
    <cellStyle name="_Gas 31" xfId="68" xr:uid="{00000000-0005-0000-0000-00008A010000}"/>
    <cellStyle name="_Gas 32" xfId="69" xr:uid="{00000000-0005-0000-0000-00008B010000}"/>
    <cellStyle name="_Gas 33" xfId="70" xr:uid="{00000000-0005-0000-0000-00008C010000}"/>
    <cellStyle name="_Gas 34" xfId="71" xr:uid="{00000000-0005-0000-0000-00008D010000}"/>
    <cellStyle name="_Gas 35" xfId="72" xr:uid="{00000000-0005-0000-0000-00008E010000}"/>
    <cellStyle name="_Gas 36" xfId="73" xr:uid="{00000000-0005-0000-0000-00008F010000}"/>
    <cellStyle name="_Gas 37" xfId="74" xr:uid="{00000000-0005-0000-0000-000090010000}"/>
    <cellStyle name="_Gas 38" xfId="75" xr:uid="{00000000-0005-0000-0000-000091010000}"/>
    <cellStyle name="_Gas 39" xfId="76" xr:uid="{00000000-0005-0000-0000-000092010000}"/>
    <cellStyle name="_Gas 4" xfId="77" xr:uid="{00000000-0005-0000-0000-000093010000}"/>
    <cellStyle name="_Gas 40" xfId="78" xr:uid="{00000000-0005-0000-0000-000094010000}"/>
    <cellStyle name="_Gas 41" xfId="79" xr:uid="{00000000-0005-0000-0000-000095010000}"/>
    <cellStyle name="_Gas 42" xfId="80" xr:uid="{00000000-0005-0000-0000-000096010000}"/>
    <cellStyle name="_Gas 43" xfId="81" xr:uid="{00000000-0005-0000-0000-000097010000}"/>
    <cellStyle name="_Gas 5" xfId="82" xr:uid="{00000000-0005-0000-0000-000098010000}"/>
    <cellStyle name="_Gas 6" xfId="83" xr:uid="{00000000-0005-0000-0000-000099010000}"/>
    <cellStyle name="_Gas 7" xfId="84" xr:uid="{00000000-0005-0000-0000-00009A010000}"/>
    <cellStyle name="_Gas 8" xfId="85" xr:uid="{00000000-0005-0000-0000-00009B010000}"/>
    <cellStyle name="_Gas 9" xfId="86" xr:uid="{00000000-0005-0000-0000-00009C010000}"/>
    <cellStyle name="_Header" xfId="7501" xr:uid="{00000000-0005-0000-0000-00009D010000}"/>
    <cellStyle name="_Header 2" xfId="7502" xr:uid="{00000000-0005-0000-0000-00009E010000}"/>
    <cellStyle name="_Header 3" xfId="7503" xr:uid="{00000000-0005-0000-0000-00009F010000}"/>
    <cellStyle name="_Header 4" xfId="7504" xr:uid="{00000000-0005-0000-0000-0000A0010000}"/>
    <cellStyle name="_Header_P&amp;L AGROBIGOTT 05" xfId="7505" xr:uid="{00000000-0005-0000-0000-0000A1010000}"/>
    <cellStyle name="_Header_P&amp;L AGROBIGOTT 05 2" xfId="7506" xr:uid="{00000000-0005-0000-0000-0000A2010000}"/>
    <cellStyle name="_Header_P&amp;L AGROBIGOTT 05 3" xfId="7507" xr:uid="{00000000-0005-0000-0000-0000A3010000}"/>
    <cellStyle name="_Header_P&amp;L AGROBIGOTT 05 4" xfId="7508" xr:uid="{00000000-0005-0000-0000-0000A4010000}"/>
    <cellStyle name="_Hot Springs Forecast June-04_2011 Cash P&amp;L Budget " xfId="7509" xr:uid="{00000000-0005-0000-0000-0000A5010000}"/>
    <cellStyle name="_JVG-Conciliacion 30-06-08" xfId="7510" xr:uid="{00000000-0005-0000-0000-0000A6010000}"/>
    <cellStyle name="_JVG-Conciliacion 30-06-08 2" xfId="7511" xr:uid="{00000000-0005-0000-0000-0000A7010000}"/>
    <cellStyle name="_JVG-Conciliacion 30-06-08 3" xfId="7512" xr:uid="{00000000-0005-0000-0000-0000A8010000}"/>
    <cellStyle name="_JVG-Conciliacion 30-06-08 4" xfId="7513" xr:uid="{00000000-0005-0000-0000-0000A9010000}"/>
    <cellStyle name="_Multiple" xfId="7514" xr:uid="{00000000-0005-0000-0000-0000AA010000}"/>
    <cellStyle name="_Multiple 2" xfId="7515" xr:uid="{00000000-0005-0000-0000-0000AB010000}"/>
    <cellStyle name="_MultipleSpace" xfId="7516" xr:uid="{00000000-0005-0000-0000-0000AC010000}"/>
    <cellStyle name="_MultipleSpace 2" xfId="7517" xr:uid="{00000000-0005-0000-0000-0000AD010000}"/>
    <cellStyle name="_Percent" xfId="7518" xr:uid="{00000000-0005-0000-0000-0000AE010000}"/>
    <cellStyle name="_Percent 2" xfId="7519" xr:uid="{00000000-0005-0000-0000-0000AF010000}"/>
    <cellStyle name="_PercentSpace" xfId="7520" xr:uid="{00000000-0005-0000-0000-0000B0010000}"/>
    <cellStyle name="_PercentSpace 2" xfId="7521" xr:uid="{00000000-0005-0000-0000-0000B1010000}"/>
    <cellStyle name="_Project Majestic - Model v10(3)" xfId="7522" xr:uid="{00000000-0005-0000-0000-0000B2010000}"/>
    <cellStyle name="_Revisión de la Provisión de ISLR ( 31.12.2007) distrib" xfId="7523" xr:uid="{00000000-0005-0000-0000-0000B3010000}"/>
    <cellStyle name="_Revisión de la Provisión de ISLR ( 31.12.2007) distrib 2" xfId="7524" xr:uid="{00000000-0005-0000-0000-0000B4010000}"/>
    <cellStyle name="_Revisión de la Provisión de ISLR ( 31.12.2007) distrib 3" xfId="7525" xr:uid="{00000000-0005-0000-0000-0000B5010000}"/>
    <cellStyle name="_Revisión de la Provisión de ISLR ( 31.12.2007) distrib 4" xfId="7526" xr:uid="{00000000-0005-0000-0000-0000B6010000}"/>
    <cellStyle name="_Revisión de la Provisión de ISLR Ingredia (DEF)" xfId="7527" xr:uid="{00000000-0005-0000-0000-0000B7010000}"/>
    <cellStyle name="_Revisión de la Provisión de ISLR Ingredia (DEF) 2" xfId="7528" xr:uid="{00000000-0005-0000-0000-0000B8010000}"/>
    <cellStyle name="_Revisión de la Provisión de ISLR Ingredia (DEF) 3" xfId="7529" xr:uid="{00000000-0005-0000-0000-0000B9010000}"/>
    <cellStyle name="_Revisión de la Provisión de ISLR Ingredia (DEF) 4" xfId="7530" xr:uid="{00000000-0005-0000-0000-0000BA010000}"/>
    <cellStyle name="_Row1" xfId="7531" xr:uid="{00000000-0005-0000-0000-0000BB010000}"/>
    <cellStyle name="_Row1 2" xfId="7532" xr:uid="{00000000-0005-0000-0000-0000BC010000}"/>
    <cellStyle name="_Row1 3" xfId="7533" xr:uid="{00000000-0005-0000-0000-0000BD010000}"/>
    <cellStyle name="_Row1 4" xfId="7534" xr:uid="{00000000-0005-0000-0000-0000BE010000}"/>
    <cellStyle name="_Row1_0403 opening ceremony presentation detail" xfId="7535" xr:uid="{00000000-0005-0000-0000-0000BF010000}"/>
    <cellStyle name="_Row1_0403 opening ceremony presentation detail 2" xfId="7536" xr:uid="{00000000-0005-0000-0000-0000C0010000}"/>
    <cellStyle name="_Row1_0403 opening ceremony presentation detail 3" xfId="7537" xr:uid="{00000000-0005-0000-0000-0000C1010000}"/>
    <cellStyle name="_Row1_0403 opening ceremony presentation detail 4" xfId="7538" xr:uid="{00000000-0005-0000-0000-0000C2010000}"/>
    <cellStyle name="_Row1_0403 opening ceremony presentation detail_AP MF3 Template" xfId="7539" xr:uid="{00000000-0005-0000-0000-0000C3010000}"/>
    <cellStyle name="_Row1_0403 opening ceremony presentation detail_AP MF3 Template 2" xfId="7540" xr:uid="{00000000-0005-0000-0000-0000C4010000}"/>
    <cellStyle name="_Row1_0403 opening ceremony presentation detail_AP MF3 Template 3" xfId="7541" xr:uid="{00000000-0005-0000-0000-0000C5010000}"/>
    <cellStyle name="_Row1_0403 opening ceremony presentation detail_AP MF3 Template 4" xfId="7542" xr:uid="{00000000-0005-0000-0000-0000C6010000}"/>
    <cellStyle name="_Row1_2003 Pack Beijing 61818" xfId="7543" xr:uid="{00000000-0005-0000-0000-0000C7010000}"/>
    <cellStyle name="_Row1_2003 Pack Beijing 61818 2" xfId="7544" xr:uid="{00000000-0005-0000-0000-0000C8010000}"/>
    <cellStyle name="_Row1_2003 Pack Beijing 61818 3" xfId="7545" xr:uid="{00000000-0005-0000-0000-0000C9010000}"/>
    <cellStyle name="_Row1_2003 Pack Beijing 61818 4" xfId="7546" xr:uid="{00000000-0005-0000-0000-0000CA010000}"/>
    <cellStyle name="_Row1_2003 Pack Beijing 61818_0403 opening ceremony presentation detail" xfId="7547" xr:uid="{00000000-0005-0000-0000-0000CB010000}"/>
    <cellStyle name="_Row1_2003 Pack Beijing 61818_0403 opening ceremony presentation detail 2" xfId="7548" xr:uid="{00000000-0005-0000-0000-0000CC010000}"/>
    <cellStyle name="_Row1_2003 Pack Beijing 61818_0403 opening ceremony presentation detail 3" xfId="7549" xr:uid="{00000000-0005-0000-0000-0000CD010000}"/>
    <cellStyle name="_Row1_2003 Pack Beijing 61818_0403 opening ceremony presentation detail 4" xfId="7550" xr:uid="{00000000-0005-0000-0000-0000CE010000}"/>
    <cellStyle name="_Row1_2003 Pack Beijing 61818_0403 opening ceremony presentation detail_AP MF3 Template" xfId="7551" xr:uid="{00000000-0005-0000-0000-0000CF010000}"/>
    <cellStyle name="_Row1_2003 Pack Beijing 61818_0403 opening ceremony presentation detail_AP MF3 Template 2" xfId="7552" xr:uid="{00000000-0005-0000-0000-0000D0010000}"/>
    <cellStyle name="_Row1_2003 Pack Beijing 61818_0403 opening ceremony presentation detail_AP MF3 Template 3" xfId="7553" xr:uid="{00000000-0005-0000-0000-0000D1010000}"/>
    <cellStyle name="_Row1_2003 Pack Beijing 61818_0403 opening ceremony presentation detail_AP MF3 Template 4" xfId="7554" xr:uid="{00000000-0005-0000-0000-0000D2010000}"/>
    <cellStyle name="_Row1_2003 Pack Beijing 61818_AP MF3 Template" xfId="7555" xr:uid="{00000000-0005-0000-0000-0000D3010000}"/>
    <cellStyle name="_Row1_2003 Pack Beijing 61818_AP MF3 Template 2" xfId="7556" xr:uid="{00000000-0005-0000-0000-0000D4010000}"/>
    <cellStyle name="_Row1_2003 Pack Beijing 61818_AP MF3 Template 3" xfId="7557" xr:uid="{00000000-0005-0000-0000-0000D5010000}"/>
    <cellStyle name="_Row1_2003 Pack Beijing 61818_AP MF3 Template 4" xfId="7558" xr:uid="{00000000-0005-0000-0000-0000D6010000}"/>
    <cellStyle name="_Row1_2003 Pack Beijing 61818_Jul COGM" xfId="7559" xr:uid="{00000000-0005-0000-0000-0000D7010000}"/>
    <cellStyle name="_Row1_2003 Pack Beijing 61818_Jul COGM 2" xfId="7560" xr:uid="{00000000-0005-0000-0000-0000D8010000}"/>
    <cellStyle name="_Row1_2003 Pack Beijing 61818_Jul COGM 3" xfId="7561" xr:uid="{00000000-0005-0000-0000-0000D9010000}"/>
    <cellStyle name="_Row1_2003 Pack Beijing 61818_Jul COGM 4" xfId="7562" xr:uid="{00000000-0005-0000-0000-0000DA010000}"/>
    <cellStyle name="_Row1_2003 Pack Beijing 61818_Jul COGM_AP MF3 Template" xfId="7563" xr:uid="{00000000-0005-0000-0000-0000DB010000}"/>
    <cellStyle name="_Row1_2003 Pack Beijing 61818_Jul COGM_AP MF3 Template 2" xfId="7564" xr:uid="{00000000-0005-0000-0000-0000DC010000}"/>
    <cellStyle name="_Row1_2003 Pack Beijing 61818_Jul COGM_AP MF3 Template 3" xfId="7565" xr:uid="{00000000-0005-0000-0000-0000DD010000}"/>
    <cellStyle name="_Row1_2003 Pack Beijing 61818_Jul COGM_AP MF3 Template 4" xfId="7566" xr:uid="{00000000-0005-0000-0000-0000DE010000}"/>
    <cellStyle name="_Row1_2003 Pack Beijing 61818_Jul COGM_Nov COGM" xfId="7567" xr:uid="{00000000-0005-0000-0000-0000DF010000}"/>
    <cellStyle name="_Row1_2003 Pack Beijing 61818_Jul COGM_Nov COGM 2" xfId="7568" xr:uid="{00000000-0005-0000-0000-0000E0010000}"/>
    <cellStyle name="_Row1_2003 Pack Beijing 61818_Jul COGM_Nov COGM 3" xfId="7569" xr:uid="{00000000-0005-0000-0000-0000E1010000}"/>
    <cellStyle name="_Row1_2003 Pack Beijing 61818_Jul COGM_Nov COGM 4" xfId="7570" xr:uid="{00000000-0005-0000-0000-0000E2010000}"/>
    <cellStyle name="_Row1_2003 Pack Beijing 61818_Jul COGM_Nov COGM_AP MF3 Template" xfId="7571" xr:uid="{00000000-0005-0000-0000-0000E3010000}"/>
    <cellStyle name="_Row1_2003 Pack Beijing 61818_Jul COGM_Nov COGM_AP MF3 Template 2" xfId="7572" xr:uid="{00000000-0005-0000-0000-0000E4010000}"/>
    <cellStyle name="_Row1_2003 Pack Beijing 61818_Jul COGM_Nov COGM_AP MF3 Template 3" xfId="7573" xr:uid="{00000000-0005-0000-0000-0000E5010000}"/>
    <cellStyle name="_Row1_2003 Pack Beijing 61818_Jul COGM_Nov COGM_AP MF3 Template 4" xfId="7574" xr:uid="{00000000-0005-0000-0000-0000E6010000}"/>
    <cellStyle name="_Row1_2003 Pack Beijing 61818_Mini Pack - Beijing" xfId="7575" xr:uid="{00000000-0005-0000-0000-0000E7010000}"/>
    <cellStyle name="_Row1_2003 Pack Beijing 61818_Mini Pack - Beijing 2" xfId="7576" xr:uid="{00000000-0005-0000-0000-0000E8010000}"/>
    <cellStyle name="_Row1_2003 Pack Beijing 61818_Mini Pack - Beijing 3" xfId="7577" xr:uid="{00000000-0005-0000-0000-0000E9010000}"/>
    <cellStyle name="_Row1_2003 Pack Beijing 61818_Mini Pack - Beijing 4" xfId="7578" xr:uid="{00000000-0005-0000-0000-0000EA010000}"/>
    <cellStyle name="_Row1_2003 Pack Beijing 61818_Mini Pack - Beijing_AP MF3 Template" xfId="7579" xr:uid="{00000000-0005-0000-0000-0000EB010000}"/>
    <cellStyle name="_Row1_2003 Pack Beijing 61818_Mini Pack - Beijing_AP MF3 Template 2" xfId="7580" xr:uid="{00000000-0005-0000-0000-0000EC010000}"/>
    <cellStyle name="_Row1_2003 Pack Beijing 61818_Mini Pack - Beijing_AP MF3 Template 3" xfId="7581" xr:uid="{00000000-0005-0000-0000-0000ED010000}"/>
    <cellStyle name="_Row1_2003 Pack Beijing 61818_Mini Pack - Beijing_AP MF3 Template 4" xfId="7582" xr:uid="{00000000-0005-0000-0000-0000EE010000}"/>
    <cellStyle name="_Row1_2003 Pack Beijing 61818_Q1 FS" xfId="7583" xr:uid="{00000000-0005-0000-0000-0000EF010000}"/>
    <cellStyle name="_Row1_2003 Pack Beijing 61818_Q1 FS 2" xfId="7584" xr:uid="{00000000-0005-0000-0000-0000F0010000}"/>
    <cellStyle name="_Row1_2003 Pack Beijing 61818_Q1 FS 3" xfId="7585" xr:uid="{00000000-0005-0000-0000-0000F1010000}"/>
    <cellStyle name="_Row1_2003 Pack Beijing 61818_Q1 FS 4" xfId="7586" xr:uid="{00000000-0005-0000-0000-0000F2010000}"/>
    <cellStyle name="_Row1_2003 Pack Beijing 61818_Q1 FS_AP MF3 Template" xfId="7587" xr:uid="{00000000-0005-0000-0000-0000F3010000}"/>
    <cellStyle name="_Row1_2003 Pack Beijing 61818_Q1 FS_AP MF3 Template 2" xfId="7588" xr:uid="{00000000-0005-0000-0000-0000F4010000}"/>
    <cellStyle name="_Row1_2003 Pack Beijing 61818_Q1 FS_AP MF3 Template 3" xfId="7589" xr:uid="{00000000-0005-0000-0000-0000F5010000}"/>
    <cellStyle name="_Row1_2003 Pack Beijing 61818_Q1 FS_AP MF3 Template 4" xfId="7590" xr:uid="{00000000-0005-0000-0000-0000F6010000}"/>
    <cellStyle name="_Row1_2003 Pack Beijing 61818_Rolling Forecast 012003" xfId="7591" xr:uid="{00000000-0005-0000-0000-0000F7010000}"/>
    <cellStyle name="_Row1_2003 Pack Beijing 61818_Rolling Forecast 012003 2" xfId="7592" xr:uid="{00000000-0005-0000-0000-0000F8010000}"/>
    <cellStyle name="_Row1_2003 Pack Beijing 61818_Rolling Forecast 012003 3" xfId="7593" xr:uid="{00000000-0005-0000-0000-0000F9010000}"/>
    <cellStyle name="_Row1_2003 Pack Beijing 61818_Rolling Forecast 012003 4" xfId="7594" xr:uid="{00000000-0005-0000-0000-0000FA010000}"/>
    <cellStyle name="_Row1_2003 Pack Beijing 61818_Rolling Forecast 012003_AP MF3 Template" xfId="7595" xr:uid="{00000000-0005-0000-0000-0000FB010000}"/>
    <cellStyle name="_Row1_2003 Pack Beijing 61818_Rolling Forecast 012003_AP MF3 Template 2" xfId="7596" xr:uid="{00000000-0005-0000-0000-0000FC010000}"/>
    <cellStyle name="_Row1_2003 Pack Beijing 61818_Rolling Forecast 012003_AP MF3 Template 3" xfId="7597" xr:uid="{00000000-0005-0000-0000-0000FD010000}"/>
    <cellStyle name="_Row1_2003 Pack Beijing 61818_Rolling Forecast 012003_AP MF3 Template 4" xfId="7598" xr:uid="{00000000-0005-0000-0000-0000FE010000}"/>
    <cellStyle name="_Row1_2003 Pack Beijing 61818_Rolling Forecast 02092002" xfId="7599" xr:uid="{00000000-0005-0000-0000-0000FF010000}"/>
    <cellStyle name="_Row1_2003 Pack Beijing 61818_Rolling Forecast 02092002 2" xfId="7600" xr:uid="{00000000-0005-0000-0000-000000020000}"/>
    <cellStyle name="_Row1_2003 Pack Beijing 61818_Rolling Forecast 02092002 3" xfId="7601" xr:uid="{00000000-0005-0000-0000-000001020000}"/>
    <cellStyle name="_Row1_2003 Pack Beijing 61818_Rolling Forecast 02092002 4" xfId="7602" xr:uid="{00000000-0005-0000-0000-000002020000}"/>
    <cellStyle name="_Row1_2003 Pack Beijing 61818_Rolling Forecast 02092002_AP MF3 Template" xfId="7603" xr:uid="{00000000-0005-0000-0000-000003020000}"/>
    <cellStyle name="_Row1_2003 Pack Beijing 61818_Rolling Forecast 02092002_AP MF3 Template 2" xfId="7604" xr:uid="{00000000-0005-0000-0000-000004020000}"/>
    <cellStyle name="_Row1_2003 Pack Beijing 61818_Rolling Forecast 02092002_AP MF3 Template 3" xfId="7605" xr:uid="{00000000-0005-0000-0000-000005020000}"/>
    <cellStyle name="_Row1_2003 Pack Beijing 61818_Rolling Forecast 02092002_AP MF3 Template 4" xfId="7606" xr:uid="{00000000-0005-0000-0000-000006020000}"/>
    <cellStyle name="_Row1_2003 Pack Beijing 61818_Rolling Forecast(2003BP)" xfId="7607" xr:uid="{00000000-0005-0000-0000-000007020000}"/>
    <cellStyle name="_Row1_2003 Pack Beijing 61818_Rolling Forecast(2003BP) 2" xfId="7608" xr:uid="{00000000-0005-0000-0000-000008020000}"/>
    <cellStyle name="_Row1_2003 Pack Beijing 61818_Rolling Forecast(2003BP) 3" xfId="7609" xr:uid="{00000000-0005-0000-0000-000009020000}"/>
    <cellStyle name="_Row1_2003 Pack Beijing 61818_Rolling Forecast(2003BP) 4" xfId="7610" xr:uid="{00000000-0005-0000-0000-00000A020000}"/>
    <cellStyle name="_Row1_2003 Pack Beijing 61818_Rolling Forecast(2003BP)_AP MF3 Template" xfId="7611" xr:uid="{00000000-0005-0000-0000-00000B020000}"/>
    <cellStyle name="_Row1_2003 Pack Beijing 61818_Rolling Forecast(2003BP)_AP MF3 Template 2" xfId="7612" xr:uid="{00000000-0005-0000-0000-00000C020000}"/>
    <cellStyle name="_Row1_2003 Pack Beijing 61818_Rolling Forecast(2003BP)_AP MF3 Template 3" xfId="7613" xr:uid="{00000000-0005-0000-0000-00000D020000}"/>
    <cellStyle name="_Row1_2003 Pack Beijing 61818_Rolling Forecast(2003BP)_AP MF3 Template 4" xfId="7614" xr:uid="{00000000-0005-0000-0000-00000E020000}"/>
    <cellStyle name="_Row1_2004 Pack - Beijing" xfId="7615" xr:uid="{00000000-0005-0000-0000-00000F020000}"/>
    <cellStyle name="_Row1_2004 Pack - Beijing 2" xfId="7616" xr:uid="{00000000-0005-0000-0000-000010020000}"/>
    <cellStyle name="_Row1_2004 Pack - Beijing 3" xfId="7617" xr:uid="{00000000-0005-0000-0000-000011020000}"/>
    <cellStyle name="_Row1_2004 Pack - Beijing 4" xfId="7618" xr:uid="{00000000-0005-0000-0000-000012020000}"/>
    <cellStyle name="_Row1_2004 Pack - Beijing_AP MF3 Template" xfId="7619" xr:uid="{00000000-0005-0000-0000-000013020000}"/>
    <cellStyle name="_Row1_2004 Pack - Beijing_AP MF3 Template 2" xfId="7620" xr:uid="{00000000-0005-0000-0000-000014020000}"/>
    <cellStyle name="_Row1_2004 Pack - Beijing_AP MF3 Template 3" xfId="7621" xr:uid="{00000000-0005-0000-0000-000015020000}"/>
    <cellStyle name="_Row1_2004 Pack - Beijing_AP MF3 Template 4" xfId="7622" xr:uid="{00000000-0005-0000-0000-000016020000}"/>
    <cellStyle name="_Row1_2004P - DP INT - Supplemental APB" xfId="7623" xr:uid="{00000000-0005-0000-0000-000017020000}"/>
    <cellStyle name="_Row1_2004P - DP INT - Supplemental APB 2" xfId="7624" xr:uid="{00000000-0005-0000-0000-000018020000}"/>
    <cellStyle name="_Row1_2004P - DP INT - Supplemental APB 3" xfId="7625" xr:uid="{00000000-0005-0000-0000-000019020000}"/>
    <cellStyle name="_Row1_2004P - DP INT - Supplemental APB 4" xfId="7626" xr:uid="{00000000-0005-0000-0000-00001A020000}"/>
    <cellStyle name="_Row1_2004P - DP INT - Supplemental APB_AP MF3 Template" xfId="7627" xr:uid="{00000000-0005-0000-0000-00001B020000}"/>
    <cellStyle name="_Row1_2004P - DP INT - Supplemental APB_AP MF3 Template 2" xfId="7628" xr:uid="{00000000-0005-0000-0000-00001C020000}"/>
    <cellStyle name="_Row1_2004P - DP INT - Supplemental APB_AP MF3 Template 3" xfId="7629" xr:uid="{00000000-0005-0000-0000-00001D020000}"/>
    <cellStyle name="_Row1_2004P - DP INT - Supplemental APB_AP MF3 Template 4" xfId="7630" xr:uid="{00000000-0005-0000-0000-00001E020000}"/>
    <cellStyle name="_Row1_2005P Reviews - Draft" xfId="7631" xr:uid="{00000000-0005-0000-0000-00001F020000}"/>
    <cellStyle name="_Row1_2005P Reviews - Draft 2" xfId="7632" xr:uid="{00000000-0005-0000-0000-000020020000}"/>
    <cellStyle name="_Row1_2005P Reviews - Draft 3" xfId="7633" xr:uid="{00000000-0005-0000-0000-000021020000}"/>
    <cellStyle name="_Row1_2005P Reviews - Draft 4" xfId="7634" xr:uid="{00000000-0005-0000-0000-000022020000}"/>
    <cellStyle name="_Row1_99Q1 database - estim values" xfId="7635" xr:uid="{00000000-0005-0000-0000-000023020000}"/>
    <cellStyle name="_Row1_99Q1 database - estim values 2" xfId="7636" xr:uid="{00000000-0005-0000-0000-000024020000}"/>
    <cellStyle name="_Row1_99Q1 database - estim values 3" xfId="7637" xr:uid="{00000000-0005-0000-0000-000025020000}"/>
    <cellStyle name="_Row1_99Q1 database - estim values 4" xfId="7638" xr:uid="{00000000-0005-0000-0000-000026020000}"/>
    <cellStyle name="_Row1_AP MF3 Template" xfId="7639" xr:uid="{00000000-0005-0000-0000-000027020000}"/>
    <cellStyle name="_Row1_AP MF3 Template 2" xfId="7640" xr:uid="{00000000-0005-0000-0000-000028020000}"/>
    <cellStyle name="_Row1_AP MF3 Template 3" xfId="7641" xr:uid="{00000000-0005-0000-0000-000029020000}"/>
    <cellStyle name="_Row1_AP MF3 Template 4" xfId="7642" xr:uid="{00000000-0005-0000-0000-00002A020000}"/>
    <cellStyle name="_Row1_Bp2001 0520" xfId="7643" xr:uid="{00000000-0005-0000-0000-00002B020000}"/>
    <cellStyle name="_Row1_Bp2001 0520 2" xfId="7644" xr:uid="{00000000-0005-0000-0000-00002C020000}"/>
    <cellStyle name="_Row1_Bp2001 0520 3" xfId="7645" xr:uid="{00000000-0005-0000-0000-00002D020000}"/>
    <cellStyle name="_Row1_Bp2001 0520 4" xfId="7646" xr:uid="{00000000-0005-0000-0000-00002E020000}"/>
    <cellStyle name="_Row1_Bp2001 0520_AP MF3 Template" xfId="7647" xr:uid="{00000000-0005-0000-0000-00002F020000}"/>
    <cellStyle name="_Row1_Bp2001 0520_AP MF3 Template 2" xfId="7648" xr:uid="{00000000-0005-0000-0000-000030020000}"/>
    <cellStyle name="_Row1_Bp2001 0520_AP MF3 Template 3" xfId="7649" xr:uid="{00000000-0005-0000-0000-000031020000}"/>
    <cellStyle name="_Row1_Bp2001 0520_AP MF3 Template 4" xfId="7650" xr:uid="{00000000-0005-0000-0000-000032020000}"/>
    <cellStyle name="_Row1_BV 2002 final" xfId="7651" xr:uid="{00000000-0005-0000-0000-000033020000}"/>
    <cellStyle name="_Row1_BV 2002 final 2" xfId="7652" xr:uid="{00000000-0005-0000-0000-000034020000}"/>
    <cellStyle name="_Row1_BV 2002 final 3" xfId="7653" xr:uid="{00000000-0005-0000-0000-000035020000}"/>
    <cellStyle name="_Row1_BV 2002 final 4" xfId="7654" xr:uid="{00000000-0005-0000-0000-000036020000}"/>
    <cellStyle name="_Row1_BV 2002 final_AP MF3 Template" xfId="7655" xr:uid="{00000000-0005-0000-0000-000037020000}"/>
    <cellStyle name="_Row1_BV 2002 final_AP MF3 Template 2" xfId="7656" xr:uid="{00000000-0005-0000-0000-000038020000}"/>
    <cellStyle name="_Row1_BV 2002 final_AP MF3 Template 3" xfId="7657" xr:uid="{00000000-0005-0000-0000-000039020000}"/>
    <cellStyle name="_Row1_BV 2002 final_AP MF3 Template 4" xfId="7658" xr:uid="{00000000-0005-0000-0000-00003A020000}"/>
    <cellStyle name="_Row1_Ex-Works Sales 2000 New2" xfId="7659" xr:uid="{00000000-0005-0000-0000-00003B020000}"/>
    <cellStyle name="_Row1_Ex-Works Sales 2000 New2 2" xfId="7660" xr:uid="{00000000-0005-0000-0000-00003C020000}"/>
    <cellStyle name="_Row1_Ex-Works Sales 2000 New2 3" xfId="7661" xr:uid="{00000000-0005-0000-0000-00003D020000}"/>
    <cellStyle name="_Row1_Ex-Works Sales 2000 New2 4" xfId="7662" xr:uid="{00000000-0005-0000-0000-00003E020000}"/>
    <cellStyle name="_Row1_Ex-Works Sales 2000 New2_AP MF3 Template" xfId="7663" xr:uid="{00000000-0005-0000-0000-00003F020000}"/>
    <cellStyle name="_Row1_Ex-Works Sales 2000 New2_AP MF3 Template 2" xfId="7664" xr:uid="{00000000-0005-0000-0000-000040020000}"/>
    <cellStyle name="_Row1_Ex-Works Sales 2000 New2_AP MF3 Template 3" xfId="7665" xr:uid="{00000000-0005-0000-0000-000041020000}"/>
    <cellStyle name="_Row1_Ex-Works Sales 2000 New2_AP MF3 Template 4" xfId="7666" xr:uid="{00000000-0005-0000-0000-000042020000}"/>
    <cellStyle name="_Row1_Jul COGM" xfId="7667" xr:uid="{00000000-0005-0000-0000-000043020000}"/>
    <cellStyle name="_Row1_Jul COGM 2" xfId="7668" xr:uid="{00000000-0005-0000-0000-000044020000}"/>
    <cellStyle name="_Row1_Jul COGM 3" xfId="7669" xr:uid="{00000000-0005-0000-0000-000045020000}"/>
    <cellStyle name="_Row1_Jul COGM 4" xfId="7670" xr:uid="{00000000-0005-0000-0000-000046020000}"/>
    <cellStyle name="_Row1_Jul COGM_AP MF3 Template" xfId="7671" xr:uid="{00000000-0005-0000-0000-000047020000}"/>
    <cellStyle name="_Row1_Jul COGM_AP MF3 Template 2" xfId="7672" xr:uid="{00000000-0005-0000-0000-000048020000}"/>
    <cellStyle name="_Row1_Jul COGM_AP MF3 Template 3" xfId="7673" xr:uid="{00000000-0005-0000-0000-000049020000}"/>
    <cellStyle name="_Row1_Jul COGM_AP MF3 Template 4" xfId="7674" xr:uid="{00000000-0005-0000-0000-00004A020000}"/>
    <cellStyle name="_Row1_Jul COGM_Nov COGM" xfId="7675" xr:uid="{00000000-0005-0000-0000-00004B020000}"/>
    <cellStyle name="_Row1_Jul COGM_Nov COGM 2" xfId="7676" xr:uid="{00000000-0005-0000-0000-00004C020000}"/>
    <cellStyle name="_Row1_Jul COGM_Nov COGM 3" xfId="7677" xr:uid="{00000000-0005-0000-0000-00004D020000}"/>
    <cellStyle name="_Row1_Jul COGM_Nov COGM 4" xfId="7678" xr:uid="{00000000-0005-0000-0000-00004E020000}"/>
    <cellStyle name="_Row1_Jul COGM_Nov COGM_AP MF3 Template" xfId="7679" xr:uid="{00000000-0005-0000-0000-00004F020000}"/>
    <cellStyle name="_Row1_Jul COGM_Nov COGM_AP MF3 Template 2" xfId="7680" xr:uid="{00000000-0005-0000-0000-000050020000}"/>
    <cellStyle name="_Row1_Jul COGM_Nov COGM_AP MF3 Template 3" xfId="7681" xr:uid="{00000000-0005-0000-0000-000051020000}"/>
    <cellStyle name="_Row1_Jul COGM_Nov COGM_AP MF3 Template 4" xfId="7682" xr:uid="{00000000-0005-0000-0000-000052020000}"/>
    <cellStyle name="_Row1_LE2003FP Cash Flow" xfId="7683" xr:uid="{00000000-0005-0000-0000-000053020000}"/>
    <cellStyle name="_Row1_LE2003FP Cash Flow 2" xfId="7684" xr:uid="{00000000-0005-0000-0000-000054020000}"/>
    <cellStyle name="_Row1_LE2003FP Cash Flow 3" xfId="7685" xr:uid="{00000000-0005-0000-0000-000055020000}"/>
    <cellStyle name="_Row1_LE2003FP Cash Flow 4" xfId="7686" xr:uid="{00000000-0005-0000-0000-000056020000}"/>
    <cellStyle name="_Row1_LE2003FP Cash Flow_AP MF3 Template" xfId="7687" xr:uid="{00000000-0005-0000-0000-000057020000}"/>
    <cellStyle name="_Row1_LE2003FP Cash Flow_AP MF3 Template 2" xfId="7688" xr:uid="{00000000-0005-0000-0000-000058020000}"/>
    <cellStyle name="_Row1_LE2003FP Cash Flow_AP MF3 Template 3" xfId="7689" xr:uid="{00000000-0005-0000-0000-000059020000}"/>
    <cellStyle name="_Row1_LE2003FP Cash Flow_AP MF3 Template 4" xfId="7690" xr:uid="{00000000-0005-0000-0000-00005A020000}"/>
    <cellStyle name="_Row1_LEF2FS" xfId="7691" xr:uid="{00000000-0005-0000-0000-00005B020000}"/>
    <cellStyle name="_Row1_LEF2FS 2" xfId="7692" xr:uid="{00000000-0005-0000-0000-00005C020000}"/>
    <cellStyle name="_Row1_LEF2FS 3" xfId="7693" xr:uid="{00000000-0005-0000-0000-00005D020000}"/>
    <cellStyle name="_Row1_LEF2FS 4" xfId="7694" xr:uid="{00000000-0005-0000-0000-00005E020000}"/>
    <cellStyle name="_Row1_LEF2FS_AP MF3 Template" xfId="7695" xr:uid="{00000000-0005-0000-0000-00005F020000}"/>
    <cellStyle name="_Row1_LEF2FS_AP MF3 Template 2" xfId="7696" xr:uid="{00000000-0005-0000-0000-000060020000}"/>
    <cellStyle name="_Row1_LEF2FS_AP MF3 Template 3" xfId="7697" xr:uid="{00000000-0005-0000-0000-000061020000}"/>
    <cellStyle name="_Row1_LEF2FS_AP MF3 Template 4" xfId="7698" xr:uid="{00000000-0005-0000-0000-000062020000}"/>
    <cellStyle name="_Row1_Mini Pack - Beijing" xfId="7699" xr:uid="{00000000-0005-0000-0000-000063020000}"/>
    <cellStyle name="_Row1_Mini Pack - Beijing 2" xfId="7700" xr:uid="{00000000-0005-0000-0000-000064020000}"/>
    <cellStyle name="_Row1_Mini Pack - Beijing 3" xfId="7701" xr:uid="{00000000-0005-0000-0000-000065020000}"/>
    <cellStyle name="_Row1_Mini Pack - Beijing 4" xfId="7702" xr:uid="{00000000-0005-0000-0000-000066020000}"/>
    <cellStyle name="_Row1_Mini Pack - Beijing_AP MF3 Template" xfId="7703" xr:uid="{00000000-0005-0000-0000-000067020000}"/>
    <cellStyle name="_Row1_Mini Pack - Beijing_AP MF3 Template 2" xfId="7704" xr:uid="{00000000-0005-0000-0000-000068020000}"/>
    <cellStyle name="_Row1_Mini Pack - Beijing_AP MF3 Template 3" xfId="7705" xr:uid="{00000000-0005-0000-0000-000069020000}"/>
    <cellStyle name="_Row1_Mini Pack - Beijing_AP MF3 Template 4" xfId="7706" xr:uid="{00000000-0005-0000-0000-00006A020000}"/>
    <cellStyle name="_Row1_P&amp;L AGROBIGOTT 05" xfId="7707" xr:uid="{00000000-0005-0000-0000-00006B020000}"/>
    <cellStyle name="_Row1_P&amp;L AGROBIGOTT 05 2" xfId="7708" xr:uid="{00000000-0005-0000-0000-00006C020000}"/>
    <cellStyle name="_Row1_P&amp;L AGROBIGOTT 05 3" xfId="7709" xr:uid="{00000000-0005-0000-0000-00006D020000}"/>
    <cellStyle name="_Row1_P&amp;L AGROBIGOTT 05 4" xfId="7710" xr:uid="{00000000-0005-0000-0000-00006E020000}"/>
    <cellStyle name="_Row1_P&amp;L AGROBIGOTT 05_JVG Hogar, C.A. Conciliación de la Renta al 31-12-2008" xfId="7711" xr:uid="{00000000-0005-0000-0000-00006F020000}"/>
    <cellStyle name="_Row1_P&amp;L AGROBIGOTT 05_JVG Hogar, C.A. Conciliación de la Renta al 31-12-2008 2" xfId="7712" xr:uid="{00000000-0005-0000-0000-000070020000}"/>
    <cellStyle name="_Row1_P&amp;L AGROBIGOTT 05_JVG Hogar, C.A. Conciliación de la Renta al 31-12-2008 3" xfId="7713" xr:uid="{00000000-0005-0000-0000-000071020000}"/>
    <cellStyle name="_Row1_P&amp;L AGROBIGOTT 05_JVG Hogar, C.A. Conciliación de la Renta al 31-12-2008 4" xfId="7714" xr:uid="{00000000-0005-0000-0000-000072020000}"/>
    <cellStyle name="_Row1_Payment 6th" xfId="7715" xr:uid="{00000000-0005-0000-0000-000073020000}"/>
    <cellStyle name="_Row1_Payment 6th 2" xfId="7716" xr:uid="{00000000-0005-0000-0000-000074020000}"/>
    <cellStyle name="_Row1_Payment 6th 3" xfId="7717" xr:uid="{00000000-0005-0000-0000-000075020000}"/>
    <cellStyle name="_Row1_Payment 6th 4" xfId="7718" xr:uid="{00000000-0005-0000-0000-000076020000}"/>
    <cellStyle name="_Row1_Payment 6th_AP MF3 Template" xfId="7719" xr:uid="{00000000-0005-0000-0000-000077020000}"/>
    <cellStyle name="_Row1_Payment 6th_AP MF3 Template 2" xfId="7720" xr:uid="{00000000-0005-0000-0000-000078020000}"/>
    <cellStyle name="_Row1_Payment 6th_AP MF3 Template 3" xfId="7721" xr:uid="{00000000-0005-0000-0000-000079020000}"/>
    <cellStyle name="_Row1_Payment 6th_AP MF3 Template 4" xfId="7722" xr:uid="{00000000-0005-0000-0000-00007A020000}"/>
    <cellStyle name="_Row1_Q1 FS" xfId="7723" xr:uid="{00000000-0005-0000-0000-00007B020000}"/>
    <cellStyle name="_Row1_Q1 FS 2" xfId="7724" xr:uid="{00000000-0005-0000-0000-00007C020000}"/>
    <cellStyle name="_Row1_Q1 FS 3" xfId="7725" xr:uid="{00000000-0005-0000-0000-00007D020000}"/>
    <cellStyle name="_Row1_Q1 FS 4" xfId="7726" xr:uid="{00000000-0005-0000-0000-00007E020000}"/>
    <cellStyle name="_Row1_Q1 FS_AP MF3 Template" xfId="7727" xr:uid="{00000000-0005-0000-0000-00007F020000}"/>
    <cellStyle name="_Row1_Q1 FS_AP MF3 Template 2" xfId="7728" xr:uid="{00000000-0005-0000-0000-000080020000}"/>
    <cellStyle name="_Row1_Q1 FS_AP MF3 Template 3" xfId="7729" xr:uid="{00000000-0005-0000-0000-000081020000}"/>
    <cellStyle name="_Row1_Q1 FS_AP MF3 Template 4" xfId="7730" xr:uid="{00000000-0005-0000-0000-000082020000}"/>
    <cellStyle name="_Row1_Rolling Forecast 012003" xfId="7731" xr:uid="{00000000-0005-0000-0000-000083020000}"/>
    <cellStyle name="_Row1_Rolling Forecast 012003 2" xfId="7732" xr:uid="{00000000-0005-0000-0000-000084020000}"/>
    <cellStyle name="_Row1_Rolling Forecast 012003 3" xfId="7733" xr:uid="{00000000-0005-0000-0000-000085020000}"/>
    <cellStyle name="_Row1_Rolling Forecast 012003 4" xfId="7734" xr:uid="{00000000-0005-0000-0000-000086020000}"/>
    <cellStyle name="_Row1_Rolling Forecast 012003_AP MF3 Template" xfId="7735" xr:uid="{00000000-0005-0000-0000-000087020000}"/>
    <cellStyle name="_Row1_Rolling Forecast 012003_AP MF3 Template 2" xfId="7736" xr:uid="{00000000-0005-0000-0000-000088020000}"/>
    <cellStyle name="_Row1_Rolling Forecast 012003_AP MF3 Template 3" xfId="7737" xr:uid="{00000000-0005-0000-0000-000089020000}"/>
    <cellStyle name="_Row1_Rolling Forecast 012003_AP MF3 Template 4" xfId="7738" xr:uid="{00000000-0005-0000-0000-00008A020000}"/>
    <cellStyle name="_Row1_Rolling Forecast 02092002" xfId="7739" xr:uid="{00000000-0005-0000-0000-00008B020000}"/>
    <cellStyle name="_Row1_Rolling Forecast 02092002 2" xfId="7740" xr:uid="{00000000-0005-0000-0000-00008C020000}"/>
    <cellStyle name="_Row1_Rolling Forecast 02092002 3" xfId="7741" xr:uid="{00000000-0005-0000-0000-00008D020000}"/>
    <cellStyle name="_Row1_Rolling Forecast 02092002 4" xfId="7742" xr:uid="{00000000-0005-0000-0000-00008E020000}"/>
    <cellStyle name="_Row1_Rolling Forecast 02092002_AP MF3 Template" xfId="7743" xr:uid="{00000000-0005-0000-0000-00008F020000}"/>
    <cellStyle name="_Row1_Rolling Forecast 02092002_AP MF3 Template 2" xfId="7744" xr:uid="{00000000-0005-0000-0000-000090020000}"/>
    <cellStyle name="_Row1_Rolling Forecast 02092002_AP MF3 Template 3" xfId="7745" xr:uid="{00000000-0005-0000-0000-000091020000}"/>
    <cellStyle name="_Row1_Rolling Forecast 02092002_AP MF3 Template 4" xfId="7746" xr:uid="{00000000-0005-0000-0000-000092020000}"/>
    <cellStyle name="_Row1_Rolling Forecast Beijing" xfId="7747" xr:uid="{00000000-0005-0000-0000-000093020000}"/>
    <cellStyle name="_Row1_Rolling Forecast Beijing 2" xfId="7748" xr:uid="{00000000-0005-0000-0000-000094020000}"/>
    <cellStyle name="_Row1_Rolling Forecast Beijing 3" xfId="7749" xr:uid="{00000000-0005-0000-0000-000095020000}"/>
    <cellStyle name="_Row1_Rolling Forecast Beijing 4" xfId="7750" xr:uid="{00000000-0005-0000-0000-000096020000}"/>
    <cellStyle name="_Row1_Rolling Forecast Beijing_AP MF3 Template" xfId="7751" xr:uid="{00000000-0005-0000-0000-000097020000}"/>
    <cellStyle name="_Row1_Rolling Forecast Beijing_AP MF3 Template 2" xfId="7752" xr:uid="{00000000-0005-0000-0000-000098020000}"/>
    <cellStyle name="_Row1_Rolling Forecast Beijing_AP MF3 Template 3" xfId="7753" xr:uid="{00000000-0005-0000-0000-000099020000}"/>
    <cellStyle name="_Row1_Rolling Forecast Beijing_AP MF3 Template 4" xfId="7754" xr:uid="{00000000-0005-0000-0000-00009A020000}"/>
    <cellStyle name="_Row1_Rolling Forecast F2" xfId="7755" xr:uid="{00000000-0005-0000-0000-00009B020000}"/>
    <cellStyle name="_Row1_Rolling Forecast F2 2" xfId="7756" xr:uid="{00000000-0005-0000-0000-00009C020000}"/>
    <cellStyle name="_Row1_Rolling Forecast F2 3" xfId="7757" xr:uid="{00000000-0005-0000-0000-00009D020000}"/>
    <cellStyle name="_Row1_Rolling Forecast F2 4" xfId="7758" xr:uid="{00000000-0005-0000-0000-00009E020000}"/>
    <cellStyle name="_Row1_Rolling Forecast F2_AP MF3 Template" xfId="7759" xr:uid="{00000000-0005-0000-0000-00009F020000}"/>
    <cellStyle name="_Row1_Rolling Forecast F2_AP MF3 Template 2" xfId="7760" xr:uid="{00000000-0005-0000-0000-0000A0020000}"/>
    <cellStyle name="_Row1_Rolling Forecast F2_AP MF3 Template 3" xfId="7761" xr:uid="{00000000-0005-0000-0000-0000A1020000}"/>
    <cellStyle name="_Row1_Rolling Forecast F2_AP MF3 Template 4" xfId="7762" xr:uid="{00000000-0005-0000-0000-0000A2020000}"/>
    <cellStyle name="_Row1_Rolling Forecast(2003BP)" xfId="7763" xr:uid="{00000000-0005-0000-0000-0000A3020000}"/>
    <cellStyle name="_Row1_Rolling Forecast(2003BP) 2" xfId="7764" xr:uid="{00000000-0005-0000-0000-0000A4020000}"/>
    <cellStyle name="_Row1_Rolling Forecast(2003BP) 3" xfId="7765" xr:uid="{00000000-0005-0000-0000-0000A5020000}"/>
    <cellStyle name="_Row1_Rolling Forecast(2003BP) 4" xfId="7766" xr:uid="{00000000-0005-0000-0000-0000A6020000}"/>
    <cellStyle name="_Row1_Rolling Forecast(2003BP)_AP MF3 Template" xfId="7767" xr:uid="{00000000-0005-0000-0000-0000A7020000}"/>
    <cellStyle name="_Row1_Rolling Forecast(2003BP)_AP MF3 Template 2" xfId="7768" xr:uid="{00000000-0005-0000-0000-0000A8020000}"/>
    <cellStyle name="_Row1_Rolling Forecast(2003BP)_AP MF3 Template 3" xfId="7769" xr:uid="{00000000-0005-0000-0000-0000A9020000}"/>
    <cellStyle name="_Row1_Rolling Forecast(2003BP)_AP MF3 Template 4" xfId="7770" xr:uid="{00000000-0005-0000-0000-0000AA020000}"/>
    <cellStyle name="_Row1_SAP BY PROD TOTAL SALES DEC_01 DOLL QUARTER" xfId="7771" xr:uid="{00000000-0005-0000-0000-0000AB020000}"/>
    <cellStyle name="_Row1_SAP BY PROD TOTAL SALES DEC_01 DOLL QUARTER 2" xfId="7772" xr:uid="{00000000-0005-0000-0000-0000AC020000}"/>
    <cellStyle name="_Row1_SAP BY PROD TOTAL SALES DEC_01 DOLL QUARTER 3" xfId="7773" xr:uid="{00000000-0005-0000-0000-0000AD020000}"/>
    <cellStyle name="_Row1_SAP BY PROD TOTAL SALES DEC_01 DOLL QUARTER 4" xfId="7774" xr:uid="{00000000-0005-0000-0000-0000AE020000}"/>
    <cellStyle name="_Row1_Sss 9906" xfId="7775" xr:uid="{00000000-0005-0000-0000-0000AF020000}"/>
    <cellStyle name="_Row1_Sss 9906 2" xfId="7776" xr:uid="{00000000-0005-0000-0000-0000B0020000}"/>
    <cellStyle name="_Row1_Sss 9906 3" xfId="7777" xr:uid="{00000000-0005-0000-0000-0000B1020000}"/>
    <cellStyle name="_Row1_Sss 9906 4" xfId="7778" xr:uid="{00000000-0005-0000-0000-0000B2020000}"/>
    <cellStyle name="_Row1_Strategic review Wah" xfId="7779" xr:uid="{00000000-0005-0000-0000-0000B3020000}"/>
    <cellStyle name="_Row1_Strategic review Wah 2" xfId="7780" xr:uid="{00000000-0005-0000-0000-0000B4020000}"/>
    <cellStyle name="_Row1_Strategic review Wah 3" xfId="7781" xr:uid="{00000000-0005-0000-0000-0000B5020000}"/>
    <cellStyle name="_Row1_Strategic review Wah 4" xfId="7782" xr:uid="{00000000-0005-0000-0000-0000B6020000}"/>
    <cellStyle name="_Row2" xfId="7783" xr:uid="{00000000-0005-0000-0000-0000B7020000}"/>
    <cellStyle name="_Row2 2" xfId="7784" xr:uid="{00000000-0005-0000-0000-0000B8020000}"/>
    <cellStyle name="_Row2 3" xfId="7785" xr:uid="{00000000-0005-0000-0000-0000B9020000}"/>
    <cellStyle name="_Row2 4" xfId="7786" xr:uid="{00000000-0005-0000-0000-0000BA020000}"/>
    <cellStyle name="_Row2_P&amp;L AGROBIGOTT 05" xfId="7787" xr:uid="{00000000-0005-0000-0000-0000BB020000}"/>
    <cellStyle name="_Row2_P&amp;L AGROBIGOTT 05 2" xfId="7788" xr:uid="{00000000-0005-0000-0000-0000BC020000}"/>
    <cellStyle name="_Row2_P&amp;L AGROBIGOTT 05 3" xfId="7789" xr:uid="{00000000-0005-0000-0000-0000BD020000}"/>
    <cellStyle name="_Row2_P&amp;L AGROBIGOTT 05 4" xfId="7790" xr:uid="{00000000-0005-0000-0000-0000BE020000}"/>
    <cellStyle name="_Row3" xfId="7791" xr:uid="{00000000-0005-0000-0000-0000BF020000}"/>
    <cellStyle name="_Row3 2" xfId="7792" xr:uid="{00000000-0005-0000-0000-0000C0020000}"/>
    <cellStyle name="_Row3 3" xfId="7793" xr:uid="{00000000-0005-0000-0000-0000C1020000}"/>
    <cellStyle name="_Row3 4" xfId="7794" xr:uid="{00000000-0005-0000-0000-0000C2020000}"/>
    <cellStyle name="_Row3_P&amp;L AGROBIGOTT 05" xfId="7795" xr:uid="{00000000-0005-0000-0000-0000C3020000}"/>
    <cellStyle name="_Row3_P&amp;L AGROBIGOTT 05 2" xfId="7796" xr:uid="{00000000-0005-0000-0000-0000C4020000}"/>
    <cellStyle name="_Row3_P&amp;L AGROBIGOTT 05 3" xfId="7797" xr:uid="{00000000-0005-0000-0000-0000C5020000}"/>
    <cellStyle name="_Row3_P&amp;L AGROBIGOTT 05 4" xfId="7798" xr:uid="{00000000-0005-0000-0000-0000C6020000}"/>
    <cellStyle name="_Row4" xfId="7799" xr:uid="{00000000-0005-0000-0000-0000C7020000}"/>
    <cellStyle name="_Row4 2" xfId="7800" xr:uid="{00000000-0005-0000-0000-0000C8020000}"/>
    <cellStyle name="_Row4 3" xfId="7801" xr:uid="{00000000-0005-0000-0000-0000C9020000}"/>
    <cellStyle name="_Row4 4" xfId="7802" xr:uid="{00000000-0005-0000-0000-0000CA020000}"/>
    <cellStyle name="_Row4_P&amp;L AGROBIGOTT 05" xfId="7803" xr:uid="{00000000-0005-0000-0000-0000CB020000}"/>
    <cellStyle name="_Row4_P&amp;L AGROBIGOTT 05 2" xfId="7804" xr:uid="{00000000-0005-0000-0000-0000CC020000}"/>
    <cellStyle name="_Row4_P&amp;L AGROBIGOTT 05 3" xfId="7805" xr:uid="{00000000-0005-0000-0000-0000CD020000}"/>
    <cellStyle name="_Row4_P&amp;L AGROBIGOTT 05 4" xfId="7806" xr:uid="{00000000-0005-0000-0000-0000CE020000}"/>
    <cellStyle name="_Row5" xfId="7807" xr:uid="{00000000-0005-0000-0000-0000CF020000}"/>
    <cellStyle name="_Row5 2" xfId="7808" xr:uid="{00000000-0005-0000-0000-0000D0020000}"/>
    <cellStyle name="_Row5 3" xfId="7809" xr:uid="{00000000-0005-0000-0000-0000D1020000}"/>
    <cellStyle name="_Row5 4" xfId="7810" xr:uid="{00000000-0005-0000-0000-0000D2020000}"/>
    <cellStyle name="_Row5_P&amp;L AGROBIGOTT 05" xfId="7811" xr:uid="{00000000-0005-0000-0000-0000D3020000}"/>
    <cellStyle name="_Row5_P&amp;L AGROBIGOTT 05 2" xfId="7812" xr:uid="{00000000-0005-0000-0000-0000D4020000}"/>
    <cellStyle name="_Row5_P&amp;L AGROBIGOTT 05 3" xfId="7813" xr:uid="{00000000-0005-0000-0000-0000D5020000}"/>
    <cellStyle name="_Row5_P&amp;L AGROBIGOTT 05 4" xfId="7814" xr:uid="{00000000-0005-0000-0000-0000D6020000}"/>
    <cellStyle name="_Row6" xfId="7815" xr:uid="{00000000-0005-0000-0000-0000D7020000}"/>
    <cellStyle name="_Row6 2" xfId="7816" xr:uid="{00000000-0005-0000-0000-0000D8020000}"/>
    <cellStyle name="_Row6 3" xfId="7817" xr:uid="{00000000-0005-0000-0000-0000D9020000}"/>
    <cellStyle name="_Row6 4" xfId="7818" xr:uid="{00000000-0005-0000-0000-0000DA020000}"/>
    <cellStyle name="_Row6_P&amp;L AGROBIGOTT 05" xfId="7819" xr:uid="{00000000-0005-0000-0000-0000DB020000}"/>
    <cellStyle name="_Row6_P&amp;L AGROBIGOTT 05 2" xfId="7820" xr:uid="{00000000-0005-0000-0000-0000DC020000}"/>
    <cellStyle name="_Row6_P&amp;L AGROBIGOTT 05 3" xfId="7821" xr:uid="{00000000-0005-0000-0000-0000DD020000}"/>
    <cellStyle name="_Row6_P&amp;L AGROBIGOTT 05 4" xfId="7822" xr:uid="{00000000-0005-0000-0000-0000DE020000}"/>
    <cellStyle name="_Row7" xfId="7823" xr:uid="{00000000-0005-0000-0000-0000DF020000}"/>
    <cellStyle name="_Row7 2" xfId="7824" xr:uid="{00000000-0005-0000-0000-0000E0020000}"/>
    <cellStyle name="_Row7 3" xfId="7825" xr:uid="{00000000-0005-0000-0000-0000E1020000}"/>
    <cellStyle name="_Row7 4" xfId="7826" xr:uid="{00000000-0005-0000-0000-0000E2020000}"/>
    <cellStyle name="_Row7_P&amp;L AGROBIGOTT 05" xfId="7827" xr:uid="{00000000-0005-0000-0000-0000E3020000}"/>
    <cellStyle name="_Row7_P&amp;L AGROBIGOTT 05 2" xfId="7828" xr:uid="{00000000-0005-0000-0000-0000E4020000}"/>
    <cellStyle name="_Row7_P&amp;L AGROBIGOTT 05 3" xfId="7829" xr:uid="{00000000-0005-0000-0000-0000E5020000}"/>
    <cellStyle name="_Row7_P&amp;L AGROBIGOTT 05 4" xfId="7830" xr:uid="{00000000-0005-0000-0000-0000E6020000}"/>
    <cellStyle name="_Sheet1" xfId="7831" xr:uid="{00000000-0005-0000-0000-0000E7020000}"/>
    <cellStyle name="_Table" xfId="7832" xr:uid="{00000000-0005-0000-0000-0000E8020000}"/>
    <cellStyle name="_TEMI FORECAST VISEE 3r1_2011 Cash P&amp;L Budget " xfId="7833" xr:uid="{00000000-0005-0000-0000-0000E9020000}"/>
    <cellStyle name="’Ê‰Ý [0.00]_GE 3 MINIMUM" xfId="7834" xr:uid="{00000000-0005-0000-0000-0000EA020000}"/>
    <cellStyle name="’Ê‰Ý_GE 3 MINIMUM" xfId="7835" xr:uid="{00000000-0005-0000-0000-0000EB020000}"/>
    <cellStyle name="£ BP" xfId="7836" xr:uid="{00000000-0005-0000-0000-0000EC020000}"/>
    <cellStyle name="¥ JY" xfId="7837" xr:uid="{00000000-0005-0000-0000-0000ED020000}"/>
    <cellStyle name="=C:\WINDOWS\SYSTEM32\COMMAND.COM" xfId="7838" xr:uid="{00000000-0005-0000-0000-0000EE020000}"/>
    <cellStyle name="=C:\WINNT\SYSTEM32\COMMAND.COM" xfId="7839" xr:uid="{00000000-0005-0000-0000-0000EF020000}"/>
    <cellStyle name="=C:\WINNT35\SYSTEM32\COMMAND.COM" xfId="7840" xr:uid="{00000000-0005-0000-0000-0000F0020000}"/>
    <cellStyle name="=C:\WINNT35\SYSTEM32\COMMAND.COM 2" xfId="7841" xr:uid="{00000000-0005-0000-0000-0000F1020000}"/>
    <cellStyle name="=C:\WINNT35\SYSTEM32\COMMAND.COM 3" xfId="7842" xr:uid="{00000000-0005-0000-0000-0000F2020000}"/>
    <cellStyle name="=C:\WINNT35\SYSTEM32\COMMAND.COM 4" xfId="7843" xr:uid="{00000000-0005-0000-0000-0000F3020000}"/>
    <cellStyle name="•W€_‰ïŒv“`•[" xfId="7844" xr:uid="{00000000-0005-0000-0000-0000F4020000}"/>
    <cellStyle name="•W_‰ïŒv“`•[" xfId="7845" xr:uid="{00000000-0005-0000-0000-0000F5020000}"/>
    <cellStyle name="0" xfId="7846" xr:uid="{00000000-0005-0000-0000-0000F6020000}"/>
    <cellStyle name="0 2" xfId="7847" xr:uid="{00000000-0005-0000-0000-0000F7020000}"/>
    <cellStyle name="0%" xfId="7848" xr:uid="{00000000-0005-0000-0000-0000F8020000}"/>
    <cellStyle name="0.0" xfId="7849" xr:uid="{00000000-0005-0000-0000-0000F9020000}"/>
    <cellStyle name="0.0%" xfId="7850" xr:uid="{00000000-0005-0000-0000-0000FA020000}"/>
    <cellStyle name="0.00" xfId="7851" xr:uid="{00000000-0005-0000-0000-0000FB020000}"/>
    <cellStyle name="0.00%" xfId="7852" xr:uid="{00000000-0005-0000-0000-0000FC020000}"/>
    <cellStyle name="0_BECA-REI Proyeccion ISLR 2009. 25% INFLACION" xfId="7853" xr:uid="{00000000-0005-0000-0000-0000FD020000}"/>
    <cellStyle name="0_BECA-REI Proyeccion ISLR 2009. 30% INFLACION" xfId="7854" xr:uid="{00000000-0005-0000-0000-0000FE020000}"/>
    <cellStyle name="0_JVG Hogar, C.A. Conciliación de la Renta al 31-12-2008" xfId="7855" xr:uid="{00000000-0005-0000-0000-0000FF020000}"/>
    <cellStyle name="0_Project Majestic - Model v10(3)" xfId="7856" xr:uid="{00000000-0005-0000-0000-000000030000}"/>
    <cellStyle name="01_Page Heading" xfId="7857" xr:uid="{00000000-0005-0000-0000-000001030000}"/>
    <cellStyle name="02_Rule above and below" xfId="7858" xr:uid="{00000000-0005-0000-0000-000002030000}"/>
    <cellStyle name="03_Table Notes" xfId="7859" xr:uid="{00000000-0005-0000-0000-000003030000}"/>
    <cellStyle name="04_Bold table figs" xfId="7860" xr:uid="{00000000-0005-0000-0000-000004030000}"/>
    <cellStyle name="05_table figs" xfId="7861" xr:uid="{00000000-0005-0000-0000-000005030000}"/>
    <cellStyle name="06_per cent" xfId="7862" xr:uid="{00000000-0005-0000-0000-000006030000}"/>
    <cellStyle name="07_Bold table text" xfId="7863" xr:uid="{00000000-0005-0000-0000-000007030000}"/>
    <cellStyle name="¹éºÐÀ²_±âÅ¸" xfId="7864" xr:uid="{00000000-0005-0000-0000-000008030000}"/>
    <cellStyle name="20% - Accent1 2" xfId="87" xr:uid="{00000000-0005-0000-0000-000009030000}"/>
    <cellStyle name="20% - Accent1 2 2" xfId="88" xr:uid="{00000000-0005-0000-0000-00000A030000}"/>
    <cellStyle name="20% - Accent1 3" xfId="89" xr:uid="{00000000-0005-0000-0000-00000B030000}"/>
    <cellStyle name="20% - Accent1 3 2" xfId="90" xr:uid="{00000000-0005-0000-0000-00000C030000}"/>
    <cellStyle name="20% - Accent1 3 2 2" xfId="91" xr:uid="{00000000-0005-0000-0000-00000D030000}"/>
    <cellStyle name="20% - Accent1 3 2 2 2" xfId="2560" xr:uid="{00000000-0005-0000-0000-00000E030000}"/>
    <cellStyle name="20% - Accent1 3 2 2 2 2" xfId="5641" xr:uid="{00000000-0005-0000-0000-00000F030000}"/>
    <cellStyle name="20% - Accent1 3 2 2 3" xfId="4111" xr:uid="{00000000-0005-0000-0000-000010030000}"/>
    <cellStyle name="20% - Accent1 3 2 3" xfId="2559" xr:uid="{00000000-0005-0000-0000-000011030000}"/>
    <cellStyle name="20% - Accent1 3 2 3 2" xfId="5640" xr:uid="{00000000-0005-0000-0000-000012030000}"/>
    <cellStyle name="20% - Accent1 3 2 4" xfId="4110" xr:uid="{00000000-0005-0000-0000-000013030000}"/>
    <cellStyle name="20% - Accent1 3 3" xfId="92" xr:uid="{00000000-0005-0000-0000-000014030000}"/>
    <cellStyle name="20% - Accent1 3 3 2" xfId="93" xr:uid="{00000000-0005-0000-0000-000015030000}"/>
    <cellStyle name="20% - Accent1 3 3 2 2" xfId="2562" xr:uid="{00000000-0005-0000-0000-000016030000}"/>
    <cellStyle name="20% - Accent1 3 3 2 2 2" xfId="5643" xr:uid="{00000000-0005-0000-0000-000017030000}"/>
    <cellStyle name="20% - Accent1 3 3 2 3" xfId="4113" xr:uid="{00000000-0005-0000-0000-000018030000}"/>
    <cellStyle name="20% - Accent1 3 3 3" xfId="2561" xr:uid="{00000000-0005-0000-0000-000019030000}"/>
    <cellStyle name="20% - Accent1 3 3 3 2" xfId="5642" xr:uid="{00000000-0005-0000-0000-00001A030000}"/>
    <cellStyle name="20% - Accent1 3 3 4" xfId="4112" xr:uid="{00000000-0005-0000-0000-00001B030000}"/>
    <cellStyle name="20% - Accent1 3 4" xfId="94" xr:uid="{00000000-0005-0000-0000-00001C030000}"/>
    <cellStyle name="20% - Accent1 3 4 2" xfId="2563" xr:uid="{00000000-0005-0000-0000-00001D030000}"/>
    <cellStyle name="20% - Accent1 3 4 2 2" xfId="5644" xr:uid="{00000000-0005-0000-0000-00001E030000}"/>
    <cellStyle name="20% - Accent1 3 4 3" xfId="4114" xr:uid="{00000000-0005-0000-0000-00001F030000}"/>
    <cellStyle name="20% - Accent1 3 5" xfId="2558" xr:uid="{00000000-0005-0000-0000-000020030000}"/>
    <cellStyle name="20% - Accent1 3 5 2" xfId="5639" xr:uid="{00000000-0005-0000-0000-000021030000}"/>
    <cellStyle name="20% - Accent1 3 6" xfId="4109" xr:uid="{00000000-0005-0000-0000-000022030000}"/>
    <cellStyle name="20% - Accent1 4" xfId="95" xr:uid="{00000000-0005-0000-0000-000023030000}"/>
    <cellStyle name="20% - Accent1 4 2" xfId="2564" xr:uid="{00000000-0005-0000-0000-000024030000}"/>
    <cellStyle name="20% - Accent1 4 2 2" xfId="5645" xr:uid="{00000000-0005-0000-0000-000025030000}"/>
    <cellStyle name="20% - Accent1 4 3" xfId="4115" xr:uid="{00000000-0005-0000-0000-000026030000}"/>
    <cellStyle name="20% - Accent2 2" xfId="96" xr:uid="{00000000-0005-0000-0000-000027030000}"/>
    <cellStyle name="20% - Accent2 2 2" xfId="97" xr:uid="{00000000-0005-0000-0000-000028030000}"/>
    <cellStyle name="20% - Accent2 3" xfId="98" xr:uid="{00000000-0005-0000-0000-000029030000}"/>
    <cellStyle name="20% - Accent2 3 2" xfId="99" xr:uid="{00000000-0005-0000-0000-00002A030000}"/>
    <cellStyle name="20% - Accent2 3 2 2" xfId="100" xr:uid="{00000000-0005-0000-0000-00002B030000}"/>
    <cellStyle name="20% - Accent2 3 2 2 2" xfId="2567" xr:uid="{00000000-0005-0000-0000-00002C030000}"/>
    <cellStyle name="20% - Accent2 3 2 2 2 2" xfId="5648" xr:uid="{00000000-0005-0000-0000-00002D030000}"/>
    <cellStyle name="20% - Accent2 3 2 2 3" xfId="4118" xr:uid="{00000000-0005-0000-0000-00002E030000}"/>
    <cellStyle name="20% - Accent2 3 2 3" xfId="2566" xr:uid="{00000000-0005-0000-0000-00002F030000}"/>
    <cellStyle name="20% - Accent2 3 2 3 2" xfId="5647" xr:uid="{00000000-0005-0000-0000-000030030000}"/>
    <cellStyle name="20% - Accent2 3 2 4" xfId="4117" xr:uid="{00000000-0005-0000-0000-000031030000}"/>
    <cellStyle name="20% - Accent2 3 3" xfId="101" xr:uid="{00000000-0005-0000-0000-000032030000}"/>
    <cellStyle name="20% - Accent2 3 3 2" xfId="102" xr:uid="{00000000-0005-0000-0000-000033030000}"/>
    <cellStyle name="20% - Accent2 3 3 2 2" xfId="2569" xr:uid="{00000000-0005-0000-0000-000034030000}"/>
    <cellStyle name="20% - Accent2 3 3 2 2 2" xfId="5650" xr:uid="{00000000-0005-0000-0000-000035030000}"/>
    <cellStyle name="20% - Accent2 3 3 2 3" xfId="4120" xr:uid="{00000000-0005-0000-0000-000036030000}"/>
    <cellStyle name="20% - Accent2 3 3 3" xfId="2568" xr:uid="{00000000-0005-0000-0000-000037030000}"/>
    <cellStyle name="20% - Accent2 3 3 3 2" xfId="5649" xr:uid="{00000000-0005-0000-0000-000038030000}"/>
    <cellStyle name="20% - Accent2 3 3 4" xfId="4119" xr:uid="{00000000-0005-0000-0000-000039030000}"/>
    <cellStyle name="20% - Accent2 3 4" xfId="103" xr:uid="{00000000-0005-0000-0000-00003A030000}"/>
    <cellStyle name="20% - Accent2 3 4 2" xfId="2570" xr:uid="{00000000-0005-0000-0000-00003B030000}"/>
    <cellStyle name="20% - Accent2 3 4 2 2" xfId="5651" xr:uid="{00000000-0005-0000-0000-00003C030000}"/>
    <cellStyle name="20% - Accent2 3 4 3" xfId="4121" xr:uid="{00000000-0005-0000-0000-00003D030000}"/>
    <cellStyle name="20% - Accent2 3 5" xfId="2565" xr:uid="{00000000-0005-0000-0000-00003E030000}"/>
    <cellStyle name="20% - Accent2 3 5 2" xfId="5646" xr:uid="{00000000-0005-0000-0000-00003F030000}"/>
    <cellStyle name="20% - Accent2 3 6" xfId="4116" xr:uid="{00000000-0005-0000-0000-000040030000}"/>
    <cellStyle name="20% - Accent2 4" xfId="104" xr:uid="{00000000-0005-0000-0000-000041030000}"/>
    <cellStyle name="20% - Accent2 4 2" xfId="2571" xr:uid="{00000000-0005-0000-0000-000042030000}"/>
    <cellStyle name="20% - Accent2 4 2 2" xfId="5652" xr:uid="{00000000-0005-0000-0000-000043030000}"/>
    <cellStyle name="20% - Accent2 4 3" xfId="4122" xr:uid="{00000000-0005-0000-0000-000044030000}"/>
    <cellStyle name="20% - Accent3 2" xfId="105" xr:uid="{00000000-0005-0000-0000-000045030000}"/>
    <cellStyle name="20% - Accent3 2 2" xfId="106" xr:uid="{00000000-0005-0000-0000-000046030000}"/>
    <cellStyle name="20% - Accent3 3" xfId="107" xr:uid="{00000000-0005-0000-0000-000047030000}"/>
    <cellStyle name="20% - Accent3 3 2" xfId="108" xr:uid="{00000000-0005-0000-0000-000048030000}"/>
    <cellStyle name="20% - Accent3 3 2 2" xfId="109" xr:uid="{00000000-0005-0000-0000-000049030000}"/>
    <cellStyle name="20% - Accent3 3 2 2 2" xfId="2574" xr:uid="{00000000-0005-0000-0000-00004A030000}"/>
    <cellStyle name="20% - Accent3 3 2 2 2 2" xfId="5655" xr:uid="{00000000-0005-0000-0000-00004B030000}"/>
    <cellStyle name="20% - Accent3 3 2 2 3" xfId="4125" xr:uid="{00000000-0005-0000-0000-00004C030000}"/>
    <cellStyle name="20% - Accent3 3 2 3" xfId="2573" xr:uid="{00000000-0005-0000-0000-00004D030000}"/>
    <cellStyle name="20% - Accent3 3 2 3 2" xfId="5654" xr:uid="{00000000-0005-0000-0000-00004E030000}"/>
    <cellStyle name="20% - Accent3 3 2 4" xfId="4124" xr:uid="{00000000-0005-0000-0000-00004F030000}"/>
    <cellStyle name="20% - Accent3 3 3" xfId="110" xr:uid="{00000000-0005-0000-0000-000050030000}"/>
    <cellStyle name="20% - Accent3 3 3 2" xfId="111" xr:uid="{00000000-0005-0000-0000-000051030000}"/>
    <cellStyle name="20% - Accent3 3 3 2 2" xfId="2576" xr:uid="{00000000-0005-0000-0000-000052030000}"/>
    <cellStyle name="20% - Accent3 3 3 2 2 2" xfId="5657" xr:uid="{00000000-0005-0000-0000-000053030000}"/>
    <cellStyle name="20% - Accent3 3 3 2 3" xfId="4127" xr:uid="{00000000-0005-0000-0000-000054030000}"/>
    <cellStyle name="20% - Accent3 3 3 3" xfId="2575" xr:uid="{00000000-0005-0000-0000-000055030000}"/>
    <cellStyle name="20% - Accent3 3 3 3 2" xfId="5656" xr:uid="{00000000-0005-0000-0000-000056030000}"/>
    <cellStyle name="20% - Accent3 3 3 4" xfId="4126" xr:uid="{00000000-0005-0000-0000-000057030000}"/>
    <cellStyle name="20% - Accent3 3 4" xfId="112" xr:uid="{00000000-0005-0000-0000-000058030000}"/>
    <cellStyle name="20% - Accent3 3 4 2" xfId="2577" xr:uid="{00000000-0005-0000-0000-000059030000}"/>
    <cellStyle name="20% - Accent3 3 4 2 2" xfId="5658" xr:uid="{00000000-0005-0000-0000-00005A030000}"/>
    <cellStyle name="20% - Accent3 3 4 3" xfId="4128" xr:uid="{00000000-0005-0000-0000-00005B030000}"/>
    <cellStyle name="20% - Accent3 3 5" xfId="2572" xr:uid="{00000000-0005-0000-0000-00005C030000}"/>
    <cellStyle name="20% - Accent3 3 5 2" xfId="5653" xr:uid="{00000000-0005-0000-0000-00005D030000}"/>
    <cellStyle name="20% - Accent3 3 6" xfId="4123" xr:uid="{00000000-0005-0000-0000-00005E030000}"/>
    <cellStyle name="20% - Accent3 4" xfId="113" xr:uid="{00000000-0005-0000-0000-00005F030000}"/>
    <cellStyle name="20% - Accent3 4 2" xfId="2578" xr:uid="{00000000-0005-0000-0000-000060030000}"/>
    <cellStyle name="20% - Accent3 4 2 2" xfId="5659" xr:uid="{00000000-0005-0000-0000-000061030000}"/>
    <cellStyle name="20% - Accent3 4 3" xfId="4129" xr:uid="{00000000-0005-0000-0000-000062030000}"/>
    <cellStyle name="20% - Accent4 2" xfId="114" xr:uid="{00000000-0005-0000-0000-000063030000}"/>
    <cellStyle name="20% - Accent4 2 2" xfId="115" xr:uid="{00000000-0005-0000-0000-000064030000}"/>
    <cellStyle name="20% - Accent4 3" xfId="116" xr:uid="{00000000-0005-0000-0000-000065030000}"/>
    <cellStyle name="20% - Accent4 3 2" xfId="117" xr:uid="{00000000-0005-0000-0000-000066030000}"/>
    <cellStyle name="20% - Accent4 3 2 2" xfId="118" xr:uid="{00000000-0005-0000-0000-000067030000}"/>
    <cellStyle name="20% - Accent4 3 2 2 2" xfId="2581" xr:uid="{00000000-0005-0000-0000-000068030000}"/>
    <cellStyle name="20% - Accent4 3 2 2 2 2" xfId="5662" xr:uid="{00000000-0005-0000-0000-000069030000}"/>
    <cellStyle name="20% - Accent4 3 2 2 3" xfId="4132" xr:uid="{00000000-0005-0000-0000-00006A030000}"/>
    <cellStyle name="20% - Accent4 3 2 3" xfId="2580" xr:uid="{00000000-0005-0000-0000-00006B030000}"/>
    <cellStyle name="20% - Accent4 3 2 3 2" xfId="5661" xr:uid="{00000000-0005-0000-0000-00006C030000}"/>
    <cellStyle name="20% - Accent4 3 2 4" xfId="4131" xr:uid="{00000000-0005-0000-0000-00006D030000}"/>
    <cellStyle name="20% - Accent4 3 3" xfId="119" xr:uid="{00000000-0005-0000-0000-00006E030000}"/>
    <cellStyle name="20% - Accent4 3 3 2" xfId="120" xr:uid="{00000000-0005-0000-0000-00006F030000}"/>
    <cellStyle name="20% - Accent4 3 3 2 2" xfId="2583" xr:uid="{00000000-0005-0000-0000-000070030000}"/>
    <cellStyle name="20% - Accent4 3 3 2 2 2" xfId="5664" xr:uid="{00000000-0005-0000-0000-000071030000}"/>
    <cellStyle name="20% - Accent4 3 3 2 3" xfId="4134" xr:uid="{00000000-0005-0000-0000-000072030000}"/>
    <cellStyle name="20% - Accent4 3 3 3" xfId="2582" xr:uid="{00000000-0005-0000-0000-000073030000}"/>
    <cellStyle name="20% - Accent4 3 3 3 2" xfId="5663" xr:uid="{00000000-0005-0000-0000-000074030000}"/>
    <cellStyle name="20% - Accent4 3 3 4" xfId="4133" xr:uid="{00000000-0005-0000-0000-000075030000}"/>
    <cellStyle name="20% - Accent4 3 4" xfId="121" xr:uid="{00000000-0005-0000-0000-000076030000}"/>
    <cellStyle name="20% - Accent4 3 4 2" xfId="2584" xr:uid="{00000000-0005-0000-0000-000077030000}"/>
    <cellStyle name="20% - Accent4 3 4 2 2" xfId="5665" xr:uid="{00000000-0005-0000-0000-000078030000}"/>
    <cellStyle name="20% - Accent4 3 4 3" xfId="4135" xr:uid="{00000000-0005-0000-0000-000079030000}"/>
    <cellStyle name="20% - Accent4 3 5" xfId="2579" xr:uid="{00000000-0005-0000-0000-00007A030000}"/>
    <cellStyle name="20% - Accent4 3 5 2" xfId="5660" xr:uid="{00000000-0005-0000-0000-00007B030000}"/>
    <cellStyle name="20% - Accent4 3 6" xfId="4130" xr:uid="{00000000-0005-0000-0000-00007C030000}"/>
    <cellStyle name="20% - Accent4 4" xfId="122" xr:uid="{00000000-0005-0000-0000-00007D030000}"/>
    <cellStyle name="20% - Accent4 4 2" xfId="2585" xr:uid="{00000000-0005-0000-0000-00007E030000}"/>
    <cellStyle name="20% - Accent4 4 2 2" xfId="5666" xr:uid="{00000000-0005-0000-0000-00007F030000}"/>
    <cellStyle name="20% - Accent4 4 3" xfId="4136" xr:uid="{00000000-0005-0000-0000-000080030000}"/>
    <cellStyle name="20% - Accent5 2" xfId="123" xr:uid="{00000000-0005-0000-0000-000081030000}"/>
    <cellStyle name="20% - Accent5 2 2" xfId="124" xr:uid="{00000000-0005-0000-0000-000082030000}"/>
    <cellStyle name="20% - Accent5 3" xfId="125" xr:uid="{00000000-0005-0000-0000-000083030000}"/>
    <cellStyle name="20% - Accent5 3 2" xfId="126" xr:uid="{00000000-0005-0000-0000-000084030000}"/>
    <cellStyle name="20% - Accent5 3 2 2" xfId="127" xr:uid="{00000000-0005-0000-0000-000085030000}"/>
    <cellStyle name="20% - Accent5 3 2 2 2" xfId="2588" xr:uid="{00000000-0005-0000-0000-000086030000}"/>
    <cellStyle name="20% - Accent5 3 2 2 2 2" xfId="5669" xr:uid="{00000000-0005-0000-0000-000087030000}"/>
    <cellStyle name="20% - Accent5 3 2 2 3" xfId="4139" xr:uid="{00000000-0005-0000-0000-000088030000}"/>
    <cellStyle name="20% - Accent5 3 2 3" xfId="2587" xr:uid="{00000000-0005-0000-0000-000089030000}"/>
    <cellStyle name="20% - Accent5 3 2 3 2" xfId="5668" xr:uid="{00000000-0005-0000-0000-00008A030000}"/>
    <cellStyle name="20% - Accent5 3 2 4" xfId="4138" xr:uid="{00000000-0005-0000-0000-00008B030000}"/>
    <cellStyle name="20% - Accent5 3 3" xfId="128" xr:uid="{00000000-0005-0000-0000-00008C030000}"/>
    <cellStyle name="20% - Accent5 3 3 2" xfId="129" xr:uid="{00000000-0005-0000-0000-00008D030000}"/>
    <cellStyle name="20% - Accent5 3 3 2 2" xfId="2590" xr:uid="{00000000-0005-0000-0000-00008E030000}"/>
    <cellStyle name="20% - Accent5 3 3 2 2 2" xfId="5671" xr:uid="{00000000-0005-0000-0000-00008F030000}"/>
    <cellStyle name="20% - Accent5 3 3 2 3" xfId="4141" xr:uid="{00000000-0005-0000-0000-000090030000}"/>
    <cellStyle name="20% - Accent5 3 3 3" xfId="2589" xr:uid="{00000000-0005-0000-0000-000091030000}"/>
    <cellStyle name="20% - Accent5 3 3 3 2" xfId="5670" xr:uid="{00000000-0005-0000-0000-000092030000}"/>
    <cellStyle name="20% - Accent5 3 3 4" xfId="4140" xr:uid="{00000000-0005-0000-0000-000093030000}"/>
    <cellStyle name="20% - Accent5 3 4" xfId="130" xr:uid="{00000000-0005-0000-0000-000094030000}"/>
    <cellStyle name="20% - Accent5 3 4 2" xfId="2591" xr:uid="{00000000-0005-0000-0000-000095030000}"/>
    <cellStyle name="20% - Accent5 3 4 2 2" xfId="5672" xr:uid="{00000000-0005-0000-0000-000096030000}"/>
    <cellStyle name="20% - Accent5 3 4 3" xfId="4142" xr:uid="{00000000-0005-0000-0000-000097030000}"/>
    <cellStyle name="20% - Accent5 3 5" xfId="2586" xr:uid="{00000000-0005-0000-0000-000098030000}"/>
    <cellStyle name="20% - Accent5 3 5 2" xfId="5667" xr:uid="{00000000-0005-0000-0000-000099030000}"/>
    <cellStyle name="20% - Accent5 3 6" xfId="4137" xr:uid="{00000000-0005-0000-0000-00009A030000}"/>
    <cellStyle name="20% - Accent5 4" xfId="131" xr:uid="{00000000-0005-0000-0000-00009B030000}"/>
    <cellStyle name="20% - Accent5 4 2" xfId="2592" xr:uid="{00000000-0005-0000-0000-00009C030000}"/>
    <cellStyle name="20% - Accent5 4 2 2" xfId="5673" xr:uid="{00000000-0005-0000-0000-00009D030000}"/>
    <cellStyle name="20% - Accent5 4 3" xfId="4143" xr:uid="{00000000-0005-0000-0000-00009E030000}"/>
    <cellStyle name="20% - Accent6 2" xfId="132" xr:uid="{00000000-0005-0000-0000-00009F030000}"/>
    <cellStyle name="20% - Accent6 2 2" xfId="133" xr:uid="{00000000-0005-0000-0000-0000A0030000}"/>
    <cellStyle name="20% - Accent6 3" xfId="134" xr:uid="{00000000-0005-0000-0000-0000A1030000}"/>
    <cellStyle name="20% - Accent6 3 2" xfId="135" xr:uid="{00000000-0005-0000-0000-0000A2030000}"/>
    <cellStyle name="20% - Accent6 3 2 2" xfId="136" xr:uid="{00000000-0005-0000-0000-0000A3030000}"/>
    <cellStyle name="20% - Accent6 3 2 2 2" xfId="2595" xr:uid="{00000000-0005-0000-0000-0000A4030000}"/>
    <cellStyle name="20% - Accent6 3 2 2 2 2" xfId="5676" xr:uid="{00000000-0005-0000-0000-0000A5030000}"/>
    <cellStyle name="20% - Accent6 3 2 2 3" xfId="4146" xr:uid="{00000000-0005-0000-0000-0000A6030000}"/>
    <cellStyle name="20% - Accent6 3 2 3" xfId="2594" xr:uid="{00000000-0005-0000-0000-0000A7030000}"/>
    <cellStyle name="20% - Accent6 3 2 3 2" xfId="5675" xr:uid="{00000000-0005-0000-0000-0000A8030000}"/>
    <cellStyle name="20% - Accent6 3 2 4" xfId="4145" xr:uid="{00000000-0005-0000-0000-0000A9030000}"/>
    <cellStyle name="20% - Accent6 3 3" xfId="137" xr:uid="{00000000-0005-0000-0000-0000AA030000}"/>
    <cellStyle name="20% - Accent6 3 3 2" xfId="138" xr:uid="{00000000-0005-0000-0000-0000AB030000}"/>
    <cellStyle name="20% - Accent6 3 3 2 2" xfId="2597" xr:uid="{00000000-0005-0000-0000-0000AC030000}"/>
    <cellStyle name="20% - Accent6 3 3 2 2 2" xfId="5678" xr:uid="{00000000-0005-0000-0000-0000AD030000}"/>
    <cellStyle name="20% - Accent6 3 3 2 3" xfId="4148" xr:uid="{00000000-0005-0000-0000-0000AE030000}"/>
    <cellStyle name="20% - Accent6 3 3 3" xfId="2596" xr:uid="{00000000-0005-0000-0000-0000AF030000}"/>
    <cellStyle name="20% - Accent6 3 3 3 2" xfId="5677" xr:uid="{00000000-0005-0000-0000-0000B0030000}"/>
    <cellStyle name="20% - Accent6 3 3 4" xfId="4147" xr:uid="{00000000-0005-0000-0000-0000B1030000}"/>
    <cellStyle name="20% - Accent6 3 4" xfId="139" xr:uid="{00000000-0005-0000-0000-0000B2030000}"/>
    <cellStyle name="20% - Accent6 3 4 2" xfId="2598" xr:uid="{00000000-0005-0000-0000-0000B3030000}"/>
    <cellStyle name="20% - Accent6 3 4 2 2" xfId="5679" xr:uid="{00000000-0005-0000-0000-0000B4030000}"/>
    <cellStyle name="20% - Accent6 3 4 3" xfId="4149" xr:uid="{00000000-0005-0000-0000-0000B5030000}"/>
    <cellStyle name="20% - Accent6 3 5" xfId="2593" xr:uid="{00000000-0005-0000-0000-0000B6030000}"/>
    <cellStyle name="20% - Accent6 3 5 2" xfId="5674" xr:uid="{00000000-0005-0000-0000-0000B7030000}"/>
    <cellStyle name="20% - Accent6 3 6" xfId="4144" xr:uid="{00000000-0005-0000-0000-0000B8030000}"/>
    <cellStyle name="20% - Accent6 4" xfId="140" xr:uid="{00000000-0005-0000-0000-0000B9030000}"/>
    <cellStyle name="20% - Accent6 4 2" xfId="2599" xr:uid="{00000000-0005-0000-0000-0000BA030000}"/>
    <cellStyle name="20% - Accent6 4 2 2" xfId="5680" xr:uid="{00000000-0005-0000-0000-0000BB030000}"/>
    <cellStyle name="20% - Accent6 4 3" xfId="4150" xr:uid="{00000000-0005-0000-0000-0000BC030000}"/>
    <cellStyle name="40% - Accent1 2" xfId="141" xr:uid="{00000000-0005-0000-0000-0000BD030000}"/>
    <cellStyle name="40% - Accent1 2 2" xfId="142" xr:uid="{00000000-0005-0000-0000-0000BE030000}"/>
    <cellStyle name="40% - Accent1 3" xfId="143" xr:uid="{00000000-0005-0000-0000-0000BF030000}"/>
    <cellStyle name="40% - Accent1 3 2" xfId="144" xr:uid="{00000000-0005-0000-0000-0000C0030000}"/>
    <cellStyle name="40% - Accent1 3 2 2" xfId="145" xr:uid="{00000000-0005-0000-0000-0000C1030000}"/>
    <cellStyle name="40% - Accent1 3 2 2 2" xfId="2602" xr:uid="{00000000-0005-0000-0000-0000C2030000}"/>
    <cellStyle name="40% - Accent1 3 2 2 2 2" xfId="5683" xr:uid="{00000000-0005-0000-0000-0000C3030000}"/>
    <cellStyle name="40% - Accent1 3 2 2 3" xfId="4153" xr:uid="{00000000-0005-0000-0000-0000C4030000}"/>
    <cellStyle name="40% - Accent1 3 2 3" xfId="2601" xr:uid="{00000000-0005-0000-0000-0000C5030000}"/>
    <cellStyle name="40% - Accent1 3 2 3 2" xfId="5682" xr:uid="{00000000-0005-0000-0000-0000C6030000}"/>
    <cellStyle name="40% - Accent1 3 2 4" xfId="4152" xr:uid="{00000000-0005-0000-0000-0000C7030000}"/>
    <cellStyle name="40% - Accent1 3 3" xfId="146" xr:uid="{00000000-0005-0000-0000-0000C8030000}"/>
    <cellStyle name="40% - Accent1 3 3 2" xfId="147" xr:uid="{00000000-0005-0000-0000-0000C9030000}"/>
    <cellStyle name="40% - Accent1 3 3 2 2" xfId="2604" xr:uid="{00000000-0005-0000-0000-0000CA030000}"/>
    <cellStyle name="40% - Accent1 3 3 2 2 2" xfId="5685" xr:uid="{00000000-0005-0000-0000-0000CB030000}"/>
    <cellStyle name="40% - Accent1 3 3 2 3" xfId="4155" xr:uid="{00000000-0005-0000-0000-0000CC030000}"/>
    <cellStyle name="40% - Accent1 3 3 3" xfId="2603" xr:uid="{00000000-0005-0000-0000-0000CD030000}"/>
    <cellStyle name="40% - Accent1 3 3 3 2" xfId="5684" xr:uid="{00000000-0005-0000-0000-0000CE030000}"/>
    <cellStyle name="40% - Accent1 3 3 4" xfId="4154" xr:uid="{00000000-0005-0000-0000-0000CF030000}"/>
    <cellStyle name="40% - Accent1 3 4" xfId="148" xr:uid="{00000000-0005-0000-0000-0000D0030000}"/>
    <cellStyle name="40% - Accent1 3 4 2" xfId="2605" xr:uid="{00000000-0005-0000-0000-0000D1030000}"/>
    <cellStyle name="40% - Accent1 3 4 2 2" xfId="5686" xr:uid="{00000000-0005-0000-0000-0000D2030000}"/>
    <cellStyle name="40% - Accent1 3 4 3" xfId="4156" xr:uid="{00000000-0005-0000-0000-0000D3030000}"/>
    <cellStyle name="40% - Accent1 3 5" xfId="2600" xr:uid="{00000000-0005-0000-0000-0000D4030000}"/>
    <cellStyle name="40% - Accent1 3 5 2" xfId="5681" xr:uid="{00000000-0005-0000-0000-0000D5030000}"/>
    <cellStyle name="40% - Accent1 3 6" xfId="4151" xr:uid="{00000000-0005-0000-0000-0000D6030000}"/>
    <cellStyle name="40% - Accent1 4" xfId="149" xr:uid="{00000000-0005-0000-0000-0000D7030000}"/>
    <cellStyle name="40% - Accent1 4 2" xfId="2606" xr:uid="{00000000-0005-0000-0000-0000D8030000}"/>
    <cellStyle name="40% - Accent1 4 2 2" xfId="5687" xr:uid="{00000000-0005-0000-0000-0000D9030000}"/>
    <cellStyle name="40% - Accent1 4 3" xfId="4157" xr:uid="{00000000-0005-0000-0000-0000DA030000}"/>
    <cellStyle name="40% - Accent2 2" xfId="150" xr:uid="{00000000-0005-0000-0000-0000DB030000}"/>
    <cellStyle name="40% - Accent2 2 2" xfId="151" xr:uid="{00000000-0005-0000-0000-0000DC030000}"/>
    <cellStyle name="40% - Accent2 3" xfId="152" xr:uid="{00000000-0005-0000-0000-0000DD030000}"/>
    <cellStyle name="40% - Accent2 3 2" xfId="153" xr:uid="{00000000-0005-0000-0000-0000DE030000}"/>
    <cellStyle name="40% - Accent2 3 2 2" xfId="154" xr:uid="{00000000-0005-0000-0000-0000DF030000}"/>
    <cellStyle name="40% - Accent2 3 2 2 2" xfId="2609" xr:uid="{00000000-0005-0000-0000-0000E0030000}"/>
    <cellStyle name="40% - Accent2 3 2 2 2 2" xfId="5690" xr:uid="{00000000-0005-0000-0000-0000E1030000}"/>
    <cellStyle name="40% - Accent2 3 2 2 3" xfId="4160" xr:uid="{00000000-0005-0000-0000-0000E2030000}"/>
    <cellStyle name="40% - Accent2 3 2 3" xfId="2608" xr:uid="{00000000-0005-0000-0000-0000E3030000}"/>
    <cellStyle name="40% - Accent2 3 2 3 2" xfId="5689" xr:uid="{00000000-0005-0000-0000-0000E4030000}"/>
    <cellStyle name="40% - Accent2 3 2 4" xfId="4159" xr:uid="{00000000-0005-0000-0000-0000E5030000}"/>
    <cellStyle name="40% - Accent2 3 3" xfId="155" xr:uid="{00000000-0005-0000-0000-0000E6030000}"/>
    <cellStyle name="40% - Accent2 3 3 2" xfId="156" xr:uid="{00000000-0005-0000-0000-0000E7030000}"/>
    <cellStyle name="40% - Accent2 3 3 2 2" xfId="2611" xr:uid="{00000000-0005-0000-0000-0000E8030000}"/>
    <cellStyle name="40% - Accent2 3 3 2 2 2" xfId="5692" xr:uid="{00000000-0005-0000-0000-0000E9030000}"/>
    <cellStyle name="40% - Accent2 3 3 2 3" xfId="4162" xr:uid="{00000000-0005-0000-0000-0000EA030000}"/>
    <cellStyle name="40% - Accent2 3 3 3" xfId="2610" xr:uid="{00000000-0005-0000-0000-0000EB030000}"/>
    <cellStyle name="40% - Accent2 3 3 3 2" xfId="5691" xr:uid="{00000000-0005-0000-0000-0000EC030000}"/>
    <cellStyle name="40% - Accent2 3 3 4" xfId="4161" xr:uid="{00000000-0005-0000-0000-0000ED030000}"/>
    <cellStyle name="40% - Accent2 3 4" xfId="157" xr:uid="{00000000-0005-0000-0000-0000EE030000}"/>
    <cellStyle name="40% - Accent2 3 4 2" xfId="2612" xr:uid="{00000000-0005-0000-0000-0000EF030000}"/>
    <cellStyle name="40% - Accent2 3 4 2 2" xfId="5693" xr:uid="{00000000-0005-0000-0000-0000F0030000}"/>
    <cellStyle name="40% - Accent2 3 4 3" xfId="4163" xr:uid="{00000000-0005-0000-0000-0000F1030000}"/>
    <cellStyle name="40% - Accent2 3 5" xfId="2607" xr:uid="{00000000-0005-0000-0000-0000F2030000}"/>
    <cellStyle name="40% - Accent2 3 5 2" xfId="5688" xr:uid="{00000000-0005-0000-0000-0000F3030000}"/>
    <cellStyle name="40% - Accent2 3 6" xfId="4158" xr:uid="{00000000-0005-0000-0000-0000F4030000}"/>
    <cellStyle name="40% - Accent2 4" xfId="158" xr:uid="{00000000-0005-0000-0000-0000F5030000}"/>
    <cellStyle name="40% - Accent2 4 2" xfId="2613" xr:uid="{00000000-0005-0000-0000-0000F6030000}"/>
    <cellStyle name="40% - Accent2 4 2 2" xfId="5694" xr:uid="{00000000-0005-0000-0000-0000F7030000}"/>
    <cellStyle name="40% - Accent2 4 3" xfId="4164" xr:uid="{00000000-0005-0000-0000-0000F8030000}"/>
    <cellStyle name="40% - Accent3 2" xfId="159" xr:uid="{00000000-0005-0000-0000-0000F9030000}"/>
    <cellStyle name="40% - Accent3 2 2" xfId="160" xr:uid="{00000000-0005-0000-0000-0000FA030000}"/>
    <cellStyle name="40% - Accent3 3" xfId="161" xr:uid="{00000000-0005-0000-0000-0000FB030000}"/>
    <cellStyle name="40% - Accent3 3 2" xfId="162" xr:uid="{00000000-0005-0000-0000-0000FC030000}"/>
    <cellStyle name="40% - Accent3 3 2 2" xfId="163" xr:uid="{00000000-0005-0000-0000-0000FD030000}"/>
    <cellStyle name="40% - Accent3 3 2 2 2" xfId="2616" xr:uid="{00000000-0005-0000-0000-0000FE030000}"/>
    <cellStyle name="40% - Accent3 3 2 2 2 2" xfId="5697" xr:uid="{00000000-0005-0000-0000-0000FF030000}"/>
    <cellStyle name="40% - Accent3 3 2 2 3" xfId="4167" xr:uid="{00000000-0005-0000-0000-000000040000}"/>
    <cellStyle name="40% - Accent3 3 2 3" xfId="2615" xr:uid="{00000000-0005-0000-0000-000001040000}"/>
    <cellStyle name="40% - Accent3 3 2 3 2" xfId="5696" xr:uid="{00000000-0005-0000-0000-000002040000}"/>
    <cellStyle name="40% - Accent3 3 2 4" xfId="4166" xr:uid="{00000000-0005-0000-0000-000003040000}"/>
    <cellStyle name="40% - Accent3 3 3" xfId="164" xr:uid="{00000000-0005-0000-0000-000004040000}"/>
    <cellStyle name="40% - Accent3 3 3 2" xfId="165" xr:uid="{00000000-0005-0000-0000-000005040000}"/>
    <cellStyle name="40% - Accent3 3 3 2 2" xfId="2618" xr:uid="{00000000-0005-0000-0000-000006040000}"/>
    <cellStyle name="40% - Accent3 3 3 2 2 2" xfId="5699" xr:uid="{00000000-0005-0000-0000-000007040000}"/>
    <cellStyle name="40% - Accent3 3 3 2 3" xfId="4169" xr:uid="{00000000-0005-0000-0000-000008040000}"/>
    <cellStyle name="40% - Accent3 3 3 3" xfId="2617" xr:uid="{00000000-0005-0000-0000-000009040000}"/>
    <cellStyle name="40% - Accent3 3 3 3 2" xfId="5698" xr:uid="{00000000-0005-0000-0000-00000A040000}"/>
    <cellStyle name="40% - Accent3 3 3 4" xfId="4168" xr:uid="{00000000-0005-0000-0000-00000B040000}"/>
    <cellStyle name="40% - Accent3 3 4" xfId="166" xr:uid="{00000000-0005-0000-0000-00000C040000}"/>
    <cellStyle name="40% - Accent3 3 4 2" xfId="2619" xr:uid="{00000000-0005-0000-0000-00000D040000}"/>
    <cellStyle name="40% - Accent3 3 4 2 2" xfId="5700" xr:uid="{00000000-0005-0000-0000-00000E040000}"/>
    <cellStyle name="40% - Accent3 3 4 3" xfId="4170" xr:uid="{00000000-0005-0000-0000-00000F040000}"/>
    <cellStyle name="40% - Accent3 3 5" xfId="2614" xr:uid="{00000000-0005-0000-0000-000010040000}"/>
    <cellStyle name="40% - Accent3 3 5 2" xfId="5695" xr:uid="{00000000-0005-0000-0000-000011040000}"/>
    <cellStyle name="40% - Accent3 3 6" xfId="4165" xr:uid="{00000000-0005-0000-0000-000012040000}"/>
    <cellStyle name="40% - Accent3 4" xfId="167" xr:uid="{00000000-0005-0000-0000-000013040000}"/>
    <cellStyle name="40% - Accent3 4 2" xfId="2620" xr:uid="{00000000-0005-0000-0000-000014040000}"/>
    <cellStyle name="40% - Accent3 4 2 2" xfId="5701" xr:uid="{00000000-0005-0000-0000-000015040000}"/>
    <cellStyle name="40% - Accent3 4 3" xfId="4171" xr:uid="{00000000-0005-0000-0000-000016040000}"/>
    <cellStyle name="40% - Accent4 2" xfId="168" xr:uid="{00000000-0005-0000-0000-000017040000}"/>
    <cellStyle name="40% - Accent4 2 2" xfId="169" xr:uid="{00000000-0005-0000-0000-000018040000}"/>
    <cellStyle name="40% - Accent4 3" xfId="170" xr:uid="{00000000-0005-0000-0000-000019040000}"/>
    <cellStyle name="40% - Accent4 3 2" xfId="171" xr:uid="{00000000-0005-0000-0000-00001A040000}"/>
    <cellStyle name="40% - Accent4 3 2 2" xfId="172" xr:uid="{00000000-0005-0000-0000-00001B040000}"/>
    <cellStyle name="40% - Accent4 3 2 2 2" xfId="2623" xr:uid="{00000000-0005-0000-0000-00001C040000}"/>
    <cellStyle name="40% - Accent4 3 2 2 2 2" xfId="5704" xr:uid="{00000000-0005-0000-0000-00001D040000}"/>
    <cellStyle name="40% - Accent4 3 2 2 3" xfId="4174" xr:uid="{00000000-0005-0000-0000-00001E040000}"/>
    <cellStyle name="40% - Accent4 3 2 3" xfId="2622" xr:uid="{00000000-0005-0000-0000-00001F040000}"/>
    <cellStyle name="40% - Accent4 3 2 3 2" xfId="5703" xr:uid="{00000000-0005-0000-0000-000020040000}"/>
    <cellStyle name="40% - Accent4 3 2 4" xfId="4173" xr:uid="{00000000-0005-0000-0000-000021040000}"/>
    <cellStyle name="40% - Accent4 3 3" xfId="173" xr:uid="{00000000-0005-0000-0000-000022040000}"/>
    <cellStyle name="40% - Accent4 3 3 2" xfId="174" xr:uid="{00000000-0005-0000-0000-000023040000}"/>
    <cellStyle name="40% - Accent4 3 3 2 2" xfId="2625" xr:uid="{00000000-0005-0000-0000-000024040000}"/>
    <cellStyle name="40% - Accent4 3 3 2 2 2" xfId="5706" xr:uid="{00000000-0005-0000-0000-000025040000}"/>
    <cellStyle name="40% - Accent4 3 3 2 3" xfId="4176" xr:uid="{00000000-0005-0000-0000-000026040000}"/>
    <cellStyle name="40% - Accent4 3 3 3" xfId="2624" xr:uid="{00000000-0005-0000-0000-000027040000}"/>
    <cellStyle name="40% - Accent4 3 3 3 2" xfId="5705" xr:uid="{00000000-0005-0000-0000-000028040000}"/>
    <cellStyle name="40% - Accent4 3 3 4" xfId="4175" xr:uid="{00000000-0005-0000-0000-000029040000}"/>
    <cellStyle name="40% - Accent4 3 4" xfId="175" xr:uid="{00000000-0005-0000-0000-00002A040000}"/>
    <cellStyle name="40% - Accent4 3 4 2" xfId="2626" xr:uid="{00000000-0005-0000-0000-00002B040000}"/>
    <cellStyle name="40% - Accent4 3 4 2 2" xfId="5707" xr:uid="{00000000-0005-0000-0000-00002C040000}"/>
    <cellStyle name="40% - Accent4 3 4 3" xfId="4177" xr:uid="{00000000-0005-0000-0000-00002D040000}"/>
    <cellStyle name="40% - Accent4 3 5" xfId="2621" xr:uid="{00000000-0005-0000-0000-00002E040000}"/>
    <cellStyle name="40% - Accent4 3 5 2" xfId="5702" xr:uid="{00000000-0005-0000-0000-00002F040000}"/>
    <cellStyle name="40% - Accent4 3 6" xfId="4172" xr:uid="{00000000-0005-0000-0000-000030040000}"/>
    <cellStyle name="40% - Accent4 4" xfId="176" xr:uid="{00000000-0005-0000-0000-000031040000}"/>
    <cellStyle name="40% - Accent4 4 2" xfId="2627" xr:uid="{00000000-0005-0000-0000-000032040000}"/>
    <cellStyle name="40% - Accent4 4 2 2" xfId="5708" xr:uid="{00000000-0005-0000-0000-000033040000}"/>
    <cellStyle name="40% - Accent4 4 3" xfId="4178" xr:uid="{00000000-0005-0000-0000-000034040000}"/>
    <cellStyle name="40% - Accent5 2" xfId="177" xr:uid="{00000000-0005-0000-0000-000035040000}"/>
    <cellStyle name="40% - Accent5 2 2" xfId="178" xr:uid="{00000000-0005-0000-0000-000036040000}"/>
    <cellStyle name="40% - Accent5 3" xfId="179" xr:uid="{00000000-0005-0000-0000-000037040000}"/>
    <cellStyle name="40% - Accent5 3 2" xfId="180" xr:uid="{00000000-0005-0000-0000-000038040000}"/>
    <cellStyle name="40% - Accent5 3 2 2" xfId="181" xr:uid="{00000000-0005-0000-0000-000039040000}"/>
    <cellStyle name="40% - Accent5 3 2 2 2" xfId="2630" xr:uid="{00000000-0005-0000-0000-00003A040000}"/>
    <cellStyle name="40% - Accent5 3 2 2 2 2" xfId="5711" xr:uid="{00000000-0005-0000-0000-00003B040000}"/>
    <cellStyle name="40% - Accent5 3 2 2 3" xfId="4181" xr:uid="{00000000-0005-0000-0000-00003C040000}"/>
    <cellStyle name="40% - Accent5 3 2 3" xfId="2629" xr:uid="{00000000-0005-0000-0000-00003D040000}"/>
    <cellStyle name="40% - Accent5 3 2 3 2" xfId="5710" xr:uid="{00000000-0005-0000-0000-00003E040000}"/>
    <cellStyle name="40% - Accent5 3 2 4" xfId="4180" xr:uid="{00000000-0005-0000-0000-00003F040000}"/>
    <cellStyle name="40% - Accent5 3 3" xfId="182" xr:uid="{00000000-0005-0000-0000-000040040000}"/>
    <cellStyle name="40% - Accent5 3 3 2" xfId="183" xr:uid="{00000000-0005-0000-0000-000041040000}"/>
    <cellStyle name="40% - Accent5 3 3 2 2" xfId="2632" xr:uid="{00000000-0005-0000-0000-000042040000}"/>
    <cellStyle name="40% - Accent5 3 3 2 2 2" xfId="5713" xr:uid="{00000000-0005-0000-0000-000043040000}"/>
    <cellStyle name="40% - Accent5 3 3 2 3" xfId="4183" xr:uid="{00000000-0005-0000-0000-000044040000}"/>
    <cellStyle name="40% - Accent5 3 3 3" xfId="2631" xr:uid="{00000000-0005-0000-0000-000045040000}"/>
    <cellStyle name="40% - Accent5 3 3 3 2" xfId="5712" xr:uid="{00000000-0005-0000-0000-000046040000}"/>
    <cellStyle name="40% - Accent5 3 3 4" xfId="4182" xr:uid="{00000000-0005-0000-0000-000047040000}"/>
    <cellStyle name="40% - Accent5 3 4" xfId="184" xr:uid="{00000000-0005-0000-0000-000048040000}"/>
    <cellStyle name="40% - Accent5 3 4 2" xfId="2633" xr:uid="{00000000-0005-0000-0000-000049040000}"/>
    <cellStyle name="40% - Accent5 3 4 2 2" xfId="5714" xr:uid="{00000000-0005-0000-0000-00004A040000}"/>
    <cellStyle name="40% - Accent5 3 4 3" xfId="4184" xr:uid="{00000000-0005-0000-0000-00004B040000}"/>
    <cellStyle name="40% - Accent5 3 5" xfId="2628" xr:uid="{00000000-0005-0000-0000-00004C040000}"/>
    <cellStyle name="40% - Accent5 3 5 2" xfId="5709" xr:uid="{00000000-0005-0000-0000-00004D040000}"/>
    <cellStyle name="40% - Accent5 3 6" xfId="4179" xr:uid="{00000000-0005-0000-0000-00004E040000}"/>
    <cellStyle name="40% - Accent5 4" xfId="185" xr:uid="{00000000-0005-0000-0000-00004F040000}"/>
    <cellStyle name="40% - Accent5 4 2" xfId="2634" xr:uid="{00000000-0005-0000-0000-000050040000}"/>
    <cellStyle name="40% - Accent5 4 2 2" xfId="5715" xr:uid="{00000000-0005-0000-0000-000051040000}"/>
    <cellStyle name="40% - Accent5 4 3" xfId="4185" xr:uid="{00000000-0005-0000-0000-000052040000}"/>
    <cellStyle name="40% - Accent6 2" xfId="186" xr:uid="{00000000-0005-0000-0000-000053040000}"/>
    <cellStyle name="40% - Accent6 2 2" xfId="187" xr:uid="{00000000-0005-0000-0000-000054040000}"/>
    <cellStyle name="40% - Accent6 3" xfId="188" xr:uid="{00000000-0005-0000-0000-000055040000}"/>
    <cellStyle name="40% - Accent6 3 2" xfId="189" xr:uid="{00000000-0005-0000-0000-000056040000}"/>
    <cellStyle name="40% - Accent6 3 2 2" xfId="190" xr:uid="{00000000-0005-0000-0000-000057040000}"/>
    <cellStyle name="40% - Accent6 3 2 2 2" xfId="2637" xr:uid="{00000000-0005-0000-0000-000058040000}"/>
    <cellStyle name="40% - Accent6 3 2 2 2 2" xfId="5718" xr:uid="{00000000-0005-0000-0000-000059040000}"/>
    <cellStyle name="40% - Accent6 3 2 2 3" xfId="4188" xr:uid="{00000000-0005-0000-0000-00005A040000}"/>
    <cellStyle name="40% - Accent6 3 2 3" xfId="2636" xr:uid="{00000000-0005-0000-0000-00005B040000}"/>
    <cellStyle name="40% - Accent6 3 2 3 2" xfId="5717" xr:uid="{00000000-0005-0000-0000-00005C040000}"/>
    <cellStyle name="40% - Accent6 3 2 4" xfId="4187" xr:uid="{00000000-0005-0000-0000-00005D040000}"/>
    <cellStyle name="40% - Accent6 3 3" xfId="191" xr:uid="{00000000-0005-0000-0000-00005E040000}"/>
    <cellStyle name="40% - Accent6 3 3 2" xfId="192" xr:uid="{00000000-0005-0000-0000-00005F040000}"/>
    <cellStyle name="40% - Accent6 3 3 2 2" xfId="2639" xr:uid="{00000000-0005-0000-0000-000060040000}"/>
    <cellStyle name="40% - Accent6 3 3 2 2 2" xfId="5720" xr:uid="{00000000-0005-0000-0000-000061040000}"/>
    <cellStyle name="40% - Accent6 3 3 2 3" xfId="4190" xr:uid="{00000000-0005-0000-0000-000062040000}"/>
    <cellStyle name="40% - Accent6 3 3 3" xfId="2638" xr:uid="{00000000-0005-0000-0000-000063040000}"/>
    <cellStyle name="40% - Accent6 3 3 3 2" xfId="5719" xr:uid="{00000000-0005-0000-0000-000064040000}"/>
    <cellStyle name="40% - Accent6 3 3 4" xfId="4189" xr:uid="{00000000-0005-0000-0000-000065040000}"/>
    <cellStyle name="40% - Accent6 3 4" xfId="193" xr:uid="{00000000-0005-0000-0000-000066040000}"/>
    <cellStyle name="40% - Accent6 3 4 2" xfId="2640" xr:uid="{00000000-0005-0000-0000-000067040000}"/>
    <cellStyle name="40% - Accent6 3 4 2 2" xfId="5721" xr:uid="{00000000-0005-0000-0000-000068040000}"/>
    <cellStyle name="40% - Accent6 3 4 3" xfId="4191" xr:uid="{00000000-0005-0000-0000-000069040000}"/>
    <cellStyle name="40% - Accent6 3 5" xfId="2635" xr:uid="{00000000-0005-0000-0000-00006A040000}"/>
    <cellStyle name="40% - Accent6 3 5 2" xfId="5716" xr:uid="{00000000-0005-0000-0000-00006B040000}"/>
    <cellStyle name="40% - Accent6 3 6" xfId="4186" xr:uid="{00000000-0005-0000-0000-00006C040000}"/>
    <cellStyle name="40% - Accent6 4" xfId="194" xr:uid="{00000000-0005-0000-0000-00006D040000}"/>
    <cellStyle name="40% - Accent6 4 2" xfId="2641" xr:uid="{00000000-0005-0000-0000-00006E040000}"/>
    <cellStyle name="40% - Accent6 4 2 2" xfId="5722" xr:uid="{00000000-0005-0000-0000-00006F040000}"/>
    <cellStyle name="40% - Accent6 4 3" xfId="4192" xr:uid="{00000000-0005-0000-0000-000070040000}"/>
    <cellStyle name="60% - Accent1 2" xfId="195" xr:uid="{00000000-0005-0000-0000-000071040000}"/>
    <cellStyle name="60% - Accent1 2 2" xfId="196" xr:uid="{00000000-0005-0000-0000-000072040000}"/>
    <cellStyle name="60% - Accent1 3" xfId="197" xr:uid="{00000000-0005-0000-0000-000073040000}"/>
    <cellStyle name="60% - Accent1 3 2" xfId="198" xr:uid="{00000000-0005-0000-0000-000074040000}"/>
    <cellStyle name="60% - Accent2 2" xfId="199" xr:uid="{00000000-0005-0000-0000-000075040000}"/>
    <cellStyle name="60% - Accent2 2 2" xfId="200" xr:uid="{00000000-0005-0000-0000-000076040000}"/>
    <cellStyle name="60% - Accent2 3" xfId="201" xr:uid="{00000000-0005-0000-0000-000077040000}"/>
    <cellStyle name="60% - Accent2 3 2" xfId="202" xr:uid="{00000000-0005-0000-0000-000078040000}"/>
    <cellStyle name="60% - Accent3 2" xfId="203" xr:uid="{00000000-0005-0000-0000-000079040000}"/>
    <cellStyle name="60% - Accent3 2 2" xfId="204" xr:uid="{00000000-0005-0000-0000-00007A040000}"/>
    <cellStyle name="60% - Accent3 3" xfId="205" xr:uid="{00000000-0005-0000-0000-00007B040000}"/>
    <cellStyle name="60% - Accent3 3 2" xfId="206" xr:uid="{00000000-0005-0000-0000-00007C040000}"/>
    <cellStyle name="60% - Accent4 2" xfId="207" xr:uid="{00000000-0005-0000-0000-00007D040000}"/>
    <cellStyle name="60% - Accent4 2 2" xfId="208" xr:uid="{00000000-0005-0000-0000-00007E040000}"/>
    <cellStyle name="60% - Accent4 3" xfId="209" xr:uid="{00000000-0005-0000-0000-00007F040000}"/>
    <cellStyle name="60% - Accent4 3 2" xfId="210" xr:uid="{00000000-0005-0000-0000-000080040000}"/>
    <cellStyle name="60% - Accent5 2" xfId="211" xr:uid="{00000000-0005-0000-0000-000081040000}"/>
    <cellStyle name="60% - Accent5 2 2" xfId="212" xr:uid="{00000000-0005-0000-0000-000082040000}"/>
    <cellStyle name="60% - Accent5 3" xfId="213" xr:uid="{00000000-0005-0000-0000-000083040000}"/>
    <cellStyle name="60% - Accent5 3 2" xfId="214" xr:uid="{00000000-0005-0000-0000-000084040000}"/>
    <cellStyle name="60% - Accent6 2" xfId="215" xr:uid="{00000000-0005-0000-0000-000085040000}"/>
    <cellStyle name="60% - Accent6 2 2" xfId="216" xr:uid="{00000000-0005-0000-0000-000086040000}"/>
    <cellStyle name="60% - Accent6 3" xfId="217" xr:uid="{00000000-0005-0000-0000-000087040000}"/>
    <cellStyle name="60% - Accent6 3 2" xfId="218" xr:uid="{00000000-0005-0000-0000-000088040000}"/>
    <cellStyle name="6_x0019_¾I?À@%¡h¼ï©À@Ã´üµ¥Þ¾@_x0008_Uy_x0012_ÕÁ@·\È?+Á@Íòw#…»ô@_x000a_MS51500050" xfId="7865" xr:uid="{00000000-0005-0000-0000-000089040000}"/>
    <cellStyle name="6_x0019_¾I?À@%¡h¼ï©À@Ã´üµ¥Þ¾@_x0008_Uy_x0012_ÕÁ@·\È?+Á@Íòw#…»ô@_x000a_MS51500050 2" xfId="7866" xr:uid="{00000000-0005-0000-0000-00008A040000}"/>
    <cellStyle name="6_x0019_¾I?À@%¡h¼ï©À@Ã´üµ¥Þ¾@_x0008_Uy_x0012_ÕÁ@·\È?+Á@Íòw#…»ô@_x000a_MS51500050 3" xfId="7867" xr:uid="{00000000-0005-0000-0000-00008B040000}"/>
    <cellStyle name="6_x0019_¾I?À@%¡h¼ï©À@Ã´üµ¥Þ¾@_x0008_Uy_x0012_ÕÁ@·\È?+Á@Íòw#…»ô@_x000a_MS51500050 4" xfId="7868" xr:uid="{00000000-0005-0000-0000-00008C040000}"/>
    <cellStyle name="6mal" xfId="7869" xr:uid="{00000000-0005-0000-0000-00008D040000}"/>
    <cellStyle name="6mal 2" xfId="7870" xr:uid="{00000000-0005-0000-0000-00008E040000}"/>
    <cellStyle name="6mal 3" xfId="7871" xr:uid="{00000000-0005-0000-0000-00008F040000}"/>
    <cellStyle name="6mal 4" xfId="7872" xr:uid="{00000000-0005-0000-0000-000090040000}"/>
    <cellStyle name="752131" xfId="7873" xr:uid="{00000000-0005-0000-0000-000091040000}"/>
    <cellStyle name="ac" xfId="7874" xr:uid="{00000000-0005-0000-0000-000092040000}"/>
    <cellStyle name="ac 2" xfId="7875" xr:uid="{00000000-0005-0000-0000-000093040000}"/>
    <cellStyle name="ac 3" xfId="7876" xr:uid="{00000000-0005-0000-0000-000094040000}"/>
    <cellStyle name="ac 4" xfId="7877" xr:uid="{00000000-0005-0000-0000-000095040000}"/>
    <cellStyle name="Accent1 2" xfId="219" xr:uid="{00000000-0005-0000-0000-000096040000}"/>
    <cellStyle name="Accent1 2 2" xfId="220" xr:uid="{00000000-0005-0000-0000-000097040000}"/>
    <cellStyle name="Accent1 3" xfId="221" xr:uid="{00000000-0005-0000-0000-000098040000}"/>
    <cellStyle name="Accent1 3 2" xfId="222" xr:uid="{00000000-0005-0000-0000-000099040000}"/>
    <cellStyle name="Accent2 2" xfId="223" xr:uid="{00000000-0005-0000-0000-00009A040000}"/>
    <cellStyle name="Accent2 2 2" xfId="224" xr:uid="{00000000-0005-0000-0000-00009B040000}"/>
    <cellStyle name="Accent2 3" xfId="225" xr:uid="{00000000-0005-0000-0000-00009C040000}"/>
    <cellStyle name="Accent2 3 2" xfId="226" xr:uid="{00000000-0005-0000-0000-00009D040000}"/>
    <cellStyle name="Accent3 2" xfId="227" xr:uid="{00000000-0005-0000-0000-00009E040000}"/>
    <cellStyle name="Accent3 2 2" xfId="228" xr:uid="{00000000-0005-0000-0000-00009F040000}"/>
    <cellStyle name="Accent3 3" xfId="229" xr:uid="{00000000-0005-0000-0000-0000A0040000}"/>
    <cellStyle name="Accent3 3 2" xfId="230" xr:uid="{00000000-0005-0000-0000-0000A1040000}"/>
    <cellStyle name="Accent4 2" xfId="231" xr:uid="{00000000-0005-0000-0000-0000A2040000}"/>
    <cellStyle name="Accent4 2 2" xfId="232" xr:uid="{00000000-0005-0000-0000-0000A3040000}"/>
    <cellStyle name="Accent4 3" xfId="233" xr:uid="{00000000-0005-0000-0000-0000A4040000}"/>
    <cellStyle name="Accent4 3 2" xfId="234" xr:uid="{00000000-0005-0000-0000-0000A5040000}"/>
    <cellStyle name="Accent5 2" xfId="235" xr:uid="{00000000-0005-0000-0000-0000A6040000}"/>
    <cellStyle name="Accent5 2 2" xfId="236" xr:uid="{00000000-0005-0000-0000-0000A7040000}"/>
    <cellStyle name="Accent5 3" xfId="237" xr:uid="{00000000-0005-0000-0000-0000A8040000}"/>
    <cellStyle name="Accent5 3 2" xfId="238" xr:uid="{00000000-0005-0000-0000-0000A9040000}"/>
    <cellStyle name="Accent6 2" xfId="239" xr:uid="{00000000-0005-0000-0000-0000AA040000}"/>
    <cellStyle name="Accent6 2 2" xfId="240" xr:uid="{00000000-0005-0000-0000-0000AB040000}"/>
    <cellStyle name="Accent6 3" xfId="241" xr:uid="{00000000-0005-0000-0000-0000AC040000}"/>
    <cellStyle name="Accent6 3 2" xfId="242" xr:uid="{00000000-0005-0000-0000-0000AD040000}"/>
    <cellStyle name="active" xfId="7878" xr:uid="{00000000-0005-0000-0000-0000AE040000}"/>
    <cellStyle name="active 2" xfId="7879" xr:uid="{00000000-0005-0000-0000-0000AF040000}"/>
    <cellStyle name="active 3" xfId="7880" xr:uid="{00000000-0005-0000-0000-0000B0040000}"/>
    <cellStyle name="active 4" xfId="7881" xr:uid="{00000000-0005-0000-0000-0000B1040000}"/>
    <cellStyle name="Activos" xfId="7882" xr:uid="{00000000-0005-0000-0000-0000B2040000}"/>
    <cellStyle name="Activos 2" xfId="7883" xr:uid="{00000000-0005-0000-0000-0000B3040000}"/>
    <cellStyle name="Activos 3" xfId="7884" xr:uid="{00000000-0005-0000-0000-0000B4040000}"/>
    <cellStyle name="Activos 4" xfId="7885" xr:uid="{00000000-0005-0000-0000-0000B5040000}"/>
    <cellStyle name="Adjustable" xfId="7886" xr:uid="{00000000-0005-0000-0000-0000B6040000}"/>
    <cellStyle name="ÅëÈ­ [0]_¿µ¹®Á¶Á÷µµ" xfId="7887" xr:uid="{00000000-0005-0000-0000-0000B7040000}"/>
    <cellStyle name="ÅëÈ­_¿µ¹®Á¶Á÷µµ" xfId="7888" xr:uid="{00000000-0005-0000-0000-0000B8040000}"/>
    <cellStyle name="AFE" xfId="243" xr:uid="{00000000-0005-0000-0000-0000B9040000}"/>
    <cellStyle name="AFE 10" xfId="244" xr:uid="{00000000-0005-0000-0000-0000BA040000}"/>
    <cellStyle name="AFE 11" xfId="245" xr:uid="{00000000-0005-0000-0000-0000BB040000}"/>
    <cellStyle name="AFE 12" xfId="246" xr:uid="{00000000-0005-0000-0000-0000BC040000}"/>
    <cellStyle name="AFE 13" xfId="247" xr:uid="{00000000-0005-0000-0000-0000BD040000}"/>
    <cellStyle name="AFE 14" xfId="248" xr:uid="{00000000-0005-0000-0000-0000BE040000}"/>
    <cellStyle name="AFE 15" xfId="249" xr:uid="{00000000-0005-0000-0000-0000BF040000}"/>
    <cellStyle name="AFE 16" xfId="250" xr:uid="{00000000-0005-0000-0000-0000C0040000}"/>
    <cellStyle name="AFE 17" xfId="251" xr:uid="{00000000-0005-0000-0000-0000C1040000}"/>
    <cellStyle name="AFE 18" xfId="252" xr:uid="{00000000-0005-0000-0000-0000C2040000}"/>
    <cellStyle name="AFE 19" xfId="253" xr:uid="{00000000-0005-0000-0000-0000C3040000}"/>
    <cellStyle name="AFE 2" xfId="254" xr:uid="{00000000-0005-0000-0000-0000C4040000}"/>
    <cellStyle name="AFE 2 2" xfId="7889" xr:uid="{00000000-0005-0000-0000-0000C5040000}"/>
    <cellStyle name="AFE 2 3" xfId="7890" xr:uid="{00000000-0005-0000-0000-0000C6040000}"/>
    <cellStyle name="AFE 2 4" xfId="7891" xr:uid="{00000000-0005-0000-0000-0000C7040000}"/>
    <cellStyle name="AFE 2 5" xfId="7892" xr:uid="{00000000-0005-0000-0000-0000C8040000}"/>
    <cellStyle name="AFE 2 6" xfId="7893" xr:uid="{00000000-0005-0000-0000-0000C9040000}"/>
    <cellStyle name="AFE 2 7" xfId="7894" xr:uid="{00000000-0005-0000-0000-0000CA040000}"/>
    <cellStyle name="AFE 20" xfId="255" xr:uid="{00000000-0005-0000-0000-0000CB040000}"/>
    <cellStyle name="AFE 21" xfId="256" xr:uid="{00000000-0005-0000-0000-0000CC040000}"/>
    <cellStyle name="AFE 22" xfId="257" xr:uid="{00000000-0005-0000-0000-0000CD040000}"/>
    <cellStyle name="AFE 23" xfId="258" xr:uid="{00000000-0005-0000-0000-0000CE040000}"/>
    <cellStyle name="AFE 24" xfId="259" xr:uid="{00000000-0005-0000-0000-0000CF040000}"/>
    <cellStyle name="AFE 25" xfId="260" xr:uid="{00000000-0005-0000-0000-0000D0040000}"/>
    <cellStyle name="AFE 26" xfId="261" xr:uid="{00000000-0005-0000-0000-0000D1040000}"/>
    <cellStyle name="AFE 27" xfId="262" xr:uid="{00000000-0005-0000-0000-0000D2040000}"/>
    <cellStyle name="AFE 28" xfId="263" xr:uid="{00000000-0005-0000-0000-0000D3040000}"/>
    <cellStyle name="AFE 29" xfId="264" xr:uid="{00000000-0005-0000-0000-0000D4040000}"/>
    <cellStyle name="AFE 3" xfId="265" xr:uid="{00000000-0005-0000-0000-0000D5040000}"/>
    <cellStyle name="AFE 3 2" xfId="7895" xr:uid="{00000000-0005-0000-0000-0000D6040000}"/>
    <cellStyle name="AFE 3 3" xfId="7896" xr:uid="{00000000-0005-0000-0000-0000D7040000}"/>
    <cellStyle name="AFE 3 4" xfId="7897" xr:uid="{00000000-0005-0000-0000-0000D8040000}"/>
    <cellStyle name="AFE 3 5" xfId="7898" xr:uid="{00000000-0005-0000-0000-0000D9040000}"/>
    <cellStyle name="AFE 3 6" xfId="7899" xr:uid="{00000000-0005-0000-0000-0000DA040000}"/>
    <cellStyle name="AFE 30" xfId="266" xr:uid="{00000000-0005-0000-0000-0000DB040000}"/>
    <cellStyle name="AFE 31" xfId="267" xr:uid="{00000000-0005-0000-0000-0000DC040000}"/>
    <cellStyle name="AFE 32" xfId="268" xr:uid="{00000000-0005-0000-0000-0000DD040000}"/>
    <cellStyle name="AFE 33" xfId="269" xr:uid="{00000000-0005-0000-0000-0000DE040000}"/>
    <cellStyle name="AFE 34" xfId="270" xr:uid="{00000000-0005-0000-0000-0000DF040000}"/>
    <cellStyle name="AFE 35" xfId="271" xr:uid="{00000000-0005-0000-0000-0000E0040000}"/>
    <cellStyle name="AFE 36" xfId="272" xr:uid="{00000000-0005-0000-0000-0000E1040000}"/>
    <cellStyle name="AFE 37" xfId="273" xr:uid="{00000000-0005-0000-0000-0000E2040000}"/>
    <cellStyle name="AFE 38" xfId="274" xr:uid="{00000000-0005-0000-0000-0000E3040000}"/>
    <cellStyle name="AFE 39" xfId="275" xr:uid="{00000000-0005-0000-0000-0000E4040000}"/>
    <cellStyle name="AFE 4" xfId="276" xr:uid="{00000000-0005-0000-0000-0000E5040000}"/>
    <cellStyle name="AFE 4 2" xfId="7900" xr:uid="{00000000-0005-0000-0000-0000E6040000}"/>
    <cellStyle name="AFE 4 3" xfId="7901" xr:uid="{00000000-0005-0000-0000-0000E7040000}"/>
    <cellStyle name="AFE 4 4" xfId="7902" xr:uid="{00000000-0005-0000-0000-0000E8040000}"/>
    <cellStyle name="AFE 40" xfId="277" xr:uid="{00000000-0005-0000-0000-0000E9040000}"/>
    <cellStyle name="AFE 41" xfId="278" xr:uid="{00000000-0005-0000-0000-0000EA040000}"/>
    <cellStyle name="AFE 42" xfId="279" xr:uid="{00000000-0005-0000-0000-0000EB040000}"/>
    <cellStyle name="AFE 43" xfId="280" xr:uid="{00000000-0005-0000-0000-0000EC040000}"/>
    <cellStyle name="AFE 44" xfId="7903" xr:uid="{00000000-0005-0000-0000-0000ED040000}"/>
    <cellStyle name="AFE 5" xfId="281" xr:uid="{00000000-0005-0000-0000-0000EE040000}"/>
    <cellStyle name="AFE 5 2" xfId="7904" xr:uid="{00000000-0005-0000-0000-0000EF040000}"/>
    <cellStyle name="AFE 5 3" xfId="7905" xr:uid="{00000000-0005-0000-0000-0000F0040000}"/>
    <cellStyle name="AFE 5 4" xfId="7906" xr:uid="{00000000-0005-0000-0000-0000F1040000}"/>
    <cellStyle name="AFE 6" xfId="282" xr:uid="{00000000-0005-0000-0000-0000F2040000}"/>
    <cellStyle name="AFE 7" xfId="283" xr:uid="{00000000-0005-0000-0000-0000F3040000}"/>
    <cellStyle name="AFE 8" xfId="284" xr:uid="{00000000-0005-0000-0000-0000F4040000}"/>
    <cellStyle name="AFE 9" xfId="285" xr:uid="{00000000-0005-0000-0000-0000F5040000}"/>
    <cellStyle name="apag" xfId="7907" xr:uid="{00000000-0005-0000-0000-0000F6040000}"/>
    <cellStyle name="args.style" xfId="7908" xr:uid="{00000000-0005-0000-0000-0000F7040000}"/>
    <cellStyle name="args.style 2" xfId="7909" xr:uid="{00000000-0005-0000-0000-0000F8040000}"/>
    <cellStyle name="args.style 3" xfId="7910" xr:uid="{00000000-0005-0000-0000-0000F9040000}"/>
    <cellStyle name="args.style 4" xfId="7911" xr:uid="{00000000-0005-0000-0000-0000FA040000}"/>
    <cellStyle name="arial12" xfId="7912" xr:uid="{00000000-0005-0000-0000-0000FB040000}"/>
    <cellStyle name="arial14" xfId="7913" xr:uid="{00000000-0005-0000-0000-0000FC040000}"/>
    <cellStyle name="assumption 1" xfId="7914" xr:uid="{00000000-0005-0000-0000-0000FD040000}"/>
    <cellStyle name="assumption 2" xfId="7915" xr:uid="{00000000-0005-0000-0000-0000FE040000}"/>
    <cellStyle name="assumption 4" xfId="7916" xr:uid="{00000000-0005-0000-0000-0000FF040000}"/>
    <cellStyle name="Assumption Date" xfId="7917" xr:uid="{00000000-0005-0000-0000-000000050000}"/>
    <cellStyle name="ÄÞ¸¶ [0]_±âÅ¸" xfId="7918" xr:uid="{00000000-0005-0000-0000-000001050000}"/>
    <cellStyle name="ÄÞ¸¶_±âÅ¸" xfId="7919" xr:uid="{00000000-0005-0000-0000-000002050000}"/>
    <cellStyle name="Availability" xfId="7920" xr:uid="{00000000-0005-0000-0000-000003050000}"/>
    <cellStyle name="AXAPTA_Bold" xfId="7921" xr:uid="{00000000-0005-0000-0000-000004050000}"/>
    <cellStyle name="b" xfId="7922" xr:uid="{00000000-0005-0000-0000-000005050000}"/>
    <cellStyle name="Background" xfId="7923" xr:uid="{00000000-0005-0000-0000-000006050000}"/>
    <cellStyle name="Background 2" xfId="7924" xr:uid="{00000000-0005-0000-0000-000007050000}"/>
    <cellStyle name="Bad 2" xfId="286" xr:uid="{00000000-0005-0000-0000-000008050000}"/>
    <cellStyle name="Bad 2 2" xfId="287" xr:uid="{00000000-0005-0000-0000-000009050000}"/>
    <cellStyle name="Bad 3" xfId="288" xr:uid="{00000000-0005-0000-0000-00000A050000}"/>
    <cellStyle name="Bad 3 2" xfId="289" xr:uid="{00000000-0005-0000-0000-00000B050000}"/>
    <cellStyle name="Bad 4" xfId="7925" xr:uid="{00000000-0005-0000-0000-00000C050000}"/>
    <cellStyle name="Band 2" xfId="7926" xr:uid="{00000000-0005-0000-0000-00000D050000}"/>
    <cellStyle name="Besuchter Hyperlink" xfId="7927" xr:uid="{00000000-0005-0000-0000-00000E050000}"/>
    <cellStyle name="Besuchter Hyperlink 2" xfId="7928" xr:uid="{00000000-0005-0000-0000-00000F050000}"/>
    <cellStyle name="Besuchter Hyperlink 3" xfId="7929" xr:uid="{00000000-0005-0000-0000-000010050000}"/>
    <cellStyle name="Besuchter Hyperlink 4" xfId="7930" xr:uid="{00000000-0005-0000-0000-000011050000}"/>
    <cellStyle name="Blank" xfId="7931" xr:uid="{00000000-0005-0000-0000-000012050000}"/>
    <cellStyle name="block" xfId="7932" xr:uid="{00000000-0005-0000-0000-000013050000}"/>
    <cellStyle name="block 2" xfId="7933" xr:uid="{00000000-0005-0000-0000-000014050000}"/>
    <cellStyle name="block 3" xfId="7934" xr:uid="{00000000-0005-0000-0000-000015050000}"/>
    <cellStyle name="block 4" xfId="7935" xr:uid="{00000000-0005-0000-0000-000016050000}"/>
    <cellStyle name="blocked" xfId="7936" xr:uid="{00000000-0005-0000-0000-000017050000}"/>
    <cellStyle name="Blue" xfId="7937" xr:uid="{00000000-0005-0000-0000-000018050000}"/>
    <cellStyle name="Blue inputs" xfId="7938" xr:uid="{00000000-0005-0000-0000-000019050000}"/>
    <cellStyle name="blue_Project Majestic - Model v10(3)" xfId="7939" xr:uid="{00000000-0005-0000-0000-00001A050000}"/>
    <cellStyle name="BM Label" xfId="7940" xr:uid="{00000000-0005-0000-0000-00001B050000}"/>
    <cellStyle name="Body" xfId="7941" xr:uid="{00000000-0005-0000-0000-00001C050000}"/>
    <cellStyle name="Body 2" xfId="7942" xr:uid="{00000000-0005-0000-0000-00001D050000}"/>
    <cellStyle name="Body 3" xfId="7943" xr:uid="{00000000-0005-0000-0000-00001E050000}"/>
    <cellStyle name="Body 4" xfId="7944" xr:uid="{00000000-0005-0000-0000-00001F050000}"/>
    <cellStyle name="Bold" xfId="7945" xr:uid="{00000000-0005-0000-0000-000020050000}"/>
    <cellStyle name="Bold 11" xfId="7946" xr:uid="{00000000-0005-0000-0000-000021050000}"/>
    <cellStyle name="Bold/Border" xfId="7947" xr:uid="{00000000-0005-0000-0000-000022050000}"/>
    <cellStyle name="Bold-U" xfId="7948" xr:uid="{00000000-0005-0000-0000-000023050000}"/>
    <cellStyle name="BoxHeading" xfId="7949" xr:uid="{00000000-0005-0000-0000-000024050000}"/>
    <cellStyle name="Brand Default" xfId="7950" xr:uid="{00000000-0005-0000-0000-000025050000}"/>
    <cellStyle name="Brand Source" xfId="7951" xr:uid="{00000000-0005-0000-0000-000026050000}"/>
    <cellStyle name="Bullet" xfId="7952" xr:uid="{00000000-0005-0000-0000-000027050000}"/>
    <cellStyle name="Ç¥ÁØ_¿ù°£¿ä¾àº¸°í" xfId="7953" xr:uid="{00000000-0005-0000-0000-000028050000}"/>
    <cellStyle name="Cabecera 1" xfId="7954" xr:uid="{00000000-0005-0000-0000-000029050000}"/>
    <cellStyle name="Cabecera 1 2" xfId="7955" xr:uid="{00000000-0005-0000-0000-00002A050000}"/>
    <cellStyle name="Cabecera 1 3" xfId="7956" xr:uid="{00000000-0005-0000-0000-00002B050000}"/>
    <cellStyle name="Cabecera 1 4" xfId="7957" xr:uid="{00000000-0005-0000-0000-00002C050000}"/>
    <cellStyle name="Cabecera 2" xfId="7958" xr:uid="{00000000-0005-0000-0000-00002D050000}"/>
    <cellStyle name="Cabecera 2 2" xfId="7959" xr:uid="{00000000-0005-0000-0000-00002E050000}"/>
    <cellStyle name="Cabecera 2 3" xfId="7960" xr:uid="{00000000-0005-0000-0000-00002F050000}"/>
    <cellStyle name="Cabecera 2 4" xfId="7961" xr:uid="{00000000-0005-0000-0000-000030050000}"/>
    <cellStyle name="Calc Currency (0)" xfId="7962" xr:uid="{00000000-0005-0000-0000-000031050000}"/>
    <cellStyle name="Calc Currency (0) 2" xfId="7963" xr:uid="{00000000-0005-0000-0000-000032050000}"/>
    <cellStyle name="Calc Currency (0) 3" xfId="7964" xr:uid="{00000000-0005-0000-0000-000033050000}"/>
    <cellStyle name="Calc Currency (2)" xfId="7965" xr:uid="{00000000-0005-0000-0000-000034050000}"/>
    <cellStyle name="Calc Percent (0)" xfId="7966" xr:uid="{00000000-0005-0000-0000-000035050000}"/>
    <cellStyle name="Calc Percent (1)" xfId="7967" xr:uid="{00000000-0005-0000-0000-000036050000}"/>
    <cellStyle name="Calc Percent (2)" xfId="7968" xr:uid="{00000000-0005-0000-0000-000037050000}"/>
    <cellStyle name="Calc Units (0)" xfId="7969" xr:uid="{00000000-0005-0000-0000-000038050000}"/>
    <cellStyle name="Calc Units (1)" xfId="7970" xr:uid="{00000000-0005-0000-0000-000039050000}"/>
    <cellStyle name="Calc Units (2)" xfId="7971" xr:uid="{00000000-0005-0000-0000-00003A050000}"/>
    <cellStyle name="Calc_%" xfId="7972" xr:uid="{00000000-0005-0000-0000-00003B050000}"/>
    <cellStyle name="Calculation 2" xfId="290" xr:uid="{00000000-0005-0000-0000-00003C050000}"/>
    <cellStyle name="Calculation 2 2" xfId="291" xr:uid="{00000000-0005-0000-0000-00003D050000}"/>
    <cellStyle name="Calculation 2 2 2" xfId="7973" xr:uid="{00000000-0005-0000-0000-00003E050000}"/>
    <cellStyle name="Calculation 2 2 3" xfId="7974" xr:uid="{00000000-0005-0000-0000-00003F050000}"/>
    <cellStyle name="Calculation 2 3" xfId="292" xr:uid="{00000000-0005-0000-0000-000040050000}"/>
    <cellStyle name="Calculation 2 3 2" xfId="7975" xr:uid="{00000000-0005-0000-0000-000041050000}"/>
    <cellStyle name="Calculation 2 3 3" xfId="7976" xr:uid="{00000000-0005-0000-0000-000042050000}"/>
    <cellStyle name="Calculation 2 4" xfId="7977" xr:uid="{00000000-0005-0000-0000-000043050000}"/>
    <cellStyle name="Calculation 2 5" xfId="7978" xr:uid="{00000000-0005-0000-0000-000044050000}"/>
    <cellStyle name="Calculation 3" xfId="293" xr:uid="{00000000-0005-0000-0000-000045050000}"/>
    <cellStyle name="Calculation 3 2" xfId="294" xr:uid="{00000000-0005-0000-0000-000046050000}"/>
    <cellStyle name="Calculation 3 2 2" xfId="7979" xr:uid="{00000000-0005-0000-0000-000047050000}"/>
    <cellStyle name="Calculation 3 2 3" xfId="7980" xr:uid="{00000000-0005-0000-0000-000048050000}"/>
    <cellStyle name="Calculation 3 2 4" xfId="7981" xr:uid="{00000000-0005-0000-0000-000049050000}"/>
    <cellStyle name="Calculation 3 2 5" xfId="7982" xr:uid="{00000000-0005-0000-0000-00004A050000}"/>
    <cellStyle name="Calculation 3 2 6" xfId="7983" xr:uid="{00000000-0005-0000-0000-00004B050000}"/>
    <cellStyle name="Calculation 3 3" xfId="7984" xr:uid="{00000000-0005-0000-0000-00004C050000}"/>
    <cellStyle name="Calculation 3 4" xfId="7985" xr:uid="{00000000-0005-0000-0000-00004D050000}"/>
    <cellStyle name="Calculation 3 5" xfId="7986" xr:uid="{00000000-0005-0000-0000-00004E050000}"/>
    <cellStyle name="Calculation 3 6" xfId="7987" xr:uid="{00000000-0005-0000-0000-00004F050000}"/>
    <cellStyle name="Calculation 3 7" xfId="7988" xr:uid="{00000000-0005-0000-0000-000050050000}"/>
    <cellStyle name="Calculation 4" xfId="7989" xr:uid="{00000000-0005-0000-0000-000051050000}"/>
    <cellStyle name="Calculation 4 2" xfId="7990" xr:uid="{00000000-0005-0000-0000-000052050000}"/>
    <cellStyle name="Calculation 4 2 2" xfId="7991" xr:uid="{00000000-0005-0000-0000-000053050000}"/>
    <cellStyle name="Calculation 4 2 3" xfId="7992" xr:uid="{00000000-0005-0000-0000-000054050000}"/>
    <cellStyle name="Calculation 4 2 4" xfId="7993" xr:uid="{00000000-0005-0000-0000-000055050000}"/>
    <cellStyle name="Calculation 4 2 5" xfId="7994" xr:uid="{00000000-0005-0000-0000-000056050000}"/>
    <cellStyle name="Calculation 4 2 6" xfId="7995" xr:uid="{00000000-0005-0000-0000-000057050000}"/>
    <cellStyle name="Calculation 4 3" xfId="7996" xr:uid="{00000000-0005-0000-0000-000058050000}"/>
    <cellStyle name="Calculation 4 4" xfId="7997" xr:uid="{00000000-0005-0000-0000-000059050000}"/>
    <cellStyle name="Calculation 4 5" xfId="7998" xr:uid="{00000000-0005-0000-0000-00005A050000}"/>
    <cellStyle name="Calculation 4 6" xfId="7999" xr:uid="{00000000-0005-0000-0000-00005B050000}"/>
    <cellStyle name="Calculation 4 7" xfId="8000" xr:uid="{00000000-0005-0000-0000-00005C050000}"/>
    <cellStyle name="Calculation 5" xfId="8001" xr:uid="{00000000-0005-0000-0000-00005D050000}"/>
    <cellStyle name="Calculation 5 2" xfId="8002" xr:uid="{00000000-0005-0000-0000-00005E050000}"/>
    <cellStyle name="Calculation 5 2 2" xfId="8003" xr:uid="{00000000-0005-0000-0000-00005F050000}"/>
    <cellStyle name="Calculation 5 2 3" xfId="8004" xr:uid="{00000000-0005-0000-0000-000060050000}"/>
    <cellStyle name="Calculation 5 2 4" xfId="8005" xr:uid="{00000000-0005-0000-0000-000061050000}"/>
    <cellStyle name="Calculation 5 2 5" xfId="8006" xr:uid="{00000000-0005-0000-0000-000062050000}"/>
    <cellStyle name="Calculation 5 2 6" xfId="8007" xr:uid="{00000000-0005-0000-0000-000063050000}"/>
    <cellStyle name="Calculation 5 3" xfId="8008" xr:uid="{00000000-0005-0000-0000-000064050000}"/>
    <cellStyle name="Calculation 5 4" xfId="8009" xr:uid="{00000000-0005-0000-0000-000065050000}"/>
    <cellStyle name="Calculation 5 5" xfId="8010" xr:uid="{00000000-0005-0000-0000-000066050000}"/>
    <cellStyle name="Calculation 5 6" xfId="8011" xr:uid="{00000000-0005-0000-0000-000067050000}"/>
    <cellStyle name="Calculation 5 7" xfId="8012" xr:uid="{00000000-0005-0000-0000-000068050000}"/>
    <cellStyle name="Calculation 6" xfId="8013" xr:uid="{00000000-0005-0000-0000-000069050000}"/>
    <cellStyle name="Calculation 6 2" xfId="8014" xr:uid="{00000000-0005-0000-0000-00006A050000}"/>
    <cellStyle name="Calculation 6 2 2" xfId="8015" xr:uid="{00000000-0005-0000-0000-00006B050000}"/>
    <cellStyle name="Calculation 6 2 3" xfId="8016" xr:uid="{00000000-0005-0000-0000-00006C050000}"/>
    <cellStyle name="Calculation 6 2 4" xfId="8017" xr:uid="{00000000-0005-0000-0000-00006D050000}"/>
    <cellStyle name="Calculation 6 2 5" xfId="8018" xr:uid="{00000000-0005-0000-0000-00006E050000}"/>
    <cellStyle name="Calculation 6 2 6" xfId="8019" xr:uid="{00000000-0005-0000-0000-00006F050000}"/>
    <cellStyle name="Calculation 6 3" xfId="8020" xr:uid="{00000000-0005-0000-0000-000070050000}"/>
    <cellStyle name="Calculation 6 4" xfId="8021" xr:uid="{00000000-0005-0000-0000-000071050000}"/>
    <cellStyle name="Calculation 6 5" xfId="8022" xr:uid="{00000000-0005-0000-0000-000072050000}"/>
    <cellStyle name="Calculation 6 6" xfId="8023" xr:uid="{00000000-0005-0000-0000-000073050000}"/>
    <cellStyle name="Calculation 6 7" xfId="8024" xr:uid="{00000000-0005-0000-0000-000074050000}"/>
    <cellStyle name="Calculation 7" xfId="8025" xr:uid="{00000000-0005-0000-0000-000075050000}"/>
    <cellStyle name="Calculation 7 2" xfId="8026" xr:uid="{00000000-0005-0000-0000-000076050000}"/>
    <cellStyle name="Calculation 7 2 2" xfId="8027" xr:uid="{00000000-0005-0000-0000-000077050000}"/>
    <cellStyle name="Calculation 7 2 3" xfId="8028" xr:uid="{00000000-0005-0000-0000-000078050000}"/>
    <cellStyle name="Calculation 7 2 4" xfId="8029" xr:uid="{00000000-0005-0000-0000-000079050000}"/>
    <cellStyle name="Calculation 7 2 5" xfId="8030" xr:uid="{00000000-0005-0000-0000-00007A050000}"/>
    <cellStyle name="Calculation 7 2 6" xfId="8031" xr:uid="{00000000-0005-0000-0000-00007B050000}"/>
    <cellStyle name="Calculation 7 3" xfId="8032" xr:uid="{00000000-0005-0000-0000-00007C050000}"/>
    <cellStyle name="Calculation 7 4" xfId="8033" xr:uid="{00000000-0005-0000-0000-00007D050000}"/>
    <cellStyle name="Calculation 7 5" xfId="8034" xr:uid="{00000000-0005-0000-0000-00007E050000}"/>
    <cellStyle name="Calculation 7 6" xfId="8035" xr:uid="{00000000-0005-0000-0000-00007F050000}"/>
    <cellStyle name="Calculation 7 7" xfId="8036" xr:uid="{00000000-0005-0000-0000-000080050000}"/>
    <cellStyle name="Calculation 8" xfId="8037" xr:uid="{00000000-0005-0000-0000-000081050000}"/>
    <cellStyle name="CellsFormat" xfId="8038" xr:uid="{00000000-0005-0000-0000-000082050000}"/>
    <cellStyle name="CellsFormat 2" xfId="8039" xr:uid="{00000000-0005-0000-0000-000083050000}"/>
    <cellStyle name="Changeable" xfId="8040" xr:uid="{00000000-0005-0000-0000-000084050000}"/>
    <cellStyle name="CHECK" xfId="8041" xr:uid="{00000000-0005-0000-0000-000085050000}"/>
    <cellStyle name="Check Cell 2" xfId="295" xr:uid="{00000000-0005-0000-0000-000086050000}"/>
    <cellStyle name="Check Cell 2 2" xfId="296" xr:uid="{00000000-0005-0000-0000-000087050000}"/>
    <cellStyle name="Check Cell 2 3" xfId="8042" xr:uid="{00000000-0005-0000-0000-000088050000}"/>
    <cellStyle name="Check Cell 3" xfId="297" xr:uid="{00000000-0005-0000-0000-000089050000}"/>
    <cellStyle name="Check Cell 3 2" xfId="298" xr:uid="{00000000-0005-0000-0000-00008A050000}"/>
    <cellStyle name="ColGap" xfId="8043" xr:uid="{00000000-0005-0000-0000-00008B050000}"/>
    <cellStyle name="ColGap 2" xfId="8044" xr:uid="{00000000-0005-0000-0000-00008C050000}"/>
    <cellStyle name="ColHeadEntry" xfId="8045" xr:uid="{00000000-0005-0000-0000-00008D050000}"/>
    <cellStyle name="ColHeading" xfId="8046" xr:uid="{00000000-0005-0000-0000-00008E050000}"/>
    <cellStyle name="ColHeading 2" xfId="8047" xr:uid="{00000000-0005-0000-0000-00008F050000}"/>
    <cellStyle name="ColHeadYear" xfId="8048" xr:uid="{00000000-0005-0000-0000-000090050000}"/>
    <cellStyle name="ColHeadYear 2" xfId="8049" xr:uid="{00000000-0005-0000-0000-000091050000}"/>
    <cellStyle name="ColHeadYear 2 2" xfId="8050" xr:uid="{00000000-0005-0000-0000-000092050000}"/>
    <cellStyle name="ColHeadYear 2 2 2" xfId="8051" xr:uid="{00000000-0005-0000-0000-000093050000}"/>
    <cellStyle name="ColHeadYear 2 2 2 2" xfId="8052" xr:uid="{00000000-0005-0000-0000-000094050000}"/>
    <cellStyle name="ColHeadYear 2 2 2 2 2" xfId="8053" xr:uid="{00000000-0005-0000-0000-000095050000}"/>
    <cellStyle name="ColHeadYear 2 2 2 2 3" xfId="8054" xr:uid="{00000000-0005-0000-0000-000096050000}"/>
    <cellStyle name="ColHeadYear 2 2 2 2 4" xfId="8055" xr:uid="{00000000-0005-0000-0000-000097050000}"/>
    <cellStyle name="ColHeadYear 2 2 2 2 5" xfId="8056" xr:uid="{00000000-0005-0000-0000-000098050000}"/>
    <cellStyle name="ColHeadYear 2 2 2 2 6" xfId="8057" xr:uid="{00000000-0005-0000-0000-000099050000}"/>
    <cellStyle name="ColHeadYear 2 2 2 2 7" xfId="8058" xr:uid="{00000000-0005-0000-0000-00009A050000}"/>
    <cellStyle name="ColHeadYear 2 2 2 3" xfId="8059" xr:uid="{00000000-0005-0000-0000-00009B050000}"/>
    <cellStyle name="ColHeadYear 2 2 2 4" xfId="8060" xr:uid="{00000000-0005-0000-0000-00009C050000}"/>
    <cellStyle name="ColHeadYear 2 2 2 5" xfId="8061" xr:uid="{00000000-0005-0000-0000-00009D050000}"/>
    <cellStyle name="ColHeadYear 2 2 2 6" xfId="8062" xr:uid="{00000000-0005-0000-0000-00009E050000}"/>
    <cellStyle name="ColHeadYear 2 2 2 7" xfId="8063" xr:uid="{00000000-0005-0000-0000-00009F050000}"/>
    <cellStyle name="ColHeadYear 2 2 2 8" xfId="8064" xr:uid="{00000000-0005-0000-0000-0000A0050000}"/>
    <cellStyle name="ColHeadYear 2 2 3" xfId="8065" xr:uid="{00000000-0005-0000-0000-0000A1050000}"/>
    <cellStyle name="ColHeadYear 2 2 3 2" xfId="8066" xr:uid="{00000000-0005-0000-0000-0000A2050000}"/>
    <cellStyle name="ColHeadYear 2 2 3 3" xfId="8067" xr:uid="{00000000-0005-0000-0000-0000A3050000}"/>
    <cellStyle name="ColHeadYear 2 2 3 4" xfId="8068" xr:uid="{00000000-0005-0000-0000-0000A4050000}"/>
    <cellStyle name="ColHeadYear 2 2 3 5" xfId="8069" xr:uid="{00000000-0005-0000-0000-0000A5050000}"/>
    <cellStyle name="ColHeadYear 2 2 3 6" xfId="8070" xr:uid="{00000000-0005-0000-0000-0000A6050000}"/>
    <cellStyle name="ColHeadYear 2 2 3 7" xfId="8071" xr:uid="{00000000-0005-0000-0000-0000A7050000}"/>
    <cellStyle name="ColHeadYear 2 2 4" xfId="8072" xr:uid="{00000000-0005-0000-0000-0000A8050000}"/>
    <cellStyle name="ColHeadYear 2 2 5" xfId="8073" xr:uid="{00000000-0005-0000-0000-0000A9050000}"/>
    <cellStyle name="ColHeadYear 2 2 6" xfId="8074" xr:uid="{00000000-0005-0000-0000-0000AA050000}"/>
    <cellStyle name="ColHeadYear 2 2 7" xfId="8075" xr:uid="{00000000-0005-0000-0000-0000AB050000}"/>
    <cellStyle name="ColHeadYear 2 2 8" xfId="8076" xr:uid="{00000000-0005-0000-0000-0000AC050000}"/>
    <cellStyle name="ColHeadYear 2 2 9" xfId="8077" xr:uid="{00000000-0005-0000-0000-0000AD050000}"/>
    <cellStyle name="ColHeadYear 2 3" xfId="8078" xr:uid="{00000000-0005-0000-0000-0000AE050000}"/>
    <cellStyle name="ColHeadYear 2 3 2" xfId="8079" xr:uid="{00000000-0005-0000-0000-0000AF050000}"/>
    <cellStyle name="ColHeadYear 2 3 2 2" xfId="8080" xr:uid="{00000000-0005-0000-0000-0000B0050000}"/>
    <cellStyle name="ColHeadYear 2 3 2 2 2" xfId="8081" xr:uid="{00000000-0005-0000-0000-0000B1050000}"/>
    <cellStyle name="ColHeadYear 2 3 2 2 3" xfId="8082" xr:uid="{00000000-0005-0000-0000-0000B2050000}"/>
    <cellStyle name="ColHeadYear 2 3 2 2 4" xfId="8083" xr:uid="{00000000-0005-0000-0000-0000B3050000}"/>
    <cellStyle name="ColHeadYear 2 3 2 2 5" xfId="8084" xr:uid="{00000000-0005-0000-0000-0000B4050000}"/>
    <cellStyle name="ColHeadYear 2 3 2 3" xfId="8085" xr:uid="{00000000-0005-0000-0000-0000B5050000}"/>
    <cellStyle name="ColHeadYear 2 3 2 4" xfId="8086" xr:uid="{00000000-0005-0000-0000-0000B6050000}"/>
    <cellStyle name="ColHeadYear 2 3 2 5" xfId="8087" xr:uid="{00000000-0005-0000-0000-0000B7050000}"/>
    <cellStyle name="ColHeadYear 2 3 2 6" xfId="8088" xr:uid="{00000000-0005-0000-0000-0000B8050000}"/>
    <cellStyle name="ColHeadYear 2 3 2 7" xfId="8089" xr:uid="{00000000-0005-0000-0000-0000B9050000}"/>
    <cellStyle name="ColHeadYear 2 3 2 8" xfId="8090" xr:uid="{00000000-0005-0000-0000-0000BA050000}"/>
    <cellStyle name="ColHeadYear 2 3 3" xfId="8091" xr:uid="{00000000-0005-0000-0000-0000BB050000}"/>
    <cellStyle name="ColHeadYear 2 3 3 2" xfId="8092" xr:uid="{00000000-0005-0000-0000-0000BC050000}"/>
    <cellStyle name="ColHeadYear 2 3 3 3" xfId="8093" xr:uid="{00000000-0005-0000-0000-0000BD050000}"/>
    <cellStyle name="ColHeadYear 2 3 3 4" xfId="8094" xr:uid="{00000000-0005-0000-0000-0000BE050000}"/>
    <cellStyle name="ColHeadYear 2 3 3 5" xfId="8095" xr:uid="{00000000-0005-0000-0000-0000BF050000}"/>
    <cellStyle name="ColHeadYear 2 3 3 6" xfId="8096" xr:uid="{00000000-0005-0000-0000-0000C0050000}"/>
    <cellStyle name="ColHeadYear 2 3 3 7" xfId="8097" xr:uid="{00000000-0005-0000-0000-0000C1050000}"/>
    <cellStyle name="ColHeadYear 2 3 4" xfId="8098" xr:uid="{00000000-0005-0000-0000-0000C2050000}"/>
    <cellStyle name="ColHeadYear 2 3 5" xfId="8099" xr:uid="{00000000-0005-0000-0000-0000C3050000}"/>
    <cellStyle name="ColHeadYear 2 3 6" xfId="8100" xr:uid="{00000000-0005-0000-0000-0000C4050000}"/>
    <cellStyle name="ColHeadYear 2 3 7" xfId="8101" xr:uid="{00000000-0005-0000-0000-0000C5050000}"/>
    <cellStyle name="ColHeadYear 2 3 8" xfId="8102" xr:uid="{00000000-0005-0000-0000-0000C6050000}"/>
    <cellStyle name="ColHeadYear 2 3 9" xfId="8103" xr:uid="{00000000-0005-0000-0000-0000C7050000}"/>
    <cellStyle name="ColHeadYear 3" xfId="8104" xr:uid="{00000000-0005-0000-0000-0000C8050000}"/>
    <cellStyle name="ColHeadYear 3 2" xfId="8105" xr:uid="{00000000-0005-0000-0000-0000C9050000}"/>
    <cellStyle name="ColHeadYear 3 2 2" xfId="8106" xr:uid="{00000000-0005-0000-0000-0000CA050000}"/>
    <cellStyle name="ColHeadYear 3 2 2 2" xfId="8107" xr:uid="{00000000-0005-0000-0000-0000CB050000}"/>
    <cellStyle name="ColHeadYear 3 2 2 3" xfId="8108" xr:uid="{00000000-0005-0000-0000-0000CC050000}"/>
    <cellStyle name="ColHeadYear 3 2 2 4" xfId="8109" xr:uid="{00000000-0005-0000-0000-0000CD050000}"/>
    <cellStyle name="ColHeadYear 3 2 2 5" xfId="8110" xr:uid="{00000000-0005-0000-0000-0000CE050000}"/>
    <cellStyle name="ColHeadYear 3 2 2 6" xfId="8111" xr:uid="{00000000-0005-0000-0000-0000CF050000}"/>
    <cellStyle name="ColHeadYear 3 2 2 7" xfId="8112" xr:uid="{00000000-0005-0000-0000-0000D0050000}"/>
    <cellStyle name="ColHeadYear 3 2 3" xfId="8113" xr:uid="{00000000-0005-0000-0000-0000D1050000}"/>
    <cellStyle name="ColHeadYear 3 2 4" xfId="8114" xr:uid="{00000000-0005-0000-0000-0000D2050000}"/>
    <cellStyle name="ColHeadYear 3 2 5" xfId="8115" xr:uid="{00000000-0005-0000-0000-0000D3050000}"/>
    <cellStyle name="ColHeadYear 3 2 6" xfId="8116" xr:uid="{00000000-0005-0000-0000-0000D4050000}"/>
    <cellStyle name="ColHeadYear 3 2 7" xfId="8117" xr:uid="{00000000-0005-0000-0000-0000D5050000}"/>
    <cellStyle name="ColHeadYear 3 2 8" xfId="8118" xr:uid="{00000000-0005-0000-0000-0000D6050000}"/>
    <cellStyle name="ColHeadYear 3 3" xfId="8119" xr:uid="{00000000-0005-0000-0000-0000D7050000}"/>
    <cellStyle name="ColHeadYear 3 3 2" xfId="8120" xr:uid="{00000000-0005-0000-0000-0000D8050000}"/>
    <cellStyle name="ColHeadYear 3 3 3" xfId="8121" xr:uid="{00000000-0005-0000-0000-0000D9050000}"/>
    <cellStyle name="ColHeadYear 3 3 4" xfId="8122" xr:uid="{00000000-0005-0000-0000-0000DA050000}"/>
    <cellStyle name="ColHeadYear 3 3 5" xfId="8123" xr:uid="{00000000-0005-0000-0000-0000DB050000}"/>
    <cellStyle name="ColHeadYear 3 3 6" xfId="8124" xr:uid="{00000000-0005-0000-0000-0000DC050000}"/>
    <cellStyle name="ColHeadYear 3 3 7" xfId="8125" xr:uid="{00000000-0005-0000-0000-0000DD050000}"/>
    <cellStyle name="ColHeadYear 3 4" xfId="8126" xr:uid="{00000000-0005-0000-0000-0000DE050000}"/>
    <cellStyle name="ColHeadYear 3 5" xfId="8127" xr:uid="{00000000-0005-0000-0000-0000DF050000}"/>
    <cellStyle name="ColHeadYear 3 6" xfId="8128" xr:uid="{00000000-0005-0000-0000-0000E0050000}"/>
    <cellStyle name="ColHeadYear 3 7" xfId="8129" xr:uid="{00000000-0005-0000-0000-0000E1050000}"/>
    <cellStyle name="ColHeadYear 3 8" xfId="8130" xr:uid="{00000000-0005-0000-0000-0000E2050000}"/>
    <cellStyle name="ColHeadYear 3 9" xfId="8131" xr:uid="{00000000-0005-0000-0000-0000E3050000}"/>
    <cellStyle name="ColHeadYear 4" xfId="8132" xr:uid="{00000000-0005-0000-0000-0000E4050000}"/>
    <cellStyle name="ColHeadYear 4 2" xfId="8133" xr:uid="{00000000-0005-0000-0000-0000E5050000}"/>
    <cellStyle name="ColHeadYear 4 2 2" xfId="8134" xr:uid="{00000000-0005-0000-0000-0000E6050000}"/>
    <cellStyle name="ColHeadYear 4 2 2 2" xfId="8135" xr:uid="{00000000-0005-0000-0000-0000E7050000}"/>
    <cellStyle name="ColHeadYear 4 2 2 3" xfId="8136" xr:uid="{00000000-0005-0000-0000-0000E8050000}"/>
    <cellStyle name="ColHeadYear 4 2 2 4" xfId="8137" xr:uid="{00000000-0005-0000-0000-0000E9050000}"/>
    <cellStyle name="ColHeadYear 4 2 2 5" xfId="8138" xr:uid="{00000000-0005-0000-0000-0000EA050000}"/>
    <cellStyle name="ColHeadYear 4 2 3" xfId="8139" xr:uid="{00000000-0005-0000-0000-0000EB050000}"/>
    <cellStyle name="ColHeadYear 4 2 4" xfId="8140" xr:uid="{00000000-0005-0000-0000-0000EC050000}"/>
    <cellStyle name="ColHeadYear 4 2 5" xfId="8141" xr:uid="{00000000-0005-0000-0000-0000ED050000}"/>
    <cellStyle name="ColHeadYear 4 2 6" xfId="8142" xr:uid="{00000000-0005-0000-0000-0000EE050000}"/>
    <cellStyle name="ColHeadYear 4 2 7" xfId="8143" xr:uid="{00000000-0005-0000-0000-0000EF050000}"/>
    <cellStyle name="ColHeadYear 4 2 8" xfId="8144" xr:uid="{00000000-0005-0000-0000-0000F0050000}"/>
    <cellStyle name="ColHeadYear 4 3" xfId="8145" xr:uid="{00000000-0005-0000-0000-0000F1050000}"/>
    <cellStyle name="ColHeadYear 4 3 2" xfId="8146" xr:uid="{00000000-0005-0000-0000-0000F2050000}"/>
    <cellStyle name="ColHeadYear 4 3 3" xfId="8147" xr:uid="{00000000-0005-0000-0000-0000F3050000}"/>
    <cellStyle name="ColHeadYear 4 3 4" xfId="8148" xr:uid="{00000000-0005-0000-0000-0000F4050000}"/>
    <cellStyle name="ColHeadYear 4 3 5" xfId="8149" xr:uid="{00000000-0005-0000-0000-0000F5050000}"/>
    <cellStyle name="ColHeadYear 4 3 6" xfId="8150" xr:uid="{00000000-0005-0000-0000-0000F6050000}"/>
    <cellStyle name="ColHeadYear 4 3 7" xfId="8151" xr:uid="{00000000-0005-0000-0000-0000F7050000}"/>
    <cellStyle name="ColHeadYear 4 4" xfId="8152" xr:uid="{00000000-0005-0000-0000-0000F8050000}"/>
    <cellStyle name="ColHeadYear 4 5" xfId="8153" xr:uid="{00000000-0005-0000-0000-0000F9050000}"/>
    <cellStyle name="ColHeadYear 4 6" xfId="8154" xr:uid="{00000000-0005-0000-0000-0000FA050000}"/>
    <cellStyle name="ColHeadYear 4 7" xfId="8155" xr:uid="{00000000-0005-0000-0000-0000FB050000}"/>
    <cellStyle name="ColHeadYear 4 8" xfId="8156" xr:uid="{00000000-0005-0000-0000-0000FC050000}"/>
    <cellStyle name="ColHeadYear 4 9" xfId="8157" xr:uid="{00000000-0005-0000-0000-0000FD050000}"/>
    <cellStyle name="Colma [0]_-F-" xfId="8158" xr:uid="{00000000-0005-0000-0000-0000FE050000}"/>
    <cellStyle name="Column Heading" xfId="8159" xr:uid="{00000000-0005-0000-0000-0000FF050000}"/>
    <cellStyle name="Column Title" xfId="8160" xr:uid="{00000000-0005-0000-0000-000000060000}"/>
    <cellStyle name="Column_Title" xfId="8161" xr:uid="{00000000-0005-0000-0000-000001060000}"/>
    <cellStyle name="ColumnHead" xfId="8162" xr:uid="{00000000-0005-0000-0000-000002060000}"/>
    <cellStyle name="ColumnHeadings" xfId="8163" xr:uid="{00000000-0005-0000-0000-000003060000}"/>
    <cellStyle name="ColumnHeadings2" xfId="8164" xr:uid="{00000000-0005-0000-0000-000004060000}"/>
    <cellStyle name="ColumnHeadings2 2" xfId="8165" xr:uid="{00000000-0005-0000-0000-000005060000}"/>
    <cellStyle name="ColumnHeadings2 2 2" xfId="8166" xr:uid="{00000000-0005-0000-0000-000006060000}"/>
    <cellStyle name="ColumnHeadings2 2 3" xfId="8167" xr:uid="{00000000-0005-0000-0000-000007060000}"/>
    <cellStyle name="ColumnHeadings2 3" xfId="8168" xr:uid="{00000000-0005-0000-0000-000008060000}"/>
    <cellStyle name="ColumnHeadings2 3 2" xfId="8169" xr:uid="{00000000-0005-0000-0000-000009060000}"/>
    <cellStyle name="ColumnHeadings2 3 3" xfId="8170" xr:uid="{00000000-0005-0000-0000-00000A060000}"/>
    <cellStyle name="ColumnHeadings2 4" xfId="8171" xr:uid="{00000000-0005-0000-0000-00000B060000}"/>
    <cellStyle name="ColumnHeadings2 4 2" xfId="8172" xr:uid="{00000000-0005-0000-0000-00000C060000}"/>
    <cellStyle name="ColumnHeadings2 4 3" xfId="8173" xr:uid="{00000000-0005-0000-0000-00000D060000}"/>
    <cellStyle name="Comma" xfId="299" builtinId="3"/>
    <cellStyle name="Comma  - Style1" xfId="8174" xr:uid="{00000000-0005-0000-0000-00000F060000}"/>
    <cellStyle name="Comma  - Style2" xfId="8175" xr:uid="{00000000-0005-0000-0000-000010060000}"/>
    <cellStyle name="Comma  - Style3" xfId="8176" xr:uid="{00000000-0005-0000-0000-000011060000}"/>
    <cellStyle name="Comma  - Style4" xfId="8177" xr:uid="{00000000-0005-0000-0000-000012060000}"/>
    <cellStyle name="Comma  - Style5" xfId="8178" xr:uid="{00000000-0005-0000-0000-000013060000}"/>
    <cellStyle name="Comma  - Style6" xfId="8179" xr:uid="{00000000-0005-0000-0000-000014060000}"/>
    <cellStyle name="Comma  - Style7" xfId="8180" xr:uid="{00000000-0005-0000-0000-000015060000}"/>
    <cellStyle name="Comma  - Style8" xfId="8181" xr:uid="{00000000-0005-0000-0000-000016060000}"/>
    <cellStyle name="comma (1)" xfId="8182" xr:uid="{00000000-0005-0000-0000-000017060000}"/>
    <cellStyle name="Comma (2)" xfId="8183" xr:uid="{00000000-0005-0000-0000-000018060000}"/>
    <cellStyle name="Comma [00]" xfId="8184" xr:uid="{00000000-0005-0000-0000-000019060000}"/>
    <cellStyle name="Comma [1]" xfId="8185" xr:uid="{00000000-0005-0000-0000-00001A060000}"/>
    <cellStyle name="Comma [1] 2" xfId="8186" xr:uid="{00000000-0005-0000-0000-00001B060000}"/>
    <cellStyle name="Comma 10" xfId="8187" xr:uid="{00000000-0005-0000-0000-00001C060000}"/>
    <cellStyle name="Comma 10 2" xfId="8188" xr:uid="{00000000-0005-0000-0000-00001D060000}"/>
    <cellStyle name="Comma 10 3" xfId="8189" xr:uid="{00000000-0005-0000-0000-00001E060000}"/>
    <cellStyle name="Comma 10 4" xfId="8190" xr:uid="{00000000-0005-0000-0000-00001F060000}"/>
    <cellStyle name="Comma 10 5" xfId="8191" xr:uid="{00000000-0005-0000-0000-000020060000}"/>
    <cellStyle name="Comma 11" xfId="8192" xr:uid="{00000000-0005-0000-0000-000021060000}"/>
    <cellStyle name="Comma 11 2" xfId="8193" xr:uid="{00000000-0005-0000-0000-000022060000}"/>
    <cellStyle name="Comma 11 3" xfId="8194" xr:uid="{00000000-0005-0000-0000-000023060000}"/>
    <cellStyle name="Comma 11 4" xfId="8195" xr:uid="{00000000-0005-0000-0000-000024060000}"/>
    <cellStyle name="Comma 11 5" xfId="8196" xr:uid="{00000000-0005-0000-0000-000025060000}"/>
    <cellStyle name="Comma 12" xfId="8197" xr:uid="{00000000-0005-0000-0000-000026060000}"/>
    <cellStyle name="Comma 13" xfId="8198" xr:uid="{00000000-0005-0000-0000-000027060000}"/>
    <cellStyle name="Comma 14" xfId="8199" xr:uid="{00000000-0005-0000-0000-000028060000}"/>
    <cellStyle name="Comma 15" xfId="8200" xr:uid="{00000000-0005-0000-0000-000029060000}"/>
    <cellStyle name="Comma 16" xfId="8201" xr:uid="{00000000-0005-0000-0000-00002A060000}"/>
    <cellStyle name="Comma 17" xfId="8202" xr:uid="{00000000-0005-0000-0000-00002B060000}"/>
    <cellStyle name="Comma 18" xfId="8203" xr:uid="{00000000-0005-0000-0000-00002C060000}"/>
    <cellStyle name="Comma 19" xfId="8204" xr:uid="{00000000-0005-0000-0000-00002D060000}"/>
    <cellStyle name="Comma 2" xfId="300" xr:uid="{00000000-0005-0000-0000-00002E060000}"/>
    <cellStyle name="Comma 2 10" xfId="301" xr:uid="{00000000-0005-0000-0000-00002F060000}"/>
    <cellStyle name="Comma 2 11" xfId="302" xr:uid="{00000000-0005-0000-0000-000030060000}"/>
    <cellStyle name="Comma 2 12" xfId="303" xr:uid="{00000000-0005-0000-0000-000031060000}"/>
    <cellStyle name="Comma 2 13" xfId="304" xr:uid="{00000000-0005-0000-0000-000032060000}"/>
    <cellStyle name="Comma 2 14" xfId="305" xr:uid="{00000000-0005-0000-0000-000033060000}"/>
    <cellStyle name="Comma 2 14 2" xfId="8205" xr:uid="{00000000-0005-0000-0000-000034060000}"/>
    <cellStyle name="Comma 2 15" xfId="306" xr:uid="{00000000-0005-0000-0000-000035060000}"/>
    <cellStyle name="Comma 2 16" xfId="307" xr:uid="{00000000-0005-0000-0000-000036060000}"/>
    <cellStyle name="Comma 2 16 2" xfId="8206" xr:uid="{00000000-0005-0000-0000-000037060000}"/>
    <cellStyle name="Comma 2 17" xfId="308" xr:uid="{00000000-0005-0000-0000-000038060000}"/>
    <cellStyle name="Comma 2 18" xfId="309" xr:uid="{00000000-0005-0000-0000-000039060000}"/>
    <cellStyle name="Comma 2 19" xfId="310" xr:uid="{00000000-0005-0000-0000-00003A060000}"/>
    <cellStyle name="Comma 2 2" xfId="311" xr:uid="{00000000-0005-0000-0000-00003B060000}"/>
    <cellStyle name="Comma 2 2 2" xfId="312" xr:uid="{00000000-0005-0000-0000-00003C060000}"/>
    <cellStyle name="Comma 2 2 2 2" xfId="8207" xr:uid="{00000000-0005-0000-0000-00003D060000}"/>
    <cellStyle name="Comma 2 2 2 2 2" xfId="8208" xr:uid="{00000000-0005-0000-0000-00003E060000}"/>
    <cellStyle name="Comma 2 2 2 3" xfId="8209" xr:uid="{00000000-0005-0000-0000-00003F060000}"/>
    <cellStyle name="Comma 2 2 2 4" xfId="8210" xr:uid="{00000000-0005-0000-0000-000040060000}"/>
    <cellStyle name="Comma 2 2 2 5" xfId="8211" xr:uid="{00000000-0005-0000-0000-000041060000}"/>
    <cellStyle name="Comma 2 2 2 6" xfId="8212" xr:uid="{00000000-0005-0000-0000-000042060000}"/>
    <cellStyle name="Comma 2 2 3" xfId="8213" xr:uid="{00000000-0005-0000-0000-000043060000}"/>
    <cellStyle name="Comma 2 2 3 2" xfId="8214" xr:uid="{00000000-0005-0000-0000-000044060000}"/>
    <cellStyle name="Comma 2 2 3 3" xfId="8215" xr:uid="{00000000-0005-0000-0000-000045060000}"/>
    <cellStyle name="Comma 2 2 4" xfId="8216" xr:uid="{00000000-0005-0000-0000-000046060000}"/>
    <cellStyle name="Comma 2 2 4 2" xfId="8217" xr:uid="{00000000-0005-0000-0000-000047060000}"/>
    <cellStyle name="Comma 2 2 4 3" xfId="8218" xr:uid="{00000000-0005-0000-0000-000048060000}"/>
    <cellStyle name="Comma 2 2 4 4" xfId="8219" xr:uid="{00000000-0005-0000-0000-000049060000}"/>
    <cellStyle name="Comma 2 2 5" xfId="8220" xr:uid="{00000000-0005-0000-0000-00004A060000}"/>
    <cellStyle name="Comma 2 2 5 2" xfId="8221" xr:uid="{00000000-0005-0000-0000-00004B060000}"/>
    <cellStyle name="Comma 2 2 5 3" xfId="8222" xr:uid="{00000000-0005-0000-0000-00004C060000}"/>
    <cellStyle name="Comma 2 2 5 4" xfId="8223" xr:uid="{00000000-0005-0000-0000-00004D060000}"/>
    <cellStyle name="Comma 2 2 6" xfId="8224" xr:uid="{00000000-0005-0000-0000-00004E060000}"/>
    <cellStyle name="Comma 2 2 7" xfId="8225" xr:uid="{00000000-0005-0000-0000-00004F060000}"/>
    <cellStyle name="Comma 2 2 7 2" xfId="8226" xr:uid="{00000000-0005-0000-0000-000050060000}"/>
    <cellStyle name="Comma 2 2 8" xfId="8227" xr:uid="{00000000-0005-0000-0000-000051060000}"/>
    <cellStyle name="Comma 2 2 8 2" xfId="8228" xr:uid="{00000000-0005-0000-0000-000052060000}"/>
    <cellStyle name="Comma 2 2 9" xfId="8229" xr:uid="{00000000-0005-0000-0000-000053060000}"/>
    <cellStyle name="Comma 2 20" xfId="313" xr:uid="{00000000-0005-0000-0000-000054060000}"/>
    <cellStyle name="Comma 2 21" xfId="314" xr:uid="{00000000-0005-0000-0000-000055060000}"/>
    <cellStyle name="Comma 2 22" xfId="315" xr:uid="{00000000-0005-0000-0000-000056060000}"/>
    <cellStyle name="Comma 2 23" xfId="316" xr:uid="{00000000-0005-0000-0000-000057060000}"/>
    <cellStyle name="Comma 2 24" xfId="317" xr:uid="{00000000-0005-0000-0000-000058060000}"/>
    <cellStyle name="Comma 2 25" xfId="318" xr:uid="{00000000-0005-0000-0000-000059060000}"/>
    <cellStyle name="Comma 2 26" xfId="319" xr:uid="{00000000-0005-0000-0000-00005A060000}"/>
    <cellStyle name="Comma 2 27" xfId="320" xr:uid="{00000000-0005-0000-0000-00005B060000}"/>
    <cellStyle name="Comma 2 28" xfId="321" xr:uid="{00000000-0005-0000-0000-00005C060000}"/>
    <cellStyle name="Comma 2 29" xfId="322" xr:uid="{00000000-0005-0000-0000-00005D060000}"/>
    <cellStyle name="Comma 2 3" xfId="323" xr:uid="{00000000-0005-0000-0000-00005E060000}"/>
    <cellStyle name="Comma 2 3 10" xfId="324" xr:uid="{00000000-0005-0000-0000-00005F060000}"/>
    <cellStyle name="Comma 2 3 11" xfId="325" xr:uid="{00000000-0005-0000-0000-000060060000}"/>
    <cellStyle name="Comma 2 3 12" xfId="326" xr:uid="{00000000-0005-0000-0000-000061060000}"/>
    <cellStyle name="Comma 2 3 13" xfId="327" xr:uid="{00000000-0005-0000-0000-000062060000}"/>
    <cellStyle name="Comma 2 3 14" xfId="328" xr:uid="{00000000-0005-0000-0000-000063060000}"/>
    <cellStyle name="Comma 2 3 15" xfId="329" xr:uid="{00000000-0005-0000-0000-000064060000}"/>
    <cellStyle name="Comma 2 3 16" xfId="330" xr:uid="{00000000-0005-0000-0000-000065060000}"/>
    <cellStyle name="Comma 2 3 17" xfId="331" xr:uid="{00000000-0005-0000-0000-000066060000}"/>
    <cellStyle name="Comma 2 3 18" xfId="332" xr:uid="{00000000-0005-0000-0000-000067060000}"/>
    <cellStyle name="Comma 2 3 19" xfId="333" xr:uid="{00000000-0005-0000-0000-000068060000}"/>
    <cellStyle name="Comma 2 3 2" xfId="334" xr:uid="{00000000-0005-0000-0000-000069060000}"/>
    <cellStyle name="Comma 2 3 20" xfId="335" xr:uid="{00000000-0005-0000-0000-00006A060000}"/>
    <cellStyle name="Comma 2 3 21" xfId="336" xr:uid="{00000000-0005-0000-0000-00006B060000}"/>
    <cellStyle name="Comma 2 3 22" xfId="337" xr:uid="{00000000-0005-0000-0000-00006C060000}"/>
    <cellStyle name="Comma 2 3 23" xfId="338" xr:uid="{00000000-0005-0000-0000-00006D060000}"/>
    <cellStyle name="Comma 2 3 24" xfId="339" xr:uid="{00000000-0005-0000-0000-00006E060000}"/>
    <cellStyle name="Comma 2 3 25" xfId="340" xr:uid="{00000000-0005-0000-0000-00006F060000}"/>
    <cellStyle name="Comma 2 3 26" xfId="341" xr:uid="{00000000-0005-0000-0000-000070060000}"/>
    <cellStyle name="Comma 2 3 27" xfId="342" xr:uid="{00000000-0005-0000-0000-000071060000}"/>
    <cellStyle name="Comma 2 3 28" xfId="343" xr:uid="{00000000-0005-0000-0000-000072060000}"/>
    <cellStyle name="Comma 2 3 29" xfId="344" xr:uid="{00000000-0005-0000-0000-000073060000}"/>
    <cellStyle name="Comma 2 3 3" xfId="345" xr:uid="{00000000-0005-0000-0000-000074060000}"/>
    <cellStyle name="Comma 2 3 30" xfId="346" xr:uid="{00000000-0005-0000-0000-000075060000}"/>
    <cellStyle name="Comma 2 3 31" xfId="347" xr:uid="{00000000-0005-0000-0000-000076060000}"/>
    <cellStyle name="Comma 2 3 32" xfId="348" xr:uid="{00000000-0005-0000-0000-000077060000}"/>
    <cellStyle name="Comma 2 3 33" xfId="349" xr:uid="{00000000-0005-0000-0000-000078060000}"/>
    <cellStyle name="Comma 2 3 34" xfId="350" xr:uid="{00000000-0005-0000-0000-000079060000}"/>
    <cellStyle name="Comma 2 3 35" xfId="351" xr:uid="{00000000-0005-0000-0000-00007A060000}"/>
    <cellStyle name="Comma 2 3 36" xfId="352" xr:uid="{00000000-0005-0000-0000-00007B060000}"/>
    <cellStyle name="Comma 2 3 37" xfId="353" xr:uid="{00000000-0005-0000-0000-00007C060000}"/>
    <cellStyle name="Comma 2 3 38" xfId="354" xr:uid="{00000000-0005-0000-0000-00007D060000}"/>
    <cellStyle name="Comma 2 3 39" xfId="355" xr:uid="{00000000-0005-0000-0000-00007E060000}"/>
    <cellStyle name="Comma 2 3 4" xfId="356" xr:uid="{00000000-0005-0000-0000-00007F060000}"/>
    <cellStyle name="Comma 2 3 40" xfId="357" xr:uid="{00000000-0005-0000-0000-000080060000}"/>
    <cellStyle name="Comma 2 3 41" xfId="358" xr:uid="{00000000-0005-0000-0000-000081060000}"/>
    <cellStyle name="Comma 2 3 42" xfId="359" xr:uid="{00000000-0005-0000-0000-000082060000}"/>
    <cellStyle name="Comma 2 3 43" xfId="360" xr:uid="{00000000-0005-0000-0000-000083060000}"/>
    <cellStyle name="Comma 2 3 5" xfId="361" xr:uid="{00000000-0005-0000-0000-000084060000}"/>
    <cellStyle name="Comma 2 3 6" xfId="362" xr:uid="{00000000-0005-0000-0000-000085060000}"/>
    <cellStyle name="Comma 2 3 7" xfId="363" xr:uid="{00000000-0005-0000-0000-000086060000}"/>
    <cellStyle name="Comma 2 3 8" xfId="364" xr:uid="{00000000-0005-0000-0000-000087060000}"/>
    <cellStyle name="Comma 2 3 9" xfId="365" xr:uid="{00000000-0005-0000-0000-000088060000}"/>
    <cellStyle name="Comma 2 30" xfId="366" xr:uid="{00000000-0005-0000-0000-000089060000}"/>
    <cellStyle name="Comma 2 31" xfId="367" xr:uid="{00000000-0005-0000-0000-00008A060000}"/>
    <cellStyle name="Comma 2 32" xfId="368" xr:uid="{00000000-0005-0000-0000-00008B060000}"/>
    <cellStyle name="Comma 2 33" xfId="369" xr:uid="{00000000-0005-0000-0000-00008C060000}"/>
    <cellStyle name="Comma 2 34" xfId="370" xr:uid="{00000000-0005-0000-0000-00008D060000}"/>
    <cellStyle name="Comma 2 35" xfId="371" xr:uid="{00000000-0005-0000-0000-00008E060000}"/>
    <cellStyle name="Comma 2 36" xfId="372" xr:uid="{00000000-0005-0000-0000-00008F060000}"/>
    <cellStyle name="Comma 2 37" xfId="373" xr:uid="{00000000-0005-0000-0000-000090060000}"/>
    <cellStyle name="Comma 2 38" xfId="374" xr:uid="{00000000-0005-0000-0000-000091060000}"/>
    <cellStyle name="Comma 2 39" xfId="375" xr:uid="{00000000-0005-0000-0000-000092060000}"/>
    <cellStyle name="Comma 2 4" xfId="376" xr:uid="{00000000-0005-0000-0000-000093060000}"/>
    <cellStyle name="Comma 2 4 2" xfId="8230" xr:uid="{00000000-0005-0000-0000-000094060000}"/>
    <cellStyle name="Comma 2 4 3" xfId="8231" xr:uid="{00000000-0005-0000-0000-000095060000}"/>
    <cellStyle name="Comma 2 40" xfId="377" xr:uid="{00000000-0005-0000-0000-000096060000}"/>
    <cellStyle name="Comma 2 41" xfId="378" xr:uid="{00000000-0005-0000-0000-000097060000}"/>
    <cellStyle name="Comma 2 42" xfId="379" xr:uid="{00000000-0005-0000-0000-000098060000}"/>
    <cellStyle name="Comma 2 43" xfId="380" xr:uid="{00000000-0005-0000-0000-000099060000}"/>
    <cellStyle name="Comma 2 44" xfId="381" xr:uid="{00000000-0005-0000-0000-00009A060000}"/>
    <cellStyle name="Comma 2 45" xfId="8232" xr:uid="{00000000-0005-0000-0000-00009B060000}"/>
    <cellStyle name="Comma 2 5" xfId="382" xr:uid="{00000000-0005-0000-0000-00009C060000}"/>
    <cellStyle name="Comma 2 5 2" xfId="8233" xr:uid="{00000000-0005-0000-0000-00009D060000}"/>
    <cellStyle name="Comma 2 5 3" xfId="8234" xr:uid="{00000000-0005-0000-0000-00009E060000}"/>
    <cellStyle name="Comma 2 5 4" xfId="8235" xr:uid="{00000000-0005-0000-0000-00009F060000}"/>
    <cellStyle name="Comma 2 5 5" xfId="8236" xr:uid="{00000000-0005-0000-0000-0000A0060000}"/>
    <cellStyle name="Comma 2 6" xfId="383" xr:uid="{00000000-0005-0000-0000-0000A1060000}"/>
    <cellStyle name="Comma 2 6 2" xfId="8237" xr:uid="{00000000-0005-0000-0000-0000A2060000}"/>
    <cellStyle name="Comma 2 6 3" xfId="8238" xr:uid="{00000000-0005-0000-0000-0000A3060000}"/>
    <cellStyle name="Comma 2 6 4" xfId="8239" xr:uid="{00000000-0005-0000-0000-0000A4060000}"/>
    <cellStyle name="Comma 2 6 5" xfId="8240" xr:uid="{00000000-0005-0000-0000-0000A5060000}"/>
    <cellStyle name="Comma 2 7" xfId="384" xr:uid="{00000000-0005-0000-0000-0000A6060000}"/>
    <cellStyle name="Comma 2 8" xfId="385" xr:uid="{00000000-0005-0000-0000-0000A7060000}"/>
    <cellStyle name="Comma 2 9" xfId="386" xr:uid="{00000000-0005-0000-0000-0000A8060000}"/>
    <cellStyle name="Comma 2_PSOSVL Rec" xfId="8241" xr:uid="{00000000-0005-0000-0000-0000A9060000}"/>
    <cellStyle name="Comma 20" xfId="8242" xr:uid="{00000000-0005-0000-0000-0000AA060000}"/>
    <cellStyle name="Comma 21" xfId="8243" xr:uid="{00000000-0005-0000-0000-0000AB060000}"/>
    <cellStyle name="Comma 22" xfId="8244" xr:uid="{00000000-0005-0000-0000-0000AC060000}"/>
    <cellStyle name="Comma 23" xfId="8245" xr:uid="{00000000-0005-0000-0000-0000AD060000}"/>
    <cellStyle name="Comma 24" xfId="8246" xr:uid="{00000000-0005-0000-0000-0000AE060000}"/>
    <cellStyle name="Comma 25" xfId="8247" xr:uid="{00000000-0005-0000-0000-0000AF060000}"/>
    <cellStyle name="Comma 26" xfId="8248" xr:uid="{00000000-0005-0000-0000-0000B0060000}"/>
    <cellStyle name="Comma 27" xfId="8249" xr:uid="{00000000-0005-0000-0000-0000B1060000}"/>
    <cellStyle name="Comma 28" xfId="8250" xr:uid="{00000000-0005-0000-0000-0000B2060000}"/>
    <cellStyle name="Comma 29" xfId="8251" xr:uid="{00000000-0005-0000-0000-0000B3060000}"/>
    <cellStyle name="Comma 3" xfId="387" xr:uid="{00000000-0005-0000-0000-0000B4060000}"/>
    <cellStyle name="Comma 3 2" xfId="388" xr:uid="{00000000-0005-0000-0000-0000B5060000}"/>
    <cellStyle name="Comma 3 2 2" xfId="389" xr:uid="{00000000-0005-0000-0000-0000B6060000}"/>
    <cellStyle name="Comma 3 2 2 2" xfId="2642" xr:uid="{00000000-0005-0000-0000-0000B7060000}"/>
    <cellStyle name="Comma 3 2 3" xfId="8252" xr:uid="{00000000-0005-0000-0000-0000B8060000}"/>
    <cellStyle name="Comma 3 3" xfId="390" xr:uid="{00000000-0005-0000-0000-0000B9060000}"/>
    <cellStyle name="Comma 3 3 2" xfId="2643" xr:uid="{00000000-0005-0000-0000-0000BA060000}"/>
    <cellStyle name="Comma 3 4" xfId="8253" xr:uid="{00000000-0005-0000-0000-0000BB060000}"/>
    <cellStyle name="Comma 3 5" xfId="8254" xr:uid="{00000000-0005-0000-0000-0000BC060000}"/>
    <cellStyle name="Comma 3 6" xfId="8255" xr:uid="{00000000-0005-0000-0000-0000BD060000}"/>
    <cellStyle name="Comma 3 7" xfId="8256" xr:uid="{00000000-0005-0000-0000-0000BE060000}"/>
    <cellStyle name="Comma 30" xfId="8257" xr:uid="{00000000-0005-0000-0000-0000BF060000}"/>
    <cellStyle name="Comma 31" xfId="8258" xr:uid="{00000000-0005-0000-0000-0000C0060000}"/>
    <cellStyle name="Comma 32" xfId="8259" xr:uid="{00000000-0005-0000-0000-0000C1060000}"/>
    <cellStyle name="Comma 33" xfId="8260" xr:uid="{00000000-0005-0000-0000-0000C2060000}"/>
    <cellStyle name="Comma 34" xfId="8261" xr:uid="{00000000-0005-0000-0000-0000C3060000}"/>
    <cellStyle name="Comma 35" xfId="8262" xr:uid="{00000000-0005-0000-0000-0000C4060000}"/>
    <cellStyle name="Comma 36" xfId="8263" xr:uid="{00000000-0005-0000-0000-0000C5060000}"/>
    <cellStyle name="Comma 37" xfId="8264" xr:uid="{00000000-0005-0000-0000-0000C6060000}"/>
    <cellStyle name="Comma 38" xfId="8265" xr:uid="{00000000-0005-0000-0000-0000C7060000}"/>
    <cellStyle name="Comma 39" xfId="391" xr:uid="{00000000-0005-0000-0000-0000C8060000}"/>
    <cellStyle name="Comma 39 2" xfId="2644" xr:uid="{00000000-0005-0000-0000-0000C9060000}"/>
    <cellStyle name="Comma 39 2 2" xfId="8266" xr:uid="{00000000-0005-0000-0000-0000CA060000}"/>
    <cellStyle name="Comma 39 3" xfId="8267" xr:uid="{00000000-0005-0000-0000-0000CB060000}"/>
    <cellStyle name="Comma 39 4" xfId="8268" xr:uid="{00000000-0005-0000-0000-0000CC060000}"/>
    <cellStyle name="Comma 4" xfId="392" xr:uid="{00000000-0005-0000-0000-0000CD060000}"/>
    <cellStyle name="Comma 4 10" xfId="393" xr:uid="{00000000-0005-0000-0000-0000CE060000}"/>
    <cellStyle name="Comma 4 11" xfId="394" xr:uid="{00000000-0005-0000-0000-0000CF060000}"/>
    <cellStyle name="Comma 4 12" xfId="395" xr:uid="{00000000-0005-0000-0000-0000D0060000}"/>
    <cellStyle name="Comma 4 13" xfId="396" xr:uid="{00000000-0005-0000-0000-0000D1060000}"/>
    <cellStyle name="Comma 4 14" xfId="397" xr:uid="{00000000-0005-0000-0000-0000D2060000}"/>
    <cellStyle name="Comma 4 15" xfId="398" xr:uid="{00000000-0005-0000-0000-0000D3060000}"/>
    <cellStyle name="Comma 4 16" xfId="399" xr:uid="{00000000-0005-0000-0000-0000D4060000}"/>
    <cellStyle name="Comma 4 17" xfId="400" xr:uid="{00000000-0005-0000-0000-0000D5060000}"/>
    <cellStyle name="Comma 4 18" xfId="401" xr:uid="{00000000-0005-0000-0000-0000D6060000}"/>
    <cellStyle name="Comma 4 19" xfId="402" xr:uid="{00000000-0005-0000-0000-0000D7060000}"/>
    <cellStyle name="Comma 4 2" xfId="403" xr:uid="{00000000-0005-0000-0000-0000D8060000}"/>
    <cellStyle name="Comma 4 2 2" xfId="8269" xr:uid="{00000000-0005-0000-0000-0000D9060000}"/>
    <cellStyle name="Comma 4 20" xfId="404" xr:uid="{00000000-0005-0000-0000-0000DA060000}"/>
    <cellStyle name="Comma 4 21" xfId="405" xr:uid="{00000000-0005-0000-0000-0000DB060000}"/>
    <cellStyle name="Comma 4 22" xfId="406" xr:uid="{00000000-0005-0000-0000-0000DC060000}"/>
    <cellStyle name="Comma 4 23" xfId="407" xr:uid="{00000000-0005-0000-0000-0000DD060000}"/>
    <cellStyle name="Comma 4 24" xfId="408" xr:uid="{00000000-0005-0000-0000-0000DE060000}"/>
    <cellStyle name="Comma 4 25" xfId="409" xr:uid="{00000000-0005-0000-0000-0000DF060000}"/>
    <cellStyle name="Comma 4 26" xfId="410" xr:uid="{00000000-0005-0000-0000-0000E0060000}"/>
    <cellStyle name="Comma 4 27" xfId="411" xr:uid="{00000000-0005-0000-0000-0000E1060000}"/>
    <cellStyle name="Comma 4 28" xfId="412" xr:uid="{00000000-0005-0000-0000-0000E2060000}"/>
    <cellStyle name="Comma 4 29" xfId="413" xr:uid="{00000000-0005-0000-0000-0000E3060000}"/>
    <cellStyle name="Comma 4 3" xfId="414" xr:uid="{00000000-0005-0000-0000-0000E4060000}"/>
    <cellStyle name="Comma 4 30" xfId="415" xr:uid="{00000000-0005-0000-0000-0000E5060000}"/>
    <cellStyle name="Comma 4 31" xfId="416" xr:uid="{00000000-0005-0000-0000-0000E6060000}"/>
    <cellStyle name="Comma 4 32" xfId="417" xr:uid="{00000000-0005-0000-0000-0000E7060000}"/>
    <cellStyle name="Comma 4 33" xfId="418" xr:uid="{00000000-0005-0000-0000-0000E8060000}"/>
    <cellStyle name="Comma 4 34" xfId="419" xr:uid="{00000000-0005-0000-0000-0000E9060000}"/>
    <cellStyle name="Comma 4 35" xfId="420" xr:uid="{00000000-0005-0000-0000-0000EA060000}"/>
    <cellStyle name="Comma 4 36" xfId="421" xr:uid="{00000000-0005-0000-0000-0000EB060000}"/>
    <cellStyle name="Comma 4 37" xfId="422" xr:uid="{00000000-0005-0000-0000-0000EC060000}"/>
    <cellStyle name="Comma 4 38" xfId="423" xr:uid="{00000000-0005-0000-0000-0000ED060000}"/>
    <cellStyle name="Comma 4 39" xfId="424" xr:uid="{00000000-0005-0000-0000-0000EE060000}"/>
    <cellStyle name="Comma 4 4" xfId="425" xr:uid="{00000000-0005-0000-0000-0000EF060000}"/>
    <cellStyle name="Comma 4 40" xfId="426" xr:uid="{00000000-0005-0000-0000-0000F0060000}"/>
    <cellStyle name="Comma 4 41" xfId="427" xr:uid="{00000000-0005-0000-0000-0000F1060000}"/>
    <cellStyle name="Comma 4 42" xfId="428" xr:uid="{00000000-0005-0000-0000-0000F2060000}"/>
    <cellStyle name="Comma 4 43" xfId="429" xr:uid="{00000000-0005-0000-0000-0000F3060000}"/>
    <cellStyle name="Comma 4 5" xfId="430" xr:uid="{00000000-0005-0000-0000-0000F4060000}"/>
    <cellStyle name="Comma 4 6" xfId="431" xr:uid="{00000000-0005-0000-0000-0000F5060000}"/>
    <cellStyle name="Comma 4 7" xfId="432" xr:uid="{00000000-0005-0000-0000-0000F6060000}"/>
    <cellStyle name="Comma 4 8" xfId="433" xr:uid="{00000000-0005-0000-0000-0000F7060000}"/>
    <cellStyle name="Comma 4 9" xfId="434" xr:uid="{00000000-0005-0000-0000-0000F8060000}"/>
    <cellStyle name="Comma 40" xfId="8270" xr:uid="{00000000-0005-0000-0000-0000F9060000}"/>
    <cellStyle name="Comma 41" xfId="13784" xr:uid="{539B01F8-39C4-45C3-A193-38D578B80EA6}"/>
    <cellStyle name="Comma 5" xfId="435" xr:uid="{00000000-0005-0000-0000-0000FA060000}"/>
    <cellStyle name="Comma 5 2" xfId="436" xr:uid="{00000000-0005-0000-0000-0000FB060000}"/>
    <cellStyle name="Comma 5 2 2" xfId="8271" xr:uid="{00000000-0005-0000-0000-0000FC060000}"/>
    <cellStyle name="Comma 5 3" xfId="8272" xr:uid="{00000000-0005-0000-0000-0000FD060000}"/>
    <cellStyle name="Comma 5 4" xfId="8273" xr:uid="{00000000-0005-0000-0000-0000FE060000}"/>
    <cellStyle name="Comma 5 5" xfId="8274" xr:uid="{00000000-0005-0000-0000-0000FF060000}"/>
    <cellStyle name="Comma 5 6" xfId="8275" xr:uid="{00000000-0005-0000-0000-000000070000}"/>
    <cellStyle name="Comma 6" xfId="437" xr:uid="{00000000-0005-0000-0000-000001070000}"/>
    <cellStyle name="Comma 6 2" xfId="8276" xr:uid="{00000000-0005-0000-0000-000002070000}"/>
    <cellStyle name="Comma 6 2 2" xfId="8277" xr:uid="{00000000-0005-0000-0000-000003070000}"/>
    <cellStyle name="Comma 6 3" xfId="8278" xr:uid="{00000000-0005-0000-0000-000004070000}"/>
    <cellStyle name="Comma 6 4" xfId="8279" xr:uid="{00000000-0005-0000-0000-000005070000}"/>
    <cellStyle name="Comma 6 5" xfId="8280" xr:uid="{00000000-0005-0000-0000-000006070000}"/>
    <cellStyle name="Comma 6 6" xfId="8281" xr:uid="{00000000-0005-0000-0000-000007070000}"/>
    <cellStyle name="Comma 6 7" xfId="8282" xr:uid="{00000000-0005-0000-0000-000008070000}"/>
    <cellStyle name="Comma 7" xfId="8283" xr:uid="{00000000-0005-0000-0000-000009070000}"/>
    <cellStyle name="Comma 7 2" xfId="8284" xr:uid="{00000000-0005-0000-0000-00000A070000}"/>
    <cellStyle name="Comma 7 3" xfId="8285" xr:uid="{00000000-0005-0000-0000-00000B070000}"/>
    <cellStyle name="Comma 7 4" xfId="8286" xr:uid="{00000000-0005-0000-0000-00000C070000}"/>
    <cellStyle name="Comma 7 5" xfId="8287" xr:uid="{00000000-0005-0000-0000-00000D070000}"/>
    <cellStyle name="Comma 8" xfId="8288" xr:uid="{00000000-0005-0000-0000-00000E070000}"/>
    <cellStyle name="Comma 8 2" xfId="8289" xr:uid="{00000000-0005-0000-0000-00000F070000}"/>
    <cellStyle name="Comma 8 3" xfId="8290" xr:uid="{00000000-0005-0000-0000-000010070000}"/>
    <cellStyle name="Comma 8 4" xfId="8291" xr:uid="{00000000-0005-0000-0000-000011070000}"/>
    <cellStyle name="Comma 8 5" xfId="8292" xr:uid="{00000000-0005-0000-0000-000012070000}"/>
    <cellStyle name="Comma 9" xfId="8293" xr:uid="{00000000-0005-0000-0000-000013070000}"/>
    <cellStyle name="Comma 9 2" xfId="8294" xr:uid="{00000000-0005-0000-0000-000014070000}"/>
    <cellStyle name="Comma 9 3" xfId="8295" xr:uid="{00000000-0005-0000-0000-000015070000}"/>
    <cellStyle name="Comma 9 4" xfId="8296" xr:uid="{00000000-0005-0000-0000-000016070000}"/>
    <cellStyle name="Comma 9 5" xfId="8297" xr:uid="{00000000-0005-0000-0000-000017070000}"/>
    <cellStyle name="Comma0" xfId="8298" xr:uid="{00000000-0005-0000-0000-000018070000}"/>
    <cellStyle name="Comma0 2" xfId="8299" xr:uid="{00000000-0005-0000-0000-000019070000}"/>
    <cellStyle name="Company" xfId="8300" xr:uid="{00000000-0005-0000-0000-00001A070000}"/>
    <cellStyle name="Constant" xfId="8301" xr:uid="{00000000-0005-0000-0000-00001B070000}"/>
    <cellStyle name="Copied" xfId="8302" xr:uid="{00000000-0005-0000-0000-00001C070000}"/>
    <cellStyle name="Copied 2" xfId="8303" xr:uid="{00000000-0005-0000-0000-00001D070000}"/>
    <cellStyle name="Copied 3" xfId="8304" xr:uid="{00000000-0005-0000-0000-00001E070000}"/>
    <cellStyle name="Copied 4" xfId="8305" xr:uid="{00000000-0005-0000-0000-00001F070000}"/>
    <cellStyle name="COST1" xfId="8306" xr:uid="{00000000-0005-0000-0000-000020070000}"/>
    <cellStyle name="COST1 2" xfId="8307" xr:uid="{00000000-0005-0000-0000-000021070000}"/>
    <cellStyle name="COST1 3" xfId="8308" xr:uid="{00000000-0005-0000-0000-000022070000}"/>
    <cellStyle name="COST1 4" xfId="8309" xr:uid="{00000000-0005-0000-0000-000023070000}"/>
    <cellStyle name="CoTitle" xfId="8310" xr:uid="{00000000-0005-0000-0000-000024070000}"/>
    <cellStyle name="CoTitle 2" xfId="8311" xr:uid="{00000000-0005-0000-0000-000025070000}"/>
    <cellStyle name="CoTitle 2 2" xfId="8312" xr:uid="{00000000-0005-0000-0000-000026070000}"/>
    <cellStyle name="CoTitle 2 3" xfId="8313" xr:uid="{00000000-0005-0000-0000-000027070000}"/>
    <cellStyle name="CoTitle 3" xfId="8314" xr:uid="{00000000-0005-0000-0000-000028070000}"/>
    <cellStyle name="CoTitle 3 2" xfId="8315" xr:uid="{00000000-0005-0000-0000-000029070000}"/>
    <cellStyle name="CoTitle 3 3" xfId="8316" xr:uid="{00000000-0005-0000-0000-00002A070000}"/>
    <cellStyle name="CoTitle 4" xfId="8317" xr:uid="{00000000-0005-0000-0000-00002B070000}"/>
    <cellStyle name="CoTitle 4 2" xfId="8318" xr:uid="{00000000-0005-0000-0000-00002C070000}"/>
    <cellStyle name="CoTitle 4 3" xfId="8319" xr:uid="{00000000-0005-0000-0000-00002D070000}"/>
    <cellStyle name="CurRatio" xfId="8320" xr:uid="{00000000-0005-0000-0000-00002E070000}"/>
    <cellStyle name="Currency (0)" xfId="8321" xr:uid="{00000000-0005-0000-0000-000030070000}"/>
    <cellStyle name="Currency (2)" xfId="8322" xr:uid="{00000000-0005-0000-0000-000031070000}"/>
    <cellStyle name="Currency [00]" xfId="8323" xr:uid="{00000000-0005-0000-0000-000032070000}"/>
    <cellStyle name="Currency [1]" xfId="8324" xr:uid="{00000000-0005-0000-0000-000033070000}"/>
    <cellStyle name="Currency [1] 2" xfId="8325" xr:uid="{00000000-0005-0000-0000-000034070000}"/>
    <cellStyle name="Currency [2]" xfId="8326" xr:uid="{00000000-0005-0000-0000-000035070000}"/>
    <cellStyle name="Currency 10" xfId="8327" xr:uid="{00000000-0005-0000-0000-000036070000}"/>
    <cellStyle name="Currency 11" xfId="8328" xr:uid="{00000000-0005-0000-0000-000037070000}"/>
    <cellStyle name="Currency 12" xfId="8329" xr:uid="{00000000-0005-0000-0000-000038070000}"/>
    <cellStyle name="Currency 13" xfId="8330" xr:uid="{00000000-0005-0000-0000-000039070000}"/>
    <cellStyle name="Currency 14" xfId="8331" xr:uid="{00000000-0005-0000-0000-00003A070000}"/>
    <cellStyle name="Currency 15" xfId="13785" xr:uid="{AC976FC4-E8A1-40BE-84A3-FCAE3F3CD719}"/>
    <cellStyle name="Currency 2" xfId="438" xr:uid="{00000000-0005-0000-0000-00003B070000}"/>
    <cellStyle name="Currency 2 10" xfId="439" xr:uid="{00000000-0005-0000-0000-00003C070000}"/>
    <cellStyle name="Currency 2 10 2" xfId="440" xr:uid="{00000000-0005-0000-0000-00003D070000}"/>
    <cellStyle name="Currency 2 11" xfId="441" xr:uid="{00000000-0005-0000-0000-00003E070000}"/>
    <cellStyle name="Currency 2 11 2" xfId="442" xr:uid="{00000000-0005-0000-0000-00003F070000}"/>
    <cellStyle name="Currency 2 12" xfId="443" xr:uid="{00000000-0005-0000-0000-000040070000}"/>
    <cellStyle name="Currency 2 12 2" xfId="444" xr:uid="{00000000-0005-0000-0000-000041070000}"/>
    <cellStyle name="Currency 2 13" xfId="445" xr:uid="{00000000-0005-0000-0000-000042070000}"/>
    <cellStyle name="Currency 2 13 2" xfId="446" xr:uid="{00000000-0005-0000-0000-000043070000}"/>
    <cellStyle name="Currency 2 14" xfId="447" xr:uid="{00000000-0005-0000-0000-000044070000}"/>
    <cellStyle name="Currency 2 14 2" xfId="448" xr:uid="{00000000-0005-0000-0000-000045070000}"/>
    <cellStyle name="Currency 2 15" xfId="449" xr:uid="{00000000-0005-0000-0000-000046070000}"/>
    <cellStyle name="Currency 2 15 2" xfId="450" xr:uid="{00000000-0005-0000-0000-000047070000}"/>
    <cellStyle name="Currency 2 16" xfId="451" xr:uid="{00000000-0005-0000-0000-000048070000}"/>
    <cellStyle name="Currency 2 16 2" xfId="452" xr:uid="{00000000-0005-0000-0000-000049070000}"/>
    <cellStyle name="Currency 2 17" xfId="453" xr:uid="{00000000-0005-0000-0000-00004A070000}"/>
    <cellStyle name="Currency 2 17 2" xfId="454" xr:uid="{00000000-0005-0000-0000-00004B070000}"/>
    <cellStyle name="Currency 2 18" xfId="455" xr:uid="{00000000-0005-0000-0000-00004C070000}"/>
    <cellStyle name="Currency 2 18 2" xfId="456" xr:uid="{00000000-0005-0000-0000-00004D070000}"/>
    <cellStyle name="Currency 2 19" xfId="457" xr:uid="{00000000-0005-0000-0000-00004E070000}"/>
    <cellStyle name="Currency 2 19 2" xfId="458" xr:uid="{00000000-0005-0000-0000-00004F070000}"/>
    <cellStyle name="Currency 2 2" xfId="459" xr:uid="{00000000-0005-0000-0000-000050070000}"/>
    <cellStyle name="Currency 2 2 2" xfId="460" xr:uid="{00000000-0005-0000-0000-000051070000}"/>
    <cellStyle name="Currency 2 20" xfId="461" xr:uid="{00000000-0005-0000-0000-000052070000}"/>
    <cellStyle name="Currency 2 20 2" xfId="462" xr:uid="{00000000-0005-0000-0000-000053070000}"/>
    <cellStyle name="Currency 2 21" xfId="463" xr:uid="{00000000-0005-0000-0000-000054070000}"/>
    <cellStyle name="Currency 2 21 2" xfId="464" xr:uid="{00000000-0005-0000-0000-000055070000}"/>
    <cellStyle name="Currency 2 22" xfId="465" xr:uid="{00000000-0005-0000-0000-000056070000}"/>
    <cellStyle name="Currency 2 22 2" xfId="466" xr:uid="{00000000-0005-0000-0000-000057070000}"/>
    <cellStyle name="Currency 2 23" xfId="467" xr:uid="{00000000-0005-0000-0000-000058070000}"/>
    <cellStyle name="Currency 2 23 2" xfId="468" xr:uid="{00000000-0005-0000-0000-000059070000}"/>
    <cellStyle name="Currency 2 24" xfId="469" xr:uid="{00000000-0005-0000-0000-00005A070000}"/>
    <cellStyle name="Currency 2 24 2" xfId="470" xr:uid="{00000000-0005-0000-0000-00005B070000}"/>
    <cellStyle name="Currency 2 25" xfId="471" xr:uid="{00000000-0005-0000-0000-00005C070000}"/>
    <cellStyle name="Currency 2 25 2" xfId="472" xr:uid="{00000000-0005-0000-0000-00005D070000}"/>
    <cellStyle name="Currency 2 26" xfId="473" xr:uid="{00000000-0005-0000-0000-00005E070000}"/>
    <cellStyle name="Currency 2 26 2" xfId="474" xr:uid="{00000000-0005-0000-0000-00005F070000}"/>
    <cellStyle name="Currency 2 27" xfId="475" xr:uid="{00000000-0005-0000-0000-000060070000}"/>
    <cellStyle name="Currency 2 27 2" xfId="476" xr:uid="{00000000-0005-0000-0000-000061070000}"/>
    <cellStyle name="Currency 2 28" xfId="477" xr:uid="{00000000-0005-0000-0000-000062070000}"/>
    <cellStyle name="Currency 2 28 2" xfId="478" xr:uid="{00000000-0005-0000-0000-000063070000}"/>
    <cellStyle name="Currency 2 29" xfId="479" xr:uid="{00000000-0005-0000-0000-000064070000}"/>
    <cellStyle name="Currency 2 29 2" xfId="480" xr:uid="{00000000-0005-0000-0000-000065070000}"/>
    <cellStyle name="Currency 2 3" xfId="481" xr:uid="{00000000-0005-0000-0000-000066070000}"/>
    <cellStyle name="Currency 2 3 2" xfId="482" xr:uid="{00000000-0005-0000-0000-000067070000}"/>
    <cellStyle name="Currency 2 30" xfId="483" xr:uid="{00000000-0005-0000-0000-000068070000}"/>
    <cellStyle name="Currency 2 30 2" xfId="484" xr:uid="{00000000-0005-0000-0000-000069070000}"/>
    <cellStyle name="Currency 2 31" xfId="485" xr:uid="{00000000-0005-0000-0000-00006A070000}"/>
    <cellStyle name="Currency 2 31 2" xfId="486" xr:uid="{00000000-0005-0000-0000-00006B070000}"/>
    <cellStyle name="Currency 2 32" xfId="487" xr:uid="{00000000-0005-0000-0000-00006C070000}"/>
    <cellStyle name="Currency 2 32 2" xfId="488" xr:uid="{00000000-0005-0000-0000-00006D070000}"/>
    <cellStyle name="Currency 2 33" xfId="489" xr:uid="{00000000-0005-0000-0000-00006E070000}"/>
    <cellStyle name="Currency 2 33 2" xfId="490" xr:uid="{00000000-0005-0000-0000-00006F070000}"/>
    <cellStyle name="Currency 2 34" xfId="491" xr:uid="{00000000-0005-0000-0000-000070070000}"/>
    <cellStyle name="Currency 2 34 2" xfId="492" xr:uid="{00000000-0005-0000-0000-000071070000}"/>
    <cellStyle name="Currency 2 35" xfId="493" xr:uid="{00000000-0005-0000-0000-000072070000}"/>
    <cellStyle name="Currency 2 35 2" xfId="494" xr:uid="{00000000-0005-0000-0000-000073070000}"/>
    <cellStyle name="Currency 2 36" xfId="495" xr:uid="{00000000-0005-0000-0000-000074070000}"/>
    <cellStyle name="Currency 2 36 2" xfId="496" xr:uid="{00000000-0005-0000-0000-000075070000}"/>
    <cellStyle name="Currency 2 37" xfId="497" xr:uid="{00000000-0005-0000-0000-000076070000}"/>
    <cellStyle name="Currency 2 37 2" xfId="498" xr:uid="{00000000-0005-0000-0000-000077070000}"/>
    <cellStyle name="Currency 2 38" xfId="499" xr:uid="{00000000-0005-0000-0000-000078070000}"/>
    <cellStyle name="Currency 2 38 2" xfId="500" xr:uid="{00000000-0005-0000-0000-000079070000}"/>
    <cellStyle name="Currency 2 39" xfId="501" xr:uid="{00000000-0005-0000-0000-00007A070000}"/>
    <cellStyle name="Currency 2 39 2" xfId="502" xr:uid="{00000000-0005-0000-0000-00007B070000}"/>
    <cellStyle name="Currency 2 4" xfId="503" xr:uid="{00000000-0005-0000-0000-00007C070000}"/>
    <cellStyle name="Currency 2 4 2" xfId="504" xr:uid="{00000000-0005-0000-0000-00007D070000}"/>
    <cellStyle name="Currency 2 40" xfId="505" xr:uid="{00000000-0005-0000-0000-00007E070000}"/>
    <cellStyle name="Currency 2 40 2" xfId="506" xr:uid="{00000000-0005-0000-0000-00007F070000}"/>
    <cellStyle name="Currency 2 41" xfId="507" xr:uid="{00000000-0005-0000-0000-000080070000}"/>
    <cellStyle name="Currency 2 41 2" xfId="508" xr:uid="{00000000-0005-0000-0000-000081070000}"/>
    <cellStyle name="Currency 2 42" xfId="509" xr:uid="{00000000-0005-0000-0000-000082070000}"/>
    <cellStyle name="Currency 2 42 2" xfId="510" xr:uid="{00000000-0005-0000-0000-000083070000}"/>
    <cellStyle name="Currency 2 43" xfId="511" xr:uid="{00000000-0005-0000-0000-000084070000}"/>
    <cellStyle name="Currency 2 43 2" xfId="512" xr:uid="{00000000-0005-0000-0000-000085070000}"/>
    <cellStyle name="Currency 2 44" xfId="513" xr:uid="{00000000-0005-0000-0000-000086070000}"/>
    <cellStyle name="Currency 2 45" xfId="514" xr:uid="{00000000-0005-0000-0000-000087070000}"/>
    <cellStyle name="Currency 2 46" xfId="7173" xr:uid="{00000000-0005-0000-0000-000088070000}"/>
    <cellStyle name="Currency 2 5" xfId="515" xr:uid="{00000000-0005-0000-0000-000089070000}"/>
    <cellStyle name="Currency 2 5 2" xfId="516" xr:uid="{00000000-0005-0000-0000-00008A070000}"/>
    <cellStyle name="Currency 2 6" xfId="517" xr:uid="{00000000-0005-0000-0000-00008B070000}"/>
    <cellStyle name="Currency 2 6 2" xfId="518" xr:uid="{00000000-0005-0000-0000-00008C070000}"/>
    <cellStyle name="Currency 2 7" xfId="519" xr:uid="{00000000-0005-0000-0000-00008D070000}"/>
    <cellStyle name="Currency 2 7 2" xfId="520" xr:uid="{00000000-0005-0000-0000-00008E070000}"/>
    <cellStyle name="Currency 2 8" xfId="521" xr:uid="{00000000-0005-0000-0000-00008F070000}"/>
    <cellStyle name="Currency 2 8 2" xfId="522" xr:uid="{00000000-0005-0000-0000-000090070000}"/>
    <cellStyle name="Currency 2 9" xfId="523" xr:uid="{00000000-0005-0000-0000-000091070000}"/>
    <cellStyle name="Currency 2 9 2" xfId="524" xr:uid="{00000000-0005-0000-0000-000092070000}"/>
    <cellStyle name="Currency 3" xfId="525" xr:uid="{00000000-0005-0000-0000-000093070000}"/>
    <cellStyle name="Currency 3 2" xfId="526" xr:uid="{00000000-0005-0000-0000-000094070000}"/>
    <cellStyle name="Currency 3 2 2" xfId="527" xr:uid="{00000000-0005-0000-0000-000095070000}"/>
    <cellStyle name="Currency 3 2 2 2" xfId="2646" xr:uid="{00000000-0005-0000-0000-000096070000}"/>
    <cellStyle name="Currency 3 2 3" xfId="2645" xr:uid="{00000000-0005-0000-0000-000097070000}"/>
    <cellStyle name="Currency 3 3" xfId="528" xr:uid="{00000000-0005-0000-0000-000098070000}"/>
    <cellStyle name="Currency 3 3 2" xfId="2647" xr:uid="{00000000-0005-0000-0000-000099070000}"/>
    <cellStyle name="Currency 3 4" xfId="529" xr:uid="{00000000-0005-0000-0000-00009A070000}"/>
    <cellStyle name="Currency 3 4 2" xfId="2648" xr:uid="{00000000-0005-0000-0000-00009B070000}"/>
    <cellStyle name="Currency 4" xfId="8332" xr:uid="{00000000-0005-0000-0000-00009C070000}"/>
    <cellStyle name="Currency 5" xfId="8333" xr:uid="{00000000-0005-0000-0000-00009D070000}"/>
    <cellStyle name="Currency 5 2" xfId="8334" xr:uid="{00000000-0005-0000-0000-00009E070000}"/>
    <cellStyle name="Currency 5 3" xfId="8335" xr:uid="{00000000-0005-0000-0000-00009F070000}"/>
    <cellStyle name="Currency 5 3 2" xfId="8336" xr:uid="{00000000-0005-0000-0000-0000A0070000}"/>
    <cellStyle name="Currency 6" xfId="8337" xr:uid="{00000000-0005-0000-0000-0000A1070000}"/>
    <cellStyle name="Currency 7" xfId="8338" xr:uid="{00000000-0005-0000-0000-0000A2070000}"/>
    <cellStyle name="Currency 8" xfId="8339" xr:uid="{00000000-0005-0000-0000-0000A3070000}"/>
    <cellStyle name="Currency 9" xfId="8340" xr:uid="{00000000-0005-0000-0000-0000A4070000}"/>
    <cellStyle name="Currency1" xfId="8341" xr:uid="{00000000-0005-0000-0000-0000A5070000}"/>
    <cellStyle name="CUS.Work.Area" xfId="8342" xr:uid="{00000000-0005-0000-0000-0000A6070000}"/>
    <cellStyle name="Dash" xfId="8343" xr:uid="{00000000-0005-0000-0000-0000A7070000}"/>
    <cellStyle name="data" xfId="8344" xr:uid="{00000000-0005-0000-0000-0000A8070000}"/>
    <cellStyle name="database" xfId="8345" xr:uid="{00000000-0005-0000-0000-0000A9070000}"/>
    <cellStyle name="Date" xfId="8346" xr:uid="{00000000-0005-0000-0000-0000AA070000}"/>
    <cellStyle name="Date - d-mmm" xfId="8347" xr:uid="{00000000-0005-0000-0000-0000AB070000}"/>
    <cellStyle name="Date - d-mmm-yy" xfId="8348" xr:uid="{00000000-0005-0000-0000-0000AC070000}"/>
    <cellStyle name="Date - mmm-yy" xfId="8349" xr:uid="{00000000-0005-0000-0000-0000AD070000}"/>
    <cellStyle name="Date [d-mmm-yy]" xfId="8350" xr:uid="{00000000-0005-0000-0000-0000AE070000}"/>
    <cellStyle name="Date [mm-d-yy]" xfId="8351" xr:uid="{00000000-0005-0000-0000-0000AF070000}"/>
    <cellStyle name="Date [mm-d-yyyy]" xfId="8352" xr:uid="{00000000-0005-0000-0000-0000B0070000}"/>
    <cellStyle name="Date [mmm-yy]" xfId="8353" xr:uid="{00000000-0005-0000-0000-0000B1070000}"/>
    <cellStyle name="Date 10" xfId="8354" xr:uid="{00000000-0005-0000-0000-0000B2070000}"/>
    <cellStyle name="Date 10 2" xfId="8355" xr:uid="{00000000-0005-0000-0000-0000B3070000}"/>
    <cellStyle name="Date 10 2 2" xfId="8356" xr:uid="{00000000-0005-0000-0000-0000B4070000}"/>
    <cellStyle name="Date 10 2 2 2" xfId="8357" xr:uid="{00000000-0005-0000-0000-0000B5070000}"/>
    <cellStyle name="Date 10 2 2 3" xfId="8358" xr:uid="{00000000-0005-0000-0000-0000B6070000}"/>
    <cellStyle name="Date 10 2 2 4" xfId="8359" xr:uid="{00000000-0005-0000-0000-0000B7070000}"/>
    <cellStyle name="Date 10 2 2 5" xfId="8360" xr:uid="{00000000-0005-0000-0000-0000B8070000}"/>
    <cellStyle name="Date 10 2 2 6" xfId="8361" xr:uid="{00000000-0005-0000-0000-0000B9070000}"/>
    <cellStyle name="Date 10 2 2 7" xfId="8362" xr:uid="{00000000-0005-0000-0000-0000BA070000}"/>
    <cellStyle name="Date 10 2 3" xfId="8363" xr:uid="{00000000-0005-0000-0000-0000BB070000}"/>
    <cellStyle name="Date 10 2 4" xfId="8364" xr:uid="{00000000-0005-0000-0000-0000BC070000}"/>
    <cellStyle name="Date 10 2 5" xfId="8365" xr:uid="{00000000-0005-0000-0000-0000BD070000}"/>
    <cellStyle name="Date 10 2 6" xfId="8366" xr:uid="{00000000-0005-0000-0000-0000BE070000}"/>
    <cellStyle name="Date 10 2 7" xfId="8367" xr:uid="{00000000-0005-0000-0000-0000BF070000}"/>
    <cellStyle name="Date 10 2 8" xfId="8368" xr:uid="{00000000-0005-0000-0000-0000C0070000}"/>
    <cellStyle name="Date 10 3" xfId="8369" xr:uid="{00000000-0005-0000-0000-0000C1070000}"/>
    <cellStyle name="Date 10 3 2" xfId="8370" xr:uid="{00000000-0005-0000-0000-0000C2070000}"/>
    <cellStyle name="Date 10 3 3" xfId="8371" xr:uid="{00000000-0005-0000-0000-0000C3070000}"/>
    <cellStyle name="Date 10 3 4" xfId="8372" xr:uid="{00000000-0005-0000-0000-0000C4070000}"/>
    <cellStyle name="Date 10 3 5" xfId="8373" xr:uid="{00000000-0005-0000-0000-0000C5070000}"/>
    <cellStyle name="Date 10 3 6" xfId="8374" xr:uid="{00000000-0005-0000-0000-0000C6070000}"/>
    <cellStyle name="Date 10 3 7" xfId="8375" xr:uid="{00000000-0005-0000-0000-0000C7070000}"/>
    <cellStyle name="Date 10 4" xfId="8376" xr:uid="{00000000-0005-0000-0000-0000C8070000}"/>
    <cellStyle name="Date 10 5" xfId="8377" xr:uid="{00000000-0005-0000-0000-0000C9070000}"/>
    <cellStyle name="Date 10 6" xfId="8378" xr:uid="{00000000-0005-0000-0000-0000CA070000}"/>
    <cellStyle name="Date 10 7" xfId="8379" xr:uid="{00000000-0005-0000-0000-0000CB070000}"/>
    <cellStyle name="Date 10 8" xfId="8380" xr:uid="{00000000-0005-0000-0000-0000CC070000}"/>
    <cellStyle name="Date 10 9" xfId="8381" xr:uid="{00000000-0005-0000-0000-0000CD070000}"/>
    <cellStyle name="Date 11" xfId="8382" xr:uid="{00000000-0005-0000-0000-0000CE070000}"/>
    <cellStyle name="Date 11 2" xfId="8383" xr:uid="{00000000-0005-0000-0000-0000CF070000}"/>
    <cellStyle name="Date 11 2 2" xfId="8384" xr:uid="{00000000-0005-0000-0000-0000D0070000}"/>
    <cellStyle name="Date 11 2 2 2" xfId="8385" xr:uid="{00000000-0005-0000-0000-0000D1070000}"/>
    <cellStyle name="Date 11 2 2 3" xfId="8386" xr:uid="{00000000-0005-0000-0000-0000D2070000}"/>
    <cellStyle name="Date 11 2 2 4" xfId="8387" xr:uid="{00000000-0005-0000-0000-0000D3070000}"/>
    <cellStyle name="Date 11 2 2 5" xfId="8388" xr:uid="{00000000-0005-0000-0000-0000D4070000}"/>
    <cellStyle name="Date 11 2 3" xfId="8389" xr:uid="{00000000-0005-0000-0000-0000D5070000}"/>
    <cellStyle name="Date 11 2 4" xfId="8390" xr:uid="{00000000-0005-0000-0000-0000D6070000}"/>
    <cellStyle name="Date 11 2 5" xfId="8391" xr:uid="{00000000-0005-0000-0000-0000D7070000}"/>
    <cellStyle name="Date 11 2 6" xfId="8392" xr:uid="{00000000-0005-0000-0000-0000D8070000}"/>
    <cellStyle name="Date 11 2 7" xfId="8393" xr:uid="{00000000-0005-0000-0000-0000D9070000}"/>
    <cellStyle name="Date 11 2 8" xfId="8394" xr:uid="{00000000-0005-0000-0000-0000DA070000}"/>
    <cellStyle name="Date 11 3" xfId="8395" xr:uid="{00000000-0005-0000-0000-0000DB070000}"/>
    <cellStyle name="Date 11 3 2" xfId="8396" xr:uid="{00000000-0005-0000-0000-0000DC070000}"/>
    <cellStyle name="Date 11 3 3" xfId="8397" xr:uid="{00000000-0005-0000-0000-0000DD070000}"/>
    <cellStyle name="Date 11 3 4" xfId="8398" xr:uid="{00000000-0005-0000-0000-0000DE070000}"/>
    <cellStyle name="Date 11 3 5" xfId="8399" xr:uid="{00000000-0005-0000-0000-0000DF070000}"/>
    <cellStyle name="Date 11 3 6" xfId="8400" xr:uid="{00000000-0005-0000-0000-0000E0070000}"/>
    <cellStyle name="Date 11 3 7" xfId="8401" xr:uid="{00000000-0005-0000-0000-0000E1070000}"/>
    <cellStyle name="Date 11 4" xfId="8402" xr:uid="{00000000-0005-0000-0000-0000E2070000}"/>
    <cellStyle name="Date 11 5" xfId="8403" xr:uid="{00000000-0005-0000-0000-0000E3070000}"/>
    <cellStyle name="Date 11 6" xfId="8404" xr:uid="{00000000-0005-0000-0000-0000E4070000}"/>
    <cellStyle name="Date 11 7" xfId="8405" xr:uid="{00000000-0005-0000-0000-0000E5070000}"/>
    <cellStyle name="Date 11 8" xfId="8406" xr:uid="{00000000-0005-0000-0000-0000E6070000}"/>
    <cellStyle name="Date 11 9" xfId="8407" xr:uid="{00000000-0005-0000-0000-0000E7070000}"/>
    <cellStyle name="Date 12" xfId="8408" xr:uid="{00000000-0005-0000-0000-0000E8070000}"/>
    <cellStyle name="Date 12 2" xfId="8409" xr:uid="{00000000-0005-0000-0000-0000E9070000}"/>
    <cellStyle name="Date 12 2 2" xfId="8410" xr:uid="{00000000-0005-0000-0000-0000EA070000}"/>
    <cellStyle name="Date 12 2 3" xfId="8411" xr:uid="{00000000-0005-0000-0000-0000EB070000}"/>
    <cellStyle name="Date 12 2 4" xfId="8412" xr:uid="{00000000-0005-0000-0000-0000EC070000}"/>
    <cellStyle name="Date 12 2 5" xfId="8413" xr:uid="{00000000-0005-0000-0000-0000ED070000}"/>
    <cellStyle name="Date 12 2 6" xfId="8414" xr:uid="{00000000-0005-0000-0000-0000EE070000}"/>
    <cellStyle name="Date 12 2 7" xfId="8415" xr:uid="{00000000-0005-0000-0000-0000EF070000}"/>
    <cellStyle name="Date 12 3" xfId="8416" xr:uid="{00000000-0005-0000-0000-0000F0070000}"/>
    <cellStyle name="Date 12 4" xfId="8417" xr:uid="{00000000-0005-0000-0000-0000F1070000}"/>
    <cellStyle name="Date 12 5" xfId="8418" xr:uid="{00000000-0005-0000-0000-0000F2070000}"/>
    <cellStyle name="Date 12 6" xfId="8419" xr:uid="{00000000-0005-0000-0000-0000F3070000}"/>
    <cellStyle name="Date 12 7" xfId="8420" xr:uid="{00000000-0005-0000-0000-0000F4070000}"/>
    <cellStyle name="Date 12 8" xfId="8421" xr:uid="{00000000-0005-0000-0000-0000F5070000}"/>
    <cellStyle name="Date 13" xfId="8422" xr:uid="{00000000-0005-0000-0000-0000F6070000}"/>
    <cellStyle name="Date 13 2" xfId="8423" xr:uid="{00000000-0005-0000-0000-0000F7070000}"/>
    <cellStyle name="Date 13 2 2" xfId="8424" xr:uid="{00000000-0005-0000-0000-0000F8070000}"/>
    <cellStyle name="Date 13 2 3" xfId="8425" xr:uid="{00000000-0005-0000-0000-0000F9070000}"/>
    <cellStyle name="Date 13 2 4" xfId="8426" xr:uid="{00000000-0005-0000-0000-0000FA070000}"/>
    <cellStyle name="Date 13 2 5" xfId="8427" xr:uid="{00000000-0005-0000-0000-0000FB070000}"/>
    <cellStyle name="Date 13 2 6" xfId="8428" xr:uid="{00000000-0005-0000-0000-0000FC070000}"/>
    <cellStyle name="Date 13 2 7" xfId="8429" xr:uid="{00000000-0005-0000-0000-0000FD070000}"/>
    <cellStyle name="Date 13 3" xfId="8430" xr:uid="{00000000-0005-0000-0000-0000FE070000}"/>
    <cellStyle name="Date 13 4" xfId="8431" xr:uid="{00000000-0005-0000-0000-0000FF070000}"/>
    <cellStyle name="Date 13 5" xfId="8432" xr:uid="{00000000-0005-0000-0000-000000080000}"/>
    <cellStyle name="Date 13 6" xfId="8433" xr:uid="{00000000-0005-0000-0000-000001080000}"/>
    <cellStyle name="Date 13 7" xfId="8434" xr:uid="{00000000-0005-0000-0000-000002080000}"/>
    <cellStyle name="Date 13 8" xfId="8435" xr:uid="{00000000-0005-0000-0000-000003080000}"/>
    <cellStyle name="Date 14" xfId="8436" xr:uid="{00000000-0005-0000-0000-000004080000}"/>
    <cellStyle name="Date 14 2" xfId="8437" xr:uid="{00000000-0005-0000-0000-000005080000}"/>
    <cellStyle name="Date 14 2 2" xfId="8438" xr:uid="{00000000-0005-0000-0000-000006080000}"/>
    <cellStyle name="Date 14 2 3" xfId="8439" xr:uid="{00000000-0005-0000-0000-000007080000}"/>
    <cellStyle name="Date 14 2 4" xfId="8440" xr:uid="{00000000-0005-0000-0000-000008080000}"/>
    <cellStyle name="Date 14 2 5" xfId="8441" xr:uid="{00000000-0005-0000-0000-000009080000}"/>
    <cellStyle name="Date 14 3" xfId="8442" xr:uid="{00000000-0005-0000-0000-00000A080000}"/>
    <cellStyle name="Date 14 4" xfId="8443" xr:uid="{00000000-0005-0000-0000-00000B080000}"/>
    <cellStyle name="Date 14 5" xfId="8444" xr:uid="{00000000-0005-0000-0000-00000C080000}"/>
    <cellStyle name="Date 14 6" xfId="8445" xr:uid="{00000000-0005-0000-0000-00000D080000}"/>
    <cellStyle name="Date 14 7" xfId="8446" xr:uid="{00000000-0005-0000-0000-00000E080000}"/>
    <cellStyle name="Date 14 8" xfId="8447" xr:uid="{00000000-0005-0000-0000-00000F080000}"/>
    <cellStyle name="Date 15" xfId="8448" xr:uid="{00000000-0005-0000-0000-000010080000}"/>
    <cellStyle name="Date 15 2" xfId="8449" xr:uid="{00000000-0005-0000-0000-000011080000}"/>
    <cellStyle name="Date 15 2 2" xfId="8450" xr:uid="{00000000-0005-0000-0000-000012080000}"/>
    <cellStyle name="Date 15 2 3" xfId="8451" xr:uid="{00000000-0005-0000-0000-000013080000}"/>
    <cellStyle name="Date 15 2 4" xfId="8452" xr:uid="{00000000-0005-0000-0000-000014080000}"/>
    <cellStyle name="Date 15 2 5" xfId="8453" xr:uid="{00000000-0005-0000-0000-000015080000}"/>
    <cellStyle name="Date 15 3" xfId="8454" xr:uid="{00000000-0005-0000-0000-000016080000}"/>
    <cellStyle name="Date 15 4" xfId="8455" xr:uid="{00000000-0005-0000-0000-000017080000}"/>
    <cellStyle name="Date 15 5" xfId="8456" xr:uid="{00000000-0005-0000-0000-000018080000}"/>
    <cellStyle name="Date 15 6" xfId="8457" xr:uid="{00000000-0005-0000-0000-000019080000}"/>
    <cellStyle name="Date 15 7" xfId="8458" xr:uid="{00000000-0005-0000-0000-00001A080000}"/>
    <cellStyle name="Date 15 8" xfId="8459" xr:uid="{00000000-0005-0000-0000-00001B080000}"/>
    <cellStyle name="Date 16" xfId="8460" xr:uid="{00000000-0005-0000-0000-00001C080000}"/>
    <cellStyle name="Date 16 2" xfId="8461" xr:uid="{00000000-0005-0000-0000-00001D080000}"/>
    <cellStyle name="Date 16 3" xfId="8462" xr:uid="{00000000-0005-0000-0000-00001E080000}"/>
    <cellStyle name="Date 16 4" xfId="8463" xr:uid="{00000000-0005-0000-0000-00001F080000}"/>
    <cellStyle name="Date 16 5" xfId="8464" xr:uid="{00000000-0005-0000-0000-000020080000}"/>
    <cellStyle name="Date 16 6" xfId="8465" xr:uid="{00000000-0005-0000-0000-000021080000}"/>
    <cellStyle name="Date 16 7" xfId="8466" xr:uid="{00000000-0005-0000-0000-000022080000}"/>
    <cellStyle name="date 17" xfId="8467" xr:uid="{00000000-0005-0000-0000-000023080000}"/>
    <cellStyle name="date 18" xfId="8468" xr:uid="{00000000-0005-0000-0000-000024080000}"/>
    <cellStyle name="date 19" xfId="8469" xr:uid="{00000000-0005-0000-0000-000025080000}"/>
    <cellStyle name="Date 2" xfId="8470" xr:uid="{00000000-0005-0000-0000-000026080000}"/>
    <cellStyle name="Date 20" xfId="8471" xr:uid="{00000000-0005-0000-0000-000027080000}"/>
    <cellStyle name="Date 20 2" xfId="8472" xr:uid="{00000000-0005-0000-0000-000028080000}"/>
    <cellStyle name="Date 20 3" xfId="8473" xr:uid="{00000000-0005-0000-0000-000029080000}"/>
    <cellStyle name="Date 20 4" xfId="8474" xr:uid="{00000000-0005-0000-0000-00002A080000}"/>
    <cellStyle name="Date 20 5" xfId="8475" xr:uid="{00000000-0005-0000-0000-00002B080000}"/>
    <cellStyle name="Date 21" xfId="8476" xr:uid="{00000000-0005-0000-0000-00002C080000}"/>
    <cellStyle name="Date 21 2" xfId="8477" xr:uid="{00000000-0005-0000-0000-00002D080000}"/>
    <cellStyle name="Date 21 3" xfId="8478" xr:uid="{00000000-0005-0000-0000-00002E080000}"/>
    <cellStyle name="Date 21 4" xfId="8479" xr:uid="{00000000-0005-0000-0000-00002F080000}"/>
    <cellStyle name="Date 21 5" xfId="8480" xr:uid="{00000000-0005-0000-0000-000030080000}"/>
    <cellStyle name="Date 22" xfId="8481" xr:uid="{00000000-0005-0000-0000-000031080000}"/>
    <cellStyle name="Date 22 2" xfId="8482" xr:uid="{00000000-0005-0000-0000-000032080000}"/>
    <cellStyle name="Date 22 3" xfId="8483" xr:uid="{00000000-0005-0000-0000-000033080000}"/>
    <cellStyle name="Date 22 4" xfId="8484" xr:uid="{00000000-0005-0000-0000-000034080000}"/>
    <cellStyle name="Date 22 5" xfId="8485" xr:uid="{00000000-0005-0000-0000-000035080000}"/>
    <cellStyle name="date 23" xfId="8486" xr:uid="{00000000-0005-0000-0000-000036080000}"/>
    <cellStyle name="date 24" xfId="8487" xr:uid="{00000000-0005-0000-0000-000037080000}"/>
    <cellStyle name="date 25" xfId="8488" xr:uid="{00000000-0005-0000-0000-000038080000}"/>
    <cellStyle name="Date 26" xfId="8489" xr:uid="{00000000-0005-0000-0000-000039080000}"/>
    <cellStyle name="Date 27" xfId="8490" xr:uid="{00000000-0005-0000-0000-00003A080000}"/>
    <cellStyle name="Date 28" xfId="8491" xr:uid="{00000000-0005-0000-0000-00003B080000}"/>
    <cellStyle name="Date 29" xfId="8492" xr:uid="{00000000-0005-0000-0000-00003C080000}"/>
    <cellStyle name="date 3" xfId="8493" xr:uid="{00000000-0005-0000-0000-00003D080000}"/>
    <cellStyle name="Date 3 2" xfId="8494" xr:uid="{00000000-0005-0000-0000-00003E080000}"/>
    <cellStyle name="Date 30" xfId="8495" xr:uid="{00000000-0005-0000-0000-00003F080000}"/>
    <cellStyle name="Date 31" xfId="8496" xr:uid="{00000000-0005-0000-0000-000040080000}"/>
    <cellStyle name="Date 32" xfId="8497" xr:uid="{00000000-0005-0000-0000-000041080000}"/>
    <cellStyle name="Date 33" xfId="8498" xr:uid="{00000000-0005-0000-0000-000042080000}"/>
    <cellStyle name="Date 34" xfId="8499" xr:uid="{00000000-0005-0000-0000-000043080000}"/>
    <cellStyle name="date 4" xfId="8500" xr:uid="{00000000-0005-0000-0000-000044080000}"/>
    <cellStyle name="Date 4 2" xfId="8501" xr:uid="{00000000-0005-0000-0000-000045080000}"/>
    <cellStyle name="date 5" xfId="8502" xr:uid="{00000000-0005-0000-0000-000046080000}"/>
    <cellStyle name="Date 5 2" xfId="8503" xr:uid="{00000000-0005-0000-0000-000047080000}"/>
    <cellStyle name="date 6" xfId="8504" xr:uid="{00000000-0005-0000-0000-000048080000}"/>
    <cellStyle name="date 7" xfId="8505" xr:uid="{00000000-0005-0000-0000-000049080000}"/>
    <cellStyle name="date 8" xfId="8506" xr:uid="{00000000-0005-0000-0000-00004A080000}"/>
    <cellStyle name="date 9" xfId="8507" xr:uid="{00000000-0005-0000-0000-00004B080000}"/>
    <cellStyle name="Date Long" xfId="8508" xr:uid="{00000000-0005-0000-0000-00004C080000}"/>
    <cellStyle name="Date Short" xfId="8509" xr:uid="{00000000-0005-0000-0000-00004D080000}"/>
    <cellStyle name="Date[d-mmm-yy]" xfId="8510" xr:uid="{00000000-0005-0000-0000-00004E080000}"/>
    <cellStyle name="Date[d-mmm-yy] 2" xfId="8511" xr:uid="{00000000-0005-0000-0000-00004F080000}"/>
    <cellStyle name="Date[d-mmm-yyyy]" xfId="8512" xr:uid="{00000000-0005-0000-0000-000050080000}"/>
    <cellStyle name="Date[d-mmm-yyyy] 2" xfId="8513" xr:uid="{00000000-0005-0000-0000-000051080000}"/>
    <cellStyle name="Date[mmm-yy]" xfId="8514" xr:uid="{00000000-0005-0000-0000-000052080000}"/>
    <cellStyle name="Date[mmm-yy] 2" xfId="8515" xr:uid="{00000000-0005-0000-0000-000053080000}"/>
    <cellStyle name="Date_AdvancedPowerFinancialsJuly07" xfId="8516" xr:uid="{00000000-0005-0000-0000-000054080000}"/>
    <cellStyle name="Date2" xfId="8517" xr:uid="{00000000-0005-0000-0000-000055080000}"/>
    <cellStyle name="dates" xfId="8518" xr:uid="{00000000-0005-0000-0000-000056080000}"/>
    <cellStyle name="dates 2" xfId="8519" xr:uid="{00000000-0005-0000-0000-000057080000}"/>
    <cellStyle name="dates 3" xfId="8520" xr:uid="{00000000-0005-0000-0000-000058080000}"/>
    <cellStyle name="dates 4" xfId="8521" xr:uid="{00000000-0005-0000-0000-000059080000}"/>
    <cellStyle name="Date-Time" xfId="8522" xr:uid="{00000000-0005-0000-0000-00005A080000}"/>
    <cellStyle name="Day" xfId="8523" xr:uid="{00000000-0005-0000-0000-00005B080000}"/>
    <cellStyle name="Day 2" xfId="8524" xr:uid="{00000000-0005-0000-0000-00005C080000}"/>
    <cellStyle name="Decimal 1" xfId="8525" xr:uid="{00000000-0005-0000-0000-00005D080000}"/>
    <cellStyle name="Decimal 2" xfId="8526" xr:uid="{00000000-0005-0000-0000-00005E080000}"/>
    <cellStyle name="Decimal 3" xfId="8527" xr:uid="{00000000-0005-0000-0000-00005F080000}"/>
    <cellStyle name="Dezimal [0]_expe1" xfId="8528" xr:uid="{00000000-0005-0000-0000-000060080000}"/>
    <cellStyle name="Dezimal_Alte DCT Logik" xfId="8529" xr:uid="{00000000-0005-0000-0000-000061080000}"/>
    <cellStyle name="Diseño" xfId="8530" xr:uid="{00000000-0005-0000-0000-000062080000}"/>
    <cellStyle name="Dollars" xfId="8531" xr:uid="{00000000-0005-0000-0000-000063080000}"/>
    <cellStyle name="Dollars 2" xfId="8532" xr:uid="{00000000-0005-0000-0000-000064080000}"/>
    <cellStyle name="Dollars(0)" xfId="8533" xr:uid="{00000000-0005-0000-0000-000065080000}"/>
    <cellStyle name="Dollars_Book1" xfId="8534" xr:uid="{00000000-0005-0000-0000-000066080000}"/>
    <cellStyle name="Doubletop" xfId="8535" xr:uid="{00000000-0005-0000-0000-000067080000}"/>
    <cellStyle name="Encabezado 1" xfId="8536" xr:uid="{00000000-0005-0000-0000-000068080000}"/>
    <cellStyle name="Encabezado 1 2" xfId="8537" xr:uid="{00000000-0005-0000-0000-000069080000}"/>
    <cellStyle name="Encabezado 1 3" xfId="8538" xr:uid="{00000000-0005-0000-0000-00006A080000}"/>
    <cellStyle name="Encabezado 1 4" xfId="8539" xr:uid="{00000000-0005-0000-0000-00006B080000}"/>
    <cellStyle name="Encabezado 2" xfId="8540" xr:uid="{00000000-0005-0000-0000-00006C080000}"/>
    <cellStyle name="Encabezado 2 2" xfId="8541" xr:uid="{00000000-0005-0000-0000-00006D080000}"/>
    <cellStyle name="Encabezado 2 3" xfId="8542" xr:uid="{00000000-0005-0000-0000-00006E080000}"/>
    <cellStyle name="Encabezado 2 4" xfId="8543" xr:uid="{00000000-0005-0000-0000-00006F080000}"/>
    <cellStyle name="Enter Currency (0)" xfId="8544" xr:uid="{00000000-0005-0000-0000-000070080000}"/>
    <cellStyle name="Enter Currency (2)" xfId="8545" xr:uid="{00000000-0005-0000-0000-000071080000}"/>
    <cellStyle name="Enter Units (0)" xfId="8546" xr:uid="{00000000-0005-0000-0000-000072080000}"/>
    <cellStyle name="Enter Units (1)" xfId="8547" xr:uid="{00000000-0005-0000-0000-000073080000}"/>
    <cellStyle name="Enter Units (2)" xfId="8548" xr:uid="{00000000-0005-0000-0000-000074080000}"/>
    <cellStyle name="Entered" xfId="8549" xr:uid="{00000000-0005-0000-0000-000075080000}"/>
    <cellStyle name="Entered 2" xfId="8550" xr:uid="{00000000-0005-0000-0000-000076080000}"/>
    <cellStyle name="Entered 3" xfId="8551" xr:uid="{00000000-0005-0000-0000-000077080000}"/>
    <cellStyle name="Entered 4" xfId="8552" xr:uid="{00000000-0005-0000-0000-000078080000}"/>
    <cellStyle name="EntryDesc" xfId="8553" xr:uid="{00000000-0005-0000-0000-000079080000}"/>
    <cellStyle name="EntryValue" xfId="8554" xr:uid="{00000000-0005-0000-0000-00007A080000}"/>
    <cellStyle name="EntryValue 2" xfId="8555" xr:uid="{00000000-0005-0000-0000-00007B080000}"/>
    <cellStyle name="EntryValue 2 2" xfId="8556" xr:uid="{00000000-0005-0000-0000-00007C080000}"/>
    <cellStyle name="EntryValue 2 2 2" xfId="8557" xr:uid="{00000000-0005-0000-0000-00007D080000}"/>
    <cellStyle name="EntryValue 2 2 2 2" xfId="8558" xr:uid="{00000000-0005-0000-0000-00007E080000}"/>
    <cellStyle name="EntryValue 2 2 2 2 2" xfId="8559" xr:uid="{00000000-0005-0000-0000-00007F080000}"/>
    <cellStyle name="EntryValue 2 2 2 2 3" xfId="8560" xr:uid="{00000000-0005-0000-0000-000080080000}"/>
    <cellStyle name="EntryValue 2 2 2 2 4" xfId="8561" xr:uid="{00000000-0005-0000-0000-000081080000}"/>
    <cellStyle name="EntryValue 2 2 2 2 5" xfId="8562" xr:uid="{00000000-0005-0000-0000-000082080000}"/>
    <cellStyle name="EntryValue 2 2 2 2 6" xfId="8563" xr:uid="{00000000-0005-0000-0000-000083080000}"/>
    <cellStyle name="EntryValue 2 2 2 2 7" xfId="8564" xr:uid="{00000000-0005-0000-0000-000084080000}"/>
    <cellStyle name="EntryValue 2 2 2 3" xfId="8565" xr:uid="{00000000-0005-0000-0000-000085080000}"/>
    <cellStyle name="EntryValue 2 2 2 4" xfId="8566" xr:uid="{00000000-0005-0000-0000-000086080000}"/>
    <cellStyle name="EntryValue 2 2 2 5" xfId="8567" xr:uid="{00000000-0005-0000-0000-000087080000}"/>
    <cellStyle name="EntryValue 2 2 2 6" xfId="8568" xr:uid="{00000000-0005-0000-0000-000088080000}"/>
    <cellStyle name="EntryValue 2 2 2 7" xfId="8569" xr:uid="{00000000-0005-0000-0000-000089080000}"/>
    <cellStyle name="EntryValue 2 2 2 8" xfId="8570" xr:uid="{00000000-0005-0000-0000-00008A080000}"/>
    <cellStyle name="EntryValue 2 2 3" xfId="8571" xr:uid="{00000000-0005-0000-0000-00008B080000}"/>
    <cellStyle name="EntryValue 2 2 3 2" xfId="8572" xr:uid="{00000000-0005-0000-0000-00008C080000}"/>
    <cellStyle name="EntryValue 2 2 3 3" xfId="8573" xr:uid="{00000000-0005-0000-0000-00008D080000}"/>
    <cellStyle name="EntryValue 2 2 3 4" xfId="8574" xr:uid="{00000000-0005-0000-0000-00008E080000}"/>
    <cellStyle name="EntryValue 2 2 3 5" xfId="8575" xr:uid="{00000000-0005-0000-0000-00008F080000}"/>
    <cellStyle name="EntryValue 2 2 3 6" xfId="8576" xr:uid="{00000000-0005-0000-0000-000090080000}"/>
    <cellStyle name="EntryValue 2 2 3 7" xfId="8577" xr:uid="{00000000-0005-0000-0000-000091080000}"/>
    <cellStyle name="EntryValue 2 2 4" xfId="8578" xr:uid="{00000000-0005-0000-0000-000092080000}"/>
    <cellStyle name="EntryValue 2 2 5" xfId="8579" xr:uid="{00000000-0005-0000-0000-000093080000}"/>
    <cellStyle name="EntryValue 2 2 6" xfId="8580" xr:uid="{00000000-0005-0000-0000-000094080000}"/>
    <cellStyle name="EntryValue 2 2 7" xfId="8581" xr:uid="{00000000-0005-0000-0000-000095080000}"/>
    <cellStyle name="EntryValue 2 2 8" xfId="8582" xr:uid="{00000000-0005-0000-0000-000096080000}"/>
    <cellStyle name="EntryValue 2 2 9" xfId="8583" xr:uid="{00000000-0005-0000-0000-000097080000}"/>
    <cellStyle name="EntryValue 2 3" xfId="8584" xr:uid="{00000000-0005-0000-0000-000098080000}"/>
    <cellStyle name="EntryValue 2 3 2" xfId="8585" xr:uid="{00000000-0005-0000-0000-000099080000}"/>
    <cellStyle name="EntryValue 2 3 2 2" xfId="8586" xr:uid="{00000000-0005-0000-0000-00009A080000}"/>
    <cellStyle name="EntryValue 2 3 2 2 2" xfId="8587" xr:uid="{00000000-0005-0000-0000-00009B080000}"/>
    <cellStyle name="EntryValue 2 3 2 2 3" xfId="8588" xr:uid="{00000000-0005-0000-0000-00009C080000}"/>
    <cellStyle name="EntryValue 2 3 2 2 4" xfId="8589" xr:uid="{00000000-0005-0000-0000-00009D080000}"/>
    <cellStyle name="EntryValue 2 3 2 2 5" xfId="8590" xr:uid="{00000000-0005-0000-0000-00009E080000}"/>
    <cellStyle name="EntryValue 2 3 2 3" xfId="8591" xr:uid="{00000000-0005-0000-0000-00009F080000}"/>
    <cellStyle name="EntryValue 2 3 2 4" xfId="8592" xr:uid="{00000000-0005-0000-0000-0000A0080000}"/>
    <cellStyle name="EntryValue 2 3 2 5" xfId="8593" xr:uid="{00000000-0005-0000-0000-0000A1080000}"/>
    <cellStyle name="EntryValue 2 3 2 6" xfId="8594" xr:uid="{00000000-0005-0000-0000-0000A2080000}"/>
    <cellStyle name="EntryValue 2 3 2 7" xfId="8595" xr:uid="{00000000-0005-0000-0000-0000A3080000}"/>
    <cellStyle name="EntryValue 2 3 2 8" xfId="8596" xr:uid="{00000000-0005-0000-0000-0000A4080000}"/>
    <cellStyle name="EntryValue 2 3 3" xfId="8597" xr:uid="{00000000-0005-0000-0000-0000A5080000}"/>
    <cellStyle name="EntryValue 2 3 3 2" xfId="8598" xr:uid="{00000000-0005-0000-0000-0000A6080000}"/>
    <cellStyle name="EntryValue 2 3 3 3" xfId="8599" xr:uid="{00000000-0005-0000-0000-0000A7080000}"/>
    <cellStyle name="EntryValue 2 3 3 4" xfId="8600" xr:uid="{00000000-0005-0000-0000-0000A8080000}"/>
    <cellStyle name="EntryValue 2 3 3 5" xfId="8601" xr:uid="{00000000-0005-0000-0000-0000A9080000}"/>
    <cellStyle name="EntryValue 2 3 3 6" xfId="8602" xr:uid="{00000000-0005-0000-0000-0000AA080000}"/>
    <cellStyle name="EntryValue 2 3 3 7" xfId="8603" xr:uid="{00000000-0005-0000-0000-0000AB080000}"/>
    <cellStyle name="EntryValue 2 3 4" xfId="8604" xr:uid="{00000000-0005-0000-0000-0000AC080000}"/>
    <cellStyle name="EntryValue 2 3 5" xfId="8605" xr:uid="{00000000-0005-0000-0000-0000AD080000}"/>
    <cellStyle name="EntryValue 2 3 6" xfId="8606" xr:uid="{00000000-0005-0000-0000-0000AE080000}"/>
    <cellStyle name="EntryValue 2 3 7" xfId="8607" xr:uid="{00000000-0005-0000-0000-0000AF080000}"/>
    <cellStyle name="EntryValue 2 3 8" xfId="8608" xr:uid="{00000000-0005-0000-0000-0000B0080000}"/>
    <cellStyle name="EntryValue 2 3 9" xfId="8609" xr:uid="{00000000-0005-0000-0000-0000B1080000}"/>
    <cellStyle name="EntryValue 3" xfId="8610" xr:uid="{00000000-0005-0000-0000-0000B2080000}"/>
    <cellStyle name="EntryValue 3 2" xfId="8611" xr:uid="{00000000-0005-0000-0000-0000B3080000}"/>
    <cellStyle name="EntryValue 3 2 2" xfId="8612" xr:uid="{00000000-0005-0000-0000-0000B4080000}"/>
    <cellStyle name="EntryValue 3 2 2 2" xfId="8613" xr:uid="{00000000-0005-0000-0000-0000B5080000}"/>
    <cellStyle name="EntryValue 3 2 2 3" xfId="8614" xr:uid="{00000000-0005-0000-0000-0000B6080000}"/>
    <cellStyle name="EntryValue 3 2 2 4" xfId="8615" xr:uid="{00000000-0005-0000-0000-0000B7080000}"/>
    <cellStyle name="EntryValue 3 2 2 5" xfId="8616" xr:uid="{00000000-0005-0000-0000-0000B8080000}"/>
    <cellStyle name="EntryValue 3 2 2 6" xfId="8617" xr:uid="{00000000-0005-0000-0000-0000B9080000}"/>
    <cellStyle name="EntryValue 3 2 2 7" xfId="8618" xr:uid="{00000000-0005-0000-0000-0000BA080000}"/>
    <cellStyle name="EntryValue 3 2 3" xfId="8619" xr:uid="{00000000-0005-0000-0000-0000BB080000}"/>
    <cellStyle name="EntryValue 3 2 4" xfId="8620" xr:uid="{00000000-0005-0000-0000-0000BC080000}"/>
    <cellStyle name="EntryValue 3 2 5" xfId="8621" xr:uid="{00000000-0005-0000-0000-0000BD080000}"/>
    <cellStyle name="EntryValue 3 2 6" xfId="8622" xr:uid="{00000000-0005-0000-0000-0000BE080000}"/>
    <cellStyle name="EntryValue 3 2 7" xfId="8623" xr:uid="{00000000-0005-0000-0000-0000BF080000}"/>
    <cellStyle name="EntryValue 3 2 8" xfId="8624" xr:uid="{00000000-0005-0000-0000-0000C0080000}"/>
    <cellStyle name="EntryValue 3 3" xfId="8625" xr:uid="{00000000-0005-0000-0000-0000C1080000}"/>
    <cellStyle name="EntryValue 3 3 2" xfId="8626" xr:uid="{00000000-0005-0000-0000-0000C2080000}"/>
    <cellStyle name="EntryValue 3 3 3" xfId="8627" xr:uid="{00000000-0005-0000-0000-0000C3080000}"/>
    <cellStyle name="EntryValue 3 3 4" xfId="8628" xr:uid="{00000000-0005-0000-0000-0000C4080000}"/>
    <cellStyle name="EntryValue 3 3 5" xfId="8629" xr:uid="{00000000-0005-0000-0000-0000C5080000}"/>
    <cellStyle name="EntryValue 3 3 6" xfId="8630" xr:uid="{00000000-0005-0000-0000-0000C6080000}"/>
    <cellStyle name="EntryValue 3 3 7" xfId="8631" xr:uid="{00000000-0005-0000-0000-0000C7080000}"/>
    <cellStyle name="EntryValue 3 4" xfId="8632" xr:uid="{00000000-0005-0000-0000-0000C8080000}"/>
    <cellStyle name="EntryValue 3 5" xfId="8633" xr:uid="{00000000-0005-0000-0000-0000C9080000}"/>
    <cellStyle name="EntryValue 3 6" xfId="8634" xr:uid="{00000000-0005-0000-0000-0000CA080000}"/>
    <cellStyle name="EntryValue 3 7" xfId="8635" xr:uid="{00000000-0005-0000-0000-0000CB080000}"/>
    <cellStyle name="EntryValue 3 8" xfId="8636" xr:uid="{00000000-0005-0000-0000-0000CC080000}"/>
    <cellStyle name="EntryValue 3 9" xfId="8637" xr:uid="{00000000-0005-0000-0000-0000CD080000}"/>
    <cellStyle name="EntryValue 4" xfId="8638" xr:uid="{00000000-0005-0000-0000-0000CE080000}"/>
    <cellStyle name="EntryValue 4 2" xfId="8639" xr:uid="{00000000-0005-0000-0000-0000CF080000}"/>
    <cellStyle name="EntryValue 4 2 2" xfId="8640" xr:uid="{00000000-0005-0000-0000-0000D0080000}"/>
    <cellStyle name="EntryValue 4 2 2 2" xfId="8641" xr:uid="{00000000-0005-0000-0000-0000D1080000}"/>
    <cellStyle name="EntryValue 4 2 2 3" xfId="8642" xr:uid="{00000000-0005-0000-0000-0000D2080000}"/>
    <cellStyle name="EntryValue 4 2 2 4" xfId="8643" xr:uid="{00000000-0005-0000-0000-0000D3080000}"/>
    <cellStyle name="EntryValue 4 2 2 5" xfId="8644" xr:uid="{00000000-0005-0000-0000-0000D4080000}"/>
    <cellStyle name="EntryValue 4 2 3" xfId="8645" xr:uid="{00000000-0005-0000-0000-0000D5080000}"/>
    <cellStyle name="EntryValue 4 2 4" xfId="8646" xr:uid="{00000000-0005-0000-0000-0000D6080000}"/>
    <cellStyle name="EntryValue 4 2 5" xfId="8647" xr:uid="{00000000-0005-0000-0000-0000D7080000}"/>
    <cellStyle name="EntryValue 4 2 6" xfId="8648" xr:uid="{00000000-0005-0000-0000-0000D8080000}"/>
    <cellStyle name="EntryValue 4 2 7" xfId="8649" xr:uid="{00000000-0005-0000-0000-0000D9080000}"/>
    <cellStyle name="EntryValue 4 2 8" xfId="8650" xr:uid="{00000000-0005-0000-0000-0000DA080000}"/>
    <cellStyle name="EntryValue 4 3" xfId="8651" xr:uid="{00000000-0005-0000-0000-0000DB080000}"/>
    <cellStyle name="EntryValue 4 3 2" xfId="8652" xr:uid="{00000000-0005-0000-0000-0000DC080000}"/>
    <cellStyle name="EntryValue 4 3 3" xfId="8653" xr:uid="{00000000-0005-0000-0000-0000DD080000}"/>
    <cellStyle name="EntryValue 4 3 4" xfId="8654" xr:uid="{00000000-0005-0000-0000-0000DE080000}"/>
    <cellStyle name="EntryValue 4 3 5" xfId="8655" xr:uid="{00000000-0005-0000-0000-0000DF080000}"/>
    <cellStyle name="EntryValue 4 3 6" xfId="8656" xr:uid="{00000000-0005-0000-0000-0000E0080000}"/>
    <cellStyle name="EntryValue 4 3 7" xfId="8657" xr:uid="{00000000-0005-0000-0000-0000E1080000}"/>
    <cellStyle name="EntryValue 4 4" xfId="8658" xr:uid="{00000000-0005-0000-0000-0000E2080000}"/>
    <cellStyle name="EntryValue 4 5" xfId="8659" xr:uid="{00000000-0005-0000-0000-0000E3080000}"/>
    <cellStyle name="EntryValue 4 6" xfId="8660" xr:uid="{00000000-0005-0000-0000-0000E4080000}"/>
    <cellStyle name="EntryValue 4 7" xfId="8661" xr:uid="{00000000-0005-0000-0000-0000E5080000}"/>
    <cellStyle name="EntryValue 4 8" xfId="8662" xr:uid="{00000000-0005-0000-0000-0000E6080000}"/>
    <cellStyle name="EntryValue 4 9" xfId="8663" xr:uid="{00000000-0005-0000-0000-0000E7080000}"/>
    <cellStyle name="Estilo 1" xfId="8664" xr:uid="{00000000-0005-0000-0000-0000E8080000}"/>
    <cellStyle name="Estilo 1 2" xfId="8665" xr:uid="{00000000-0005-0000-0000-0000E9080000}"/>
    <cellStyle name="Estilo 1 3" xfId="8666" xr:uid="{00000000-0005-0000-0000-0000EA080000}"/>
    <cellStyle name="Estilo 1 4" xfId="8667" xr:uid="{00000000-0005-0000-0000-0000EB080000}"/>
    <cellStyle name="Estilo 2" xfId="8668" xr:uid="{00000000-0005-0000-0000-0000EC080000}"/>
    <cellStyle name="Estilo 2 2" xfId="8669" xr:uid="{00000000-0005-0000-0000-0000ED080000}"/>
    <cellStyle name="Estilo 2 3" xfId="8670" xr:uid="{00000000-0005-0000-0000-0000EE080000}"/>
    <cellStyle name="Estilo 2 4" xfId="8671" xr:uid="{00000000-0005-0000-0000-0000EF080000}"/>
    <cellStyle name="Estilo 3" xfId="8672" xr:uid="{00000000-0005-0000-0000-0000F0080000}"/>
    <cellStyle name="Estimate" xfId="8673" xr:uid="{00000000-0005-0000-0000-0000F1080000}"/>
    <cellStyle name="Estimate 2" xfId="8674" xr:uid="{00000000-0005-0000-0000-0000F2080000}"/>
    <cellStyle name="Estimate 3" xfId="8675" xr:uid="{00000000-0005-0000-0000-0000F3080000}"/>
    <cellStyle name="Estimate 4" xfId="8676" xr:uid="{00000000-0005-0000-0000-0000F4080000}"/>
    <cellStyle name="Euro" xfId="8677" xr:uid="{00000000-0005-0000-0000-0000F5080000}"/>
    <cellStyle name="Euro 10" xfId="8678" xr:uid="{00000000-0005-0000-0000-0000F6080000}"/>
    <cellStyle name="Euro 10 2" xfId="8679" xr:uid="{00000000-0005-0000-0000-0000F7080000}"/>
    <cellStyle name="Euro 10 3" xfId="8680" xr:uid="{00000000-0005-0000-0000-0000F8080000}"/>
    <cellStyle name="Euro 10 4" xfId="8681" xr:uid="{00000000-0005-0000-0000-0000F9080000}"/>
    <cellStyle name="Euro 11" xfId="8682" xr:uid="{00000000-0005-0000-0000-0000FA080000}"/>
    <cellStyle name="Euro 11 2" xfId="8683" xr:uid="{00000000-0005-0000-0000-0000FB080000}"/>
    <cellStyle name="Euro 11 3" xfId="8684" xr:uid="{00000000-0005-0000-0000-0000FC080000}"/>
    <cellStyle name="Euro 11 4" xfId="8685" xr:uid="{00000000-0005-0000-0000-0000FD080000}"/>
    <cellStyle name="Euro 12" xfId="8686" xr:uid="{00000000-0005-0000-0000-0000FE080000}"/>
    <cellStyle name="Euro 12 2" xfId="8687" xr:uid="{00000000-0005-0000-0000-0000FF080000}"/>
    <cellStyle name="Euro 12 3" xfId="8688" xr:uid="{00000000-0005-0000-0000-000000090000}"/>
    <cellStyle name="Euro 12 4" xfId="8689" xr:uid="{00000000-0005-0000-0000-000001090000}"/>
    <cellStyle name="Euro 13" xfId="8690" xr:uid="{00000000-0005-0000-0000-000002090000}"/>
    <cellStyle name="Euro 13 2" xfId="8691" xr:uid="{00000000-0005-0000-0000-000003090000}"/>
    <cellStyle name="Euro 13 3" xfId="8692" xr:uid="{00000000-0005-0000-0000-000004090000}"/>
    <cellStyle name="Euro 13 4" xfId="8693" xr:uid="{00000000-0005-0000-0000-000005090000}"/>
    <cellStyle name="Euro 14" xfId="8694" xr:uid="{00000000-0005-0000-0000-000006090000}"/>
    <cellStyle name="Euro 14 2" xfId="8695" xr:uid="{00000000-0005-0000-0000-000007090000}"/>
    <cellStyle name="Euro 14 3" xfId="8696" xr:uid="{00000000-0005-0000-0000-000008090000}"/>
    <cellStyle name="Euro 14 4" xfId="8697" xr:uid="{00000000-0005-0000-0000-000009090000}"/>
    <cellStyle name="Euro 15" xfId="8698" xr:uid="{00000000-0005-0000-0000-00000A090000}"/>
    <cellStyle name="Euro 15 2" xfId="8699" xr:uid="{00000000-0005-0000-0000-00000B090000}"/>
    <cellStyle name="Euro 15 3" xfId="8700" xr:uid="{00000000-0005-0000-0000-00000C090000}"/>
    <cellStyle name="Euro 15 4" xfId="8701" xr:uid="{00000000-0005-0000-0000-00000D090000}"/>
    <cellStyle name="Euro 16" xfId="8702" xr:uid="{00000000-0005-0000-0000-00000E090000}"/>
    <cellStyle name="Euro 16 2" xfId="8703" xr:uid="{00000000-0005-0000-0000-00000F090000}"/>
    <cellStyle name="Euro 17" xfId="8704" xr:uid="{00000000-0005-0000-0000-000010090000}"/>
    <cellStyle name="Euro 18" xfId="8705" xr:uid="{00000000-0005-0000-0000-000011090000}"/>
    <cellStyle name="Euro 2" xfId="8706" xr:uid="{00000000-0005-0000-0000-000012090000}"/>
    <cellStyle name="Euro 2 2" xfId="8707" xr:uid="{00000000-0005-0000-0000-000013090000}"/>
    <cellStyle name="Euro 2 3" xfId="8708" xr:uid="{00000000-0005-0000-0000-000014090000}"/>
    <cellStyle name="Euro 2 4" xfId="8709" xr:uid="{00000000-0005-0000-0000-000015090000}"/>
    <cellStyle name="Euro 3" xfId="8710" xr:uid="{00000000-0005-0000-0000-000016090000}"/>
    <cellStyle name="Euro 3 2" xfId="8711" xr:uid="{00000000-0005-0000-0000-000017090000}"/>
    <cellStyle name="Euro 3 3" xfId="8712" xr:uid="{00000000-0005-0000-0000-000018090000}"/>
    <cellStyle name="Euro 3 4" xfId="8713" xr:uid="{00000000-0005-0000-0000-000019090000}"/>
    <cellStyle name="Euro 4" xfId="8714" xr:uid="{00000000-0005-0000-0000-00001A090000}"/>
    <cellStyle name="Euro 4 2" xfId="8715" xr:uid="{00000000-0005-0000-0000-00001B090000}"/>
    <cellStyle name="Euro 4 3" xfId="8716" xr:uid="{00000000-0005-0000-0000-00001C090000}"/>
    <cellStyle name="Euro 4 4" xfId="8717" xr:uid="{00000000-0005-0000-0000-00001D090000}"/>
    <cellStyle name="Euro 5" xfId="8718" xr:uid="{00000000-0005-0000-0000-00001E090000}"/>
    <cellStyle name="Euro 5 2" xfId="8719" xr:uid="{00000000-0005-0000-0000-00001F090000}"/>
    <cellStyle name="Euro 5 3" xfId="8720" xr:uid="{00000000-0005-0000-0000-000020090000}"/>
    <cellStyle name="Euro 5 4" xfId="8721" xr:uid="{00000000-0005-0000-0000-000021090000}"/>
    <cellStyle name="Euro 6" xfId="8722" xr:uid="{00000000-0005-0000-0000-000022090000}"/>
    <cellStyle name="Euro 6 2" xfId="8723" xr:uid="{00000000-0005-0000-0000-000023090000}"/>
    <cellStyle name="Euro 6 3" xfId="8724" xr:uid="{00000000-0005-0000-0000-000024090000}"/>
    <cellStyle name="Euro 6 4" xfId="8725" xr:uid="{00000000-0005-0000-0000-000025090000}"/>
    <cellStyle name="Euro 7" xfId="8726" xr:uid="{00000000-0005-0000-0000-000026090000}"/>
    <cellStyle name="Euro 7 2" xfId="8727" xr:uid="{00000000-0005-0000-0000-000027090000}"/>
    <cellStyle name="Euro 7 3" xfId="8728" xr:uid="{00000000-0005-0000-0000-000028090000}"/>
    <cellStyle name="Euro 7 4" xfId="8729" xr:uid="{00000000-0005-0000-0000-000029090000}"/>
    <cellStyle name="Euro 8" xfId="8730" xr:uid="{00000000-0005-0000-0000-00002A090000}"/>
    <cellStyle name="Euro 8 2" xfId="8731" xr:uid="{00000000-0005-0000-0000-00002B090000}"/>
    <cellStyle name="Euro 8 3" xfId="8732" xr:uid="{00000000-0005-0000-0000-00002C090000}"/>
    <cellStyle name="Euro 8 4" xfId="8733" xr:uid="{00000000-0005-0000-0000-00002D090000}"/>
    <cellStyle name="Euro 9" xfId="8734" xr:uid="{00000000-0005-0000-0000-00002E090000}"/>
    <cellStyle name="Euro 9 2" xfId="8735" xr:uid="{00000000-0005-0000-0000-00002F090000}"/>
    <cellStyle name="Euro 9 3" xfId="8736" xr:uid="{00000000-0005-0000-0000-000030090000}"/>
    <cellStyle name="Euro 9 4" xfId="8737" xr:uid="{00000000-0005-0000-0000-000031090000}"/>
    <cellStyle name="Explanatory Text 2" xfId="530" xr:uid="{00000000-0005-0000-0000-000032090000}"/>
    <cellStyle name="Explanatory Text 2 2" xfId="531" xr:uid="{00000000-0005-0000-0000-000033090000}"/>
    <cellStyle name="Explanatory Text 3" xfId="532" xr:uid="{00000000-0005-0000-0000-000034090000}"/>
    <cellStyle name="Explanatory Text 3 2" xfId="533" xr:uid="{00000000-0005-0000-0000-000035090000}"/>
    <cellStyle name="EYBlocked" xfId="8738" xr:uid="{00000000-0005-0000-0000-000036090000}"/>
    <cellStyle name="EYCallUp" xfId="8739" xr:uid="{00000000-0005-0000-0000-000037090000}"/>
    <cellStyle name="EYCheck" xfId="8740" xr:uid="{00000000-0005-0000-0000-000038090000}"/>
    <cellStyle name="EYDate" xfId="8741" xr:uid="{00000000-0005-0000-0000-000039090000}"/>
    <cellStyle name="EYDeviant" xfId="8742" xr:uid="{00000000-0005-0000-0000-00003A090000}"/>
    <cellStyle name="EYHeader1" xfId="8743" xr:uid="{00000000-0005-0000-0000-00003B090000}"/>
    <cellStyle name="EYHeader1 2" xfId="8744" xr:uid="{00000000-0005-0000-0000-00003C090000}"/>
    <cellStyle name="EYHeader2" xfId="8745" xr:uid="{00000000-0005-0000-0000-00003D090000}"/>
    <cellStyle name="EYHeader3" xfId="8746" xr:uid="{00000000-0005-0000-0000-00003E090000}"/>
    <cellStyle name="EYInputDate" xfId="8747" xr:uid="{00000000-0005-0000-0000-00003F090000}"/>
    <cellStyle name="EYInputPercent" xfId="8748" xr:uid="{00000000-0005-0000-0000-000040090000}"/>
    <cellStyle name="EYInputValue" xfId="8749" xr:uid="{00000000-0005-0000-0000-000041090000}"/>
    <cellStyle name="EYNormal" xfId="8750" xr:uid="{00000000-0005-0000-0000-000042090000}"/>
    <cellStyle name="EYPercent" xfId="8751" xr:uid="{00000000-0005-0000-0000-000043090000}"/>
    <cellStyle name="EYPercentCapped" xfId="8752" xr:uid="{00000000-0005-0000-0000-000044090000}"/>
    <cellStyle name="EYSubTotal" xfId="8753" xr:uid="{00000000-0005-0000-0000-000045090000}"/>
    <cellStyle name="EYTotal" xfId="8754" xr:uid="{00000000-0005-0000-0000-000046090000}"/>
    <cellStyle name="EYWIP" xfId="8755" xr:uid="{00000000-0005-0000-0000-000047090000}"/>
    <cellStyle name="f" xfId="8756" xr:uid="{00000000-0005-0000-0000-000048090000}"/>
    <cellStyle name="f_JVG Hogar, C.A. Conciliación de la Renta al 31-12-2008" xfId="8757" xr:uid="{00000000-0005-0000-0000-000049090000}"/>
    <cellStyle name="Factor" xfId="8758" xr:uid="{00000000-0005-0000-0000-00004A090000}"/>
    <cellStyle name="Factor 2" xfId="8759" xr:uid="{00000000-0005-0000-0000-00004B090000}"/>
    <cellStyle name="FDC Unit # etc" xfId="8760" xr:uid="{00000000-0005-0000-0000-00004C090000}"/>
    <cellStyle name="Fecha" xfId="8761" xr:uid="{00000000-0005-0000-0000-00004D090000}"/>
    <cellStyle name="Fecha 2" xfId="8762" xr:uid="{00000000-0005-0000-0000-00004E090000}"/>
    <cellStyle name="Fecha 3" xfId="8763" xr:uid="{00000000-0005-0000-0000-00004F090000}"/>
    <cellStyle name="Fecha 4" xfId="8764" xr:uid="{00000000-0005-0000-0000-000050090000}"/>
    <cellStyle name="FieldName" xfId="8765" xr:uid="{00000000-0005-0000-0000-000051090000}"/>
    <cellStyle name="FieldName 10" xfId="8766" xr:uid="{00000000-0005-0000-0000-000052090000}"/>
    <cellStyle name="FieldName 11" xfId="8767" xr:uid="{00000000-0005-0000-0000-000053090000}"/>
    <cellStyle name="FieldName 12" xfId="8768" xr:uid="{00000000-0005-0000-0000-000054090000}"/>
    <cellStyle name="FieldName 13" xfId="8769" xr:uid="{00000000-0005-0000-0000-000055090000}"/>
    <cellStyle name="FieldName 2" xfId="8770" xr:uid="{00000000-0005-0000-0000-000056090000}"/>
    <cellStyle name="FieldName 2 10" xfId="8771" xr:uid="{00000000-0005-0000-0000-000057090000}"/>
    <cellStyle name="FieldName 2 11" xfId="8772" xr:uid="{00000000-0005-0000-0000-000058090000}"/>
    <cellStyle name="FieldName 2 12" xfId="8773" xr:uid="{00000000-0005-0000-0000-000059090000}"/>
    <cellStyle name="FieldName 2 13" xfId="8774" xr:uid="{00000000-0005-0000-0000-00005A090000}"/>
    <cellStyle name="FieldName 2 14" xfId="8775" xr:uid="{00000000-0005-0000-0000-00005B090000}"/>
    <cellStyle name="FieldName 2 2" xfId="8776" xr:uid="{00000000-0005-0000-0000-00005C090000}"/>
    <cellStyle name="FieldName 2 2 10" xfId="8777" xr:uid="{00000000-0005-0000-0000-00005D090000}"/>
    <cellStyle name="FieldName 2 2 11" xfId="8778" xr:uid="{00000000-0005-0000-0000-00005E090000}"/>
    <cellStyle name="FieldName 2 2 2" xfId="8779" xr:uid="{00000000-0005-0000-0000-00005F090000}"/>
    <cellStyle name="FieldName 2 2 2 10" xfId="8780" xr:uid="{00000000-0005-0000-0000-000060090000}"/>
    <cellStyle name="FieldName 2 2 2 2" xfId="8781" xr:uid="{00000000-0005-0000-0000-000061090000}"/>
    <cellStyle name="FieldName 2 2 2 2 2" xfId="8782" xr:uid="{00000000-0005-0000-0000-000062090000}"/>
    <cellStyle name="FieldName 2 2 2 2 2 2" xfId="8783" xr:uid="{00000000-0005-0000-0000-000063090000}"/>
    <cellStyle name="FieldName 2 2 2 2 2 3" xfId="8784" xr:uid="{00000000-0005-0000-0000-000064090000}"/>
    <cellStyle name="FieldName 2 2 2 2 2 4" xfId="8785" xr:uid="{00000000-0005-0000-0000-000065090000}"/>
    <cellStyle name="FieldName 2 2 2 2 2 5" xfId="8786" xr:uid="{00000000-0005-0000-0000-000066090000}"/>
    <cellStyle name="FieldName 2 2 2 2 2 6" xfId="8787" xr:uid="{00000000-0005-0000-0000-000067090000}"/>
    <cellStyle name="FieldName 2 2 2 2 3" xfId="8788" xr:uid="{00000000-0005-0000-0000-000068090000}"/>
    <cellStyle name="FieldName 2 2 2 2 4" xfId="8789" xr:uid="{00000000-0005-0000-0000-000069090000}"/>
    <cellStyle name="FieldName 2 2 2 2 5" xfId="8790" xr:uid="{00000000-0005-0000-0000-00006A090000}"/>
    <cellStyle name="FieldName 2 2 2 2 6" xfId="8791" xr:uid="{00000000-0005-0000-0000-00006B090000}"/>
    <cellStyle name="FieldName 2 2 2 2 7" xfId="8792" xr:uid="{00000000-0005-0000-0000-00006C090000}"/>
    <cellStyle name="FieldName 2 2 2 2 8" xfId="8793" xr:uid="{00000000-0005-0000-0000-00006D090000}"/>
    <cellStyle name="FieldName 2 2 2 2 9" xfId="8794" xr:uid="{00000000-0005-0000-0000-00006E090000}"/>
    <cellStyle name="FieldName 2 2 2 3" xfId="8795" xr:uid="{00000000-0005-0000-0000-00006F090000}"/>
    <cellStyle name="FieldName 2 2 2 3 2" xfId="8796" xr:uid="{00000000-0005-0000-0000-000070090000}"/>
    <cellStyle name="FieldName 2 2 2 3 3" xfId="8797" xr:uid="{00000000-0005-0000-0000-000071090000}"/>
    <cellStyle name="FieldName 2 2 2 3 4" xfId="8798" xr:uid="{00000000-0005-0000-0000-000072090000}"/>
    <cellStyle name="FieldName 2 2 2 3 5" xfId="8799" xr:uid="{00000000-0005-0000-0000-000073090000}"/>
    <cellStyle name="FieldName 2 2 2 3 6" xfId="8800" xr:uid="{00000000-0005-0000-0000-000074090000}"/>
    <cellStyle name="FieldName 2 2 2 4" xfId="8801" xr:uid="{00000000-0005-0000-0000-000075090000}"/>
    <cellStyle name="FieldName 2 2 2 5" xfId="8802" xr:uid="{00000000-0005-0000-0000-000076090000}"/>
    <cellStyle name="FieldName 2 2 2 6" xfId="8803" xr:uid="{00000000-0005-0000-0000-000077090000}"/>
    <cellStyle name="FieldName 2 2 2 7" xfId="8804" xr:uid="{00000000-0005-0000-0000-000078090000}"/>
    <cellStyle name="FieldName 2 2 2 8" xfId="8805" xr:uid="{00000000-0005-0000-0000-000079090000}"/>
    <cellStyle name="FieldName 2 2 2 9" xfId="8806" xr:uid="{00000000-0005-0000-0000-00007A090000}"/>
    <cellStyle name="FieldName 2 2 3" xfId="8807" xr:uid="{00000000-0005-0000-0000-00007B090000}"/>
    <cellStyle name="FieldName 2 2 3 2" xfId="8808" xr:uid="{00000000-0005-0000-0000-00007C090000}"/>
    <cellStyle name="FieldName 2 2 3 2 2" xfId="8809" xr:uid="{00000000-0005-0000-0000-00007D090000}"/>
    <cellStyle name="FieldName 2 2 3 2 3" xfId="8810" xr:uid="{00000000-0005-0000-0000-00007E090000}"/>
    <cellStyle name="FieldName 2 2 3 2 4" xfId="8811" xr:uid="{00000000-0005-0000-0000-00007F090000}"/>
    <cellStyle name="FieldName 2 2 3 2 5" xfId="8812" xr:uid="{00000000-0005-0000-0000-000080090000}"/>
    <cellStyle name="FieldName 2 2 3 2 6" xfId="8813" xr:uid="{00000000-0005-0000-0000-000081090000}"/>
    <cellStyle name="FieldName 2 2 3 3" xfId="8814" xr:uid="{00000000-0005-0000-0000-000082090000}"/>
    <cellStyle name="FieldName 2 2 3 4" xfId="8815" xr:uid="{00000000-0005-0000-0000-000083090000}"/>
    <cellStyle name="FieldName 2 2 3 5" xfId="8816" xr:uid="{00000000-0005-0000-0000-000084090000}"/>
    <cellStyle name="FieldName 2 2 3 6" xfId="8817" xr:uid="{00000000-0005-0000-0000-000085090000}"/>
    <cellStyle name="FieldName 2 2 3 7" xfId="8818" xr:uid="{00000000-0005-0000-0000-000086090000}"/>
    <cellStyle name="FieldName 2 2 3 8" xfId="8819" xr:uid="{00000000-0005-0000-0000-000087090000}"/>
    <cellStyle name="FieldName 2 2 3 9" xfId="8820" xr:uid="{00000000-0005-0000-0000-000088090000}"/>
    <cellStyle name="FieldName 2 2 4" xfId="8821" xr:uid="{00000000-0005-0000-0000-000089090000}"/>
    <cellStyle name="FieldName 2 2 4 2" xfId="8822" xr:uid="{00000000-0005-0000-0000-00008A090000}"/>
    <cellStyle name="FieldName 2 2 4 3" xfId="8823" xr:uid="{00000000-0005-0000-0000-00008B090000}"/>
    <cellStyle name="FieldName 2 2 4 4" xfId="8824" xr:uid="{00000000-0005-0000-0000-00008C090000}"/>
    <cellStyle name="FieldName 2 2 4 5" xfId="8825" xr:uid="{00000000-0005-0000-0000-00008D090000}"/>
    <cellStyle name="FieldName 2 2 4 6" xfId="8826" xr:uid="{00000000-0005-0000-0000-00008E090000}"/>
    <cellStyle name="FieldName 2 2 5" xfId="8827" xr:uid="{00000000-0005-0000-0000-00008F090000}"/>
    <cellStyle name="FieldName 2 2 6" xfId="8828" xr:uid="{00000000-0005-0000-0000-000090090000}"/>
    <cellStyle name="FieldName 2 2 7" xfId="8829" xr:uid="{00000000-0005-0000-0000-000091090000}"/>
    <cellStyle name="FieldName 2 2 8" xfId="8830" xr:uid="{00000000-0005-0000-0000-000092090000}"/>
    <cellStyle name="FieldName 2 2 9" xfId="8831" xr:uid="{00000000-0005-0000-0000-000093090000}"/>
    <cellStyle name="FieldName 2 3" xfId="8832" xr:uid="{00000000-0005-0000-0000-000094090000}"/>
    <cellStyle name="FieldName 2 3 10" xfId="8833" xr:uid="{00000000-0005-0000-0000-000095090000}"/>
    <cellStyle name="FieldName 2 3 11" xfId="8834" xr:uid="{00000000-0005-0000-0000-000096090000}"/>
    <cellStyle name="FieldName 2 3 2" xfId="8835" xr:uid="{00000000-0005-0000-0000-000097090000}"/>
    <cellStyle name="FieldName 2 3 2 10" xfId="8836" xr:uid="{00000000-0005-0000-0000-000098090000}"/>
    <cellStyle name="FieldName 2 3 2 2" xfId="8837" xr:uid="{00000000-0005-0000-0000-000099090000}"/>
    <cellStyle name="FieldName 2 3 2 2 2" xfId="8838" xr:uid="{00000000-0005-0000-0000-00009A090000}"/>
    <cellStyle name="FieldName 2 3 2 2 2 2" xfId="8839" xr:uid="{00000000-0005-0000-0000-00009B090000}"/>
    <cellStyle name="FieldName 2 3 2 2 2 3" xfId="8840" xr:uid="{00000000-0005-0000-0000-00009C090000}"/>
    <cellStyle name="FieldName 2 3 2 2 2 4" xfId="8841" xr:uid="{00000000-0005-0000-0000-00009D090000}"/>
    <cellStyle name="FieldName 2 3 2 2 2 5" xfId="8842" xr:uid="{00000000-0005-0000-0000-00009E090000}"/>
    <cellStyle name="FieldName 2 3 2 2 2 6" xfId="8843" xr:uid="{00000000-0005-0000-0000-00009F090000}"/>
    <cellStyle name="FieldName 2 3 2 2 3" xfId="8844" xr:uid="{00000000-0005-0000-0000-0000A0090000}"/>
    <cellStyle name="FieldName 2 3 2 2 4" xfId="8845" xr:uid="{00000000-0005-0000-0000-0000A1090000}"/>
    <cellStyle name="FieldName 2 3 2 2 5" xfId="8846" xr:uid="{00000000-0005-0000-0000-0000A2090000}"/>
    <cellStyle name="FieldName 2 3 2 2 6" xfId="8847" xr:uid="{00000000-0005-0000-0000-0000A3090000}"/>
    <cellStyle name="FieldName 2 3 2 2 7" xfId="8848" xr:uid="{00000000-0005-0000-0000-0000A4090000}"/>
    <cellStyle name="FieldName 2 3 2 2 8" xfId="8849" xr:uid="{00000000-0005-0000-0000-0000A5090000}"/>
    <cellStyle name="FieldName 2 3 2 2 9" xfId="8850" xr:uid="{00000000-0005-0000-0000-0000A6090000}"/>
    <cellStyle name="FieldName 2 3 2 3" xfId="8851" xr:uid="{00000000-0005-0000-0000-0000A7090000}"/>
    <cellStyle name="FieldName 2 3 2 3 2" xfId="8852" xr:uid="{00000000-0005-0000-0000-0000A8090000}"/>
    <cellStyle name="FieldName 2 3 2 3 3" xfId="8853" xr:uid="{00000000-0005-0000-0000-0000A9090000}"/>
    <cellStyle name="FieldName 2 3 2 3 4" xfId="8854" xr:uid="{00000000-0005-0000-0000-0000AA090000}"/>
    <cellStyle name="FieldName 2 3 2 3 5" xfId="8855" xr:uid="{00000000-0005-0000-0000-0000AB090000}"/>
    <cellStyle name="FieldName 2 3 2 3 6" xfId="8856" xr:uid="{00000000-0005-0000-0000-0000AC090000}"/>
    <cellStyle name="FieldName 2 3 2 4" xfId="8857" xr:uid="{00000000-0005-0000-0000-0000AD090000}"/>
    <cellStyle name="FieldName 2 3 2 5" xfId="8858" xr:uid="{00000000-0005-0000-0000-0000AE090000}"/>
    <cellStyle name="FieldName 2 3 2 6" xfId="8859" xr:uid="{00000000-0005-0000-0000-0000AF090000}"/>
    <cellStyle name="FieldName 2 3 2 7" xfId="8860" xr:uid="{00000000-0005-0000-0000-0000B0090000}"/>
    <cellStyle name="FieldName 2 3 2 8" xfId="8861" xr:uid="{00000000-0005-0000-0000-0000B1090000}"/>
    <cellStyle name="FieldName 2 3 2 9" xfId="8862" xr:uid="{00000000-0005-0000-0000-0000B2090000}"/>
    <cellStyle name="FieldName 2 3 3" xfId="8863" xr:uid="{00000000-0005-0000-0000-0000B3090000}"/>
    <cellStyle name="FieldName 2 3 3 2" xfId="8864" xr:uid="{00000000-0005-0000-0000-0000B4090000}"/>
    <cellStyle name="FieldName 2 3 3 2 2" xfId="8865" xr:uid="{00000000-0005-0000-0000-0000B5090000}"/>
    <cellStyle name="FieldName 2 3 3 2 3" xfId="8866" xr:uid="{00000000-0005-0000-0000-0000B6090000}"/>
    <cellStyle name="FieldName 2 3 3 2 4" xfId="8867" xr:uid="{00000000-0005-0000-0000-0000B7090000}"/>
    <cellStyle name="FieldName 2 3 3 2 5" xfId="8868" xr:uid="{00000000-0005-0000-0000-0000B8090000}"/>
    <cellStyle name="FieldName 2 3 3 2 6" xfId="8869" xr:uid="{00000000-0005-0000-0000-0000B9090000}"/>
    <cellStyle name="FieldName 2 3 3 3" xfId="8870" xr:uid="{00000000-0005-0000-0000-0000BA090000}"/>
    <cellStyle name="FieldName 2 3 3 4" xfId="8871" xr:uid="{00000000-0005-0000-0000-0000BB090000}"/>
    <cellStyle name="FieldName 2 3 3 5" xfId="8872" xr:uid="{00000000-0005-0000-0000-0000BC090000}"/>
    <cellStyle name="FieldName 2 3 3 6" xfId="8873" xr:uid="{00000000-0005-0000-0000-0000BD090000}"/>
    <cellStyle name="FieldName 2 3 3 7" xfId="8874" xr:uid="{00000000-0005-0000-0000-0000BE090000}"/>
    <cellStyle name="FieldName 2 3 3 8" xfId="8875" xr:uid="{00000000-0005-0000-0000-0000BF090000}"/>
    <cellStyle name="FieldName 2 3 3 9" xfId="8876" xr:uid="{00000000-0005-0000-0000-0000C0090000}"/>
    <cellStyle name="FieldName 2 3 4" xfId="8877" xr:uid="{00000000-0005-0000-0000-0000C1090000}"/>
    <cellStyle name="FieldName 2 3 4 2" xfId="8878" xr:uid="{00000000-0005-0000-0000-0000C2090000}"/>
    <cellStyle name="FieldName 2 3 4 3" xfId="8879" xr:uid="{00000000-0005-0000-0000-0000C3090000}"/>
    <cellStyle name="FieldName 2 3 4 4" xfId="8880" xr:uid="{00000000-0005-0000-0000-0000C4090000}"/>
    <cellStyle name="FieldName 2 3 4 5" xfId="8881" xr:uid="{00000000-0005-0000-0000-0000C5090000}"/>
    <cellStyle name="FieldName 2 3 4 6" xfId="8882" xr:uid="{00000000-0005-0000-0000-0000C6090000}"/>
    <cellStyle name="FieldName 2 3 5" xfId="8883" xr:uid="{00000000-0005-0000-0000-0000C7090000}"/>
    <cellStyle name="FieldName 2 3 6" xfId="8884" xr:uid="{00000000-0005-0000-0000-0000C8090000}"/>
    <cellStyle name="FieldName 2 3 7" xfId="8885" xr:uid="{00000000-0005-0000-0000-0000C9090000}"/>
    <cellStyle name="FieldName 2 3 8" xfId="8886" xr:uid="{00000000-0005-0000-0000-0000CA090000}"/>
    <cellStyle name="FieldName 2 3 9" xfId="8887" xr:uid="{00000000-0005-0000-0000-0000CB090000}"/>
    <cellStyle name="FieldName 2 4" xfId="8888" xr:uid="{00000000-0005-0000-0000-0000CC090000}"/>
    <cellStyle name="FieldName 2 4 10" xfId="8889" xr:uid="{00000000-0005-0000-0000-0000CD090000}"/>
    <cellStyle name="FieldName 2 4 2" xfId="8890" xr:uid="{00000000-0005-0000-0000-0000CE090000}"/>
    <cellStyle name="FieldName 2 4 2 2" xfId="8891" xr:uid="{00000000-0005-0000-0000-0000CF090000}"/>
    <cellStyle name="FieldName 2 4 2 2 2" xfId="8892" xr:uid="{00000000-0005-0000-0000-0000D0090000}"/>
    <cellStyle name="FieldName 2 4 2 2 3" xfId="8893" xr:uid="{00000000-0005-0000-0000-0000D1090000}"/>
    <cellStyle name="FieldName 2 4 2 2 4" xfId="8894" xr:uid="{00000000-0005-0000-0000-0000D2090000}"/>
    <cellStyle name="FieldName 2 4 2 2 5" xfId="8895" xr:uid="{00000000-0005-0000-0000-0000D3090000}"/>
    <cellStyle name="FieldName 2 4 2 2 6" xfId="8896" xr:uid="{00000000-0005-0000-0000-0000D4090000}"/>
    <cellStyle name="FieldName 2 4 2 3" xfId="8897" xr:uid="{00000000-0005-0000-0000-0000D5090000}"/>
    <cellStyle name="FieldName 2 4 2 4" xfId="8898" xr:uid="{00000000-0005-0000-0000-0000D6090000}"/>
    <cellStyle name="FieldName 2 4 2 5" xfId="8899" xr:uid="{00000000-0005-0000-0000-0000D7090000}"/>
    <cellStyle name="FieldName 2 4 2 6" xfId="8900" xr:uid="{00000000-0005-0000-0000-0000D8090000}"/>
    <cellStyle name="FieldName 2 4 2 7" xfId="8901" xr:uid="{00000000-0005-0000-0000-0000D9090000}"/>
    <cellStyle name="FieldName 2 4 2 8" xfId="8902" xr:uid="{00000000-0005-0000-0000-0000DA090000}"/>
    <cellStyle name="FieldName 2 4 2 9" xfId="8903" xr:uid="{00000000-0005-0000-0000-0000DB090000}"/>
    <cellStyle name="FieldName 2 4 3" xfId="8904" xr:uid="{00000000-0005-0000-0000-0000DC090000}"/>
    <cellStyle name="FieldName 2 4 3 2" xfId="8905" xr:uid="{00000000-0005-0000-0000-0000DD090000}"/>
    <cellStyle name="FieldName 2 4 3 3" xfId="8906" xr:uid="{00000000-0005-0000-0000-0000DE090000}"/>
    <cellStyle name="FieldName 2 4 3 4" xfId="8907" xr:uid="{00000000-0005-0000-0000-0000DF090000}"/>
    <cellStyle name="FieldName 2 4 3 5" xfId="8908" xr:uid="{00000000-0005-0000-0000-0000E0090000}"/>
    <cellStyle name="FieldName 2 4 3 6" xfId="8909" xr:uid="{00000000-0005-0000-0000-0000E1090000}"/>
    <cellStyle name="FieldName 2 4 4" xfId="8910" xr:uid="{00000000-0005-0000-0000-0000E2090000}"/>
    <cellStyle name="FieldName 2 4 5" xfId="8911" xr:uid="{00000000-0005-0000-0000-0000E3090000}"/>
    <cellStyle name="FieldName 2 4 6" xfId="8912" xr:uid="{00000000-0005-0000-0000-0000E4090000}"/>
    <cellStyle name="FieldName 2 4 7" xfId="8913" xr:uid="{00000000-0005-0000-0000-0000E5090000}"/>
    <cellStyle name="FieldName 2 4 8" xfId="8914" xr:uid="{00000000-0005-0000-0000-0000E6090000}"/>
    <cellStyle name="FieldName 2 4 9" xfId="8915" xr:uid="{00000000-0005-0000-0000-0000E7090000}"/>
    <cellStyle name="FieldName 2 5" xfId="8916" xr:uid="{00000000-0005-0000-0000-0000E8090000}"/>
    <cellStyle name="FieldName 2 5 10" xfId="8917" xr:uid="{00000000-0005-0000-0000-0000E9090000}"/>
    <cellStyle name="FieldName 2 5 2" xfId="8918" xr:uid="{00000000-0005-0000-0000-0000EA090000}"/>
    <cellStyle name="FieldName 2 5 2 2" xfId="8919" xr:uid="{00000000-0005-0000-0000-0000EB090000}"/>
    <cellStyle name="FieldName 2 5 2 2 2" xfId="8920" xr:uid="{00000000-0005-0000-0000-0000EC090000}"/>
    <cellStyle name="FieldName 2 5 2 2 3" xfId="8921" xr:uid="{00000000-0005-0000-0000-0000ED090000}"/>
    <cellStyle name="FieldName 2 5 2 2 4" xfId="8922" xr:uid="{00000000-0005-0000-0000-0000EE090000}"/>
    <cellStyle name="FieldName 2 5 2 2 5" xfId="8923" xr:uid="{00000000-0005-0000-0000-0000EF090000}"/>
    <cellStyle name="FieldName 2 5 2 2 6" xfId="8924" xr:uid="{00000000-0005-0000-0000-0000F0090000}"/>
    <cellStyle name="FieldName 2 5 2 3" xfId="8925" xr:uid="{00000000-0005-0000-0000-0000F1090000}"/>
    <cellStyle name="FieldName 2 5 2 4" xfId="8926" xr:uid="{00000000-0005-0000-0000-0000F2090000}"/>
    <cellStyle name="FieldName 2 5 2 5" xfId="8927" xr:uid="{00000000-0005-0000-0000-0000F3090000}"/>
    <cellStyle name="FieldName 2 5 2 6" xfId="8928" xr:uid="{00000000-0005-0000-0000-0000F4090000}"/>
    <cellStyle name="FieldName 2 5 2 7" xfId="8929" xr:uid="{00000000-0005-0000-0000-0000F5090000}"/>
    <cellStyle name="FieldName 2 5 2 8" xfId="8930" xr:uid="{00000000-0005-0000-0000-0000F6090000}"/>
    <cellStyle name="FieldName 2 5 2 9" xfId="8931" xr:uid="{00000000-0005-0000-0000-0000F7090000}"/>
    <cellStyle name="FieldName 2 5 3" xfId="8932" xr:uid="{00000000-0005-0000-0000-0000F8090000}"/>
    <cellStyle name="FieldName 2 5 3 2" xfId="8933" xr:uid="{00000000-0005-0000-0000-0000F9090000}"/>
    <cellStyle name="FieldName 2 5 3 3" xfId="8934" xr:uid="{00000000-0005-0000-0000-0000FA090000}"/>
    <cellStyle name="FieldName 2 5 3 4" xfId="8935" xr:uid="{00000000-0005-0000-0000-0000FB090000}"/>
    <cellStyle name="FieldName 2 5 3 5" xfId="8936" xr:uid="{00000000-0005-0000-0000-0000FC090000}"/>
    <cellStyle name="FieldName 2 5 3 6" xfId="8937" xr:uid="{00000000-0005-0000-0000-0000FD090000}"/>
    <cellStyle name="FieldName 2 5 4" xfId="8938" xr:uid="{00000000-0005-0000-0000-0000FE090000}"/>
    <cellStyle name="FieldName 2 5 5" xfId="8939" xr:uid="{00000000-0005-0000-0000-0000FF090000}"/>
    <cellStyle name="FieldName 2 5 6" xfId="8940" xr:uid="{00000000-0005-0000-0000-0000000A0000}"/>
    <cellStyle name="FieldName 2 5 7" xfId="8941" xr:uid="{00000000-0005-0000-0000-0000010A0000}"/>
    <cellStyle name="FieldName 2 5 8" xfId="8942" xr:uid="{00000000-0005-0000-0000-0000020A0000}"/>
    <cellStyle name="FieldName 2 5 9" xfId="8943" xr:uid="{00000000-0005-0000-0000-0000030A0000}"/>
    <cellStyle name="FieldName 2 6" xfId="8944" xr:uid="{00000000-0005-0000-0000-0000040A0000}"/>
    <cellStyle name="FieldName 2 6 2" xfId="8945" xr:uid="{00000000-0005-0000-0000-0000050A0000}"/>
    <cellStyle name="FieldName 2 6 2 2" xfId="8946" xr:uid="{00000000-0005-0000-0000-0000060A0000}"/>
    <cellStyle name="FieldName 2 6 2 3" xfId="8947" xr:uid="{00000000-0005-0000-0000-0000070A0000}"/>
    <cellStyle name="FieldName 2 6 2 4" xfId="8948" xr:uid="{00000000-0005-0000-0000-0000080A0000}"/>
    <cellStyle name="FieldName 2 6 2 5" xfId="8949" xr:uid="{00000000-0005-0000-0000-0000090A0000}"/>
    <cellStyle name="FieldName 2 6 2 6" xfId="8950" xr:uid="{00000000-0005-0000-0000-00000A0A0000}"/>
    <cellStyle name="FieldName 2 6 3" xfId="8951" xr:uid="{00000000-0005-0000-0000-00000B0A0000}"/>
    <cellStyle name="FieldName 2 6 4" xfId="8952" xr:uid="{00000000-0005-0000-0000-00000C0A0000}"/>
    <cellStyle name="FieldName 2 6 5" xfId="8953" xr:uid="{00000000-0005-0000-0000-00000D0A0000}"/>
    <cellStyle name="FieldName 2 6 6" xfId="8954" xr:uid="{00000000-0005-0000-0000-00000E0A0000}"/>
    <cellStyle name="FieldName 2 6 7" xfId="8955" xr:uid="{00000000-0005-0000-0000-00000F0A0000}"/>
    <cellStyle name="FieldName 2 6 8" xfId="8956" xr:uid="{00000000-0005-0000-0000-0000100A0000}"/>
    <cellStyle name="FieldName 2 6 9" xfId="8957" xr:uid="{00000000-0005-0000-0000-0000110A0000}"/>
    <cellStyle name="FieldName 2 7" xfId="8958" xr:uid="{00000000-0005-0000-0000-0000120A0000}"/>
    <cellStyle name="FieldName 2 7 2" xfId="8959" xr:uid="{00000000-0005-0000-0000-0000130A0000}"/>
    <cellStyle name="FieldName 2 7 3" xfId="8960" xr:uid="{00000000-0005-0000-0000-0000140A0000}"/>
    <cellStyle name="FieldName 2 7 4" xfId="8961" xr:uid="{00000000-0005-0000-0000-0000150A0000}"/>
    <cellStyle name="FieldName 2 7 5" xfId="8962" xr:uid="{00000000-0005-0000-0000-0000160A0000}"/>
    <cellStyle name="FieldName 2 7 6" xfId="8963" xr:uid="{00000000-0005-0000-0000-0000170A0000}"/>
    <cellStyle name="FieldName 2 8" xfId="8964" xr:uid="{00000000-0005-0000-0000-0000180A0000}"/>
    <cellStyle name="FieldName 2 9" xfId="8965" xr:uid="{00000000-0005-0000-0000-0000190A0000}"/>
    <cellStyle name="FieldName 3" xfId="8966" xr:uid="{00000000-0005-0000-0000-00001A0A0000}"/>
    <cellStyle name="FieldName 3 10" xfId="8967" xr:uid="{00000000-0005-0000-0000-00001B0A0000}"/>
    <cellStyle name="FieldName 3 11" xfId="8968" xr:uid="{00000000-0005-0000-0000-00001C0A0000}"/>
    <cellStyle name="FieldName 3 12" xfId="8969" xr:uid="{00000000-0005-0000-0000-00001D0A0000}"/>
    <cellStyle name="FieldName 3 13" xfId="8970" xr:uid="{00000000-0005-0000-0000-00001E0A0000}"/>
    <cellStyle name="FieldName 3 2" xfId="8971" xr:uid="{00000000-0005-0000-0000-00001F0A0000}"/>
    <cellStyle name="FieldName 3 2 10" xfId="8972" xr:uid="{00000000-0005-0000-0000-0000200A0000}"/>
    <cellStyle name="FieldName 3 2 2" xfId="8973" xr:uid="{00000000-0005-0000-0000-0000210A0000}"/>
    <cellStyle name="FieldName 3 2 2 2" xfId="8974" xr:uid="{00000000-0005-0000-0000-0000220A0000}"/>
    <cellStyle name="FieldName 3 2 2 2 2" xfId="8975" xr:uid="{00000000-0005-0000-0000-0000230A0000}"/>
    <cellStyle name="FieldName 3 2 2 2 3" xfId="8976" xr:uid="{00000000-0005-0000-0000-0000240A0000}"/>
    <cellStyle name="FieldName 3 2 2 2 4" xfId="8977" xr:uid="{00000000-0005-0000-0000-0000250A0000}"/>
    <cellStyle name="FieldName 3 2 2 2 5" xfId="8978" xr:uid="{00000000-0005-0000-0000-0000260A0000}"/>
    <cellStyle name="FieldName 3 2 2 2 6" xfId="8979" xr:uid="{00000000-0005-0000-0000-0000270A0000}"/>
    <cellStyle name="FieldName 3 2 2 3" xfId="8980" xr:uid="{00000000-0005-0000-0000-0000280A0000}"/>
    <cellStyle name="FieldName 3 2 2 4" xfId="8981" xr:uid="{00000000-0005-0000-0000-0000290A0000}"/>
    <cellStyle name="FieldName 3 2 2 5" xfId="8982" xr:uid="{00000000-0005-0000-0000-00002A0A0000}"/>
    <cellStyle name="FieldName 3 2 2 6" xfId="8983" xr:uid="{00000000-0005-0000-0000-00002B0A0000}"/>
    <cellStyle name="FieldName 3 2 2 7" xfId="8984" xr:uid="{00000000-0005-0000-0000-00002C0A0000}"/>
    <cellStyle name="FieldName 3 2 2 8" xfId="8985" xr:uid="{00000000-0005-0000-0000-00002D0A0000}"/>
    <cellStyle name="FieldName 3 2 2 9" xfId="8986" xr:uid="{00000000-0005-0000-0000-00002E0A0000}"/>
    <cellStyle name="FieldName 3 2 3" xfId="8987" xr:uid="{00000000-0005-0000-0000-00002F0A0000}"/>
    <cellStyle name="FieldName 3 2 3 2" xfId="8988" xr:uid="{00000000-0005-0000-0000-0000300A0000}"/>
    <cellStyle name="FieldName 3 2 3 3" xfId="8989" xr:uid="{00000000-0005-0000-0000-0000310A0000}"/>
    <cellStyle name="FieldName 3 2 3 4" xfId="8990" xr:uid="{00000000-0005-0000-0000-0000320A0000}"/>
    <cellStyle name="FieldName 3 2 3 5" xfId="8991" xr:uid="{00000000-0005-0000-0000-0000330A0000}"/>
    <cellStyle name="FieldName 3 2 3 6" xfId="8992" xr:uid="{00000000-0005-0000-0000-0000340A0000}"/>
    <cellStyle name="FieldName 3 2 4" xfId="8993" xr:uid="{00000000-0005-0000-0000-0000350A0000}"/>
    <cellStyle name="FieldName 3 2 5" xfId="8994" xr:uid="{00000000-0005-0000-0000-0000360A0000}"/>
    <cellStyle name="FieldName 3 2 6" xfId="8995" xr:uid="{00000000-0005-0000-0000-0000370A0000}"/>
    <cellStyle name="FieldName 3 2 7" xfId="8996" xr:uid="{00000000-0005-0000-0000-0000380A0000}"/>
    <cellStyle name="FieldName 3 2 8" xfId="8997" xr:uid="{00000000-0005-0000-0000-0000390A0000}"/>
    <cellStyle name="FieldName 3 2 9" xfId="8998" xr:uid="{00000000-0005-0000-0000-00003A0A0000}"/>
    <cellStyle name="FieldName 3 3" xfId="8999" xr:uid="{00000000-0005-0000-0000-00003B0A0000}"/>
    <cellStyle name="FieldName 3 3 2" xfId="9000" xr:uid="{00000000-0005-0000-0000-00003C0A0000}"/>
    <cellStyle name="FieldName 3 3 2 2" xfId="9001" xr:uid="{00000000-0005-0000-0000-00003D0A0000}"/>
    <cellStyle name="FieldName 3 3 2 3" xfId="9002" xr:uid="{00000000-0005-0000-0000-00003E0A0000}"/>
    <cellStyle name="FieldName 3 3 2 4" xfId="9003" xr:uid="{00000000-0005-0000-0000-00003F0A0000}"/>
    <cellStyle name="FieldName 3 3 2 5" xfId="9004" xr:uid="{00000000-0005-0000-0000-0000400A0000}"/>
    <cellStyle name="FieldName 3 3 3" xfId="9005" xr:uid="{00000000-0005-0000-0000-0000410A0000}"/>
    <cellStyle name="FieldName 3 3 3 2" xfId="9006" xr:uid="{00000000-0005-0000-0000-0000420A0000}"/>
    <cellStyle name="FieldName 3 3 3 3" xfId="9007" xr:uid="{00000000-0005-0000-0000-0000430A0000}"/>
    <cellStyle name="FieldName 3 3 3 4" xfId="9008" xr:uid="{00000000-0005-0000-0000-0000440A0000}"/>
    <cellStyle name="FieldName 3 3 3 5" xfId="9009" xr:uid="{00000000-0005-0000-0000-0000450A0000}"/>
    <cellStyle name="FieldName 3 3 4" xfId="9010" xr:uid="{00000000-0005-0000-0000-0000460A0000}"/>
    <cellStyle name="FieldName 3 3 5" xfId="9011" xr:uid="{00000000-0005-0000-0000-0000470A0000}"/>
    <cellStyle name="FieldName 3 3 6" xfId="9012" xr:uid="{00000000-0005-0000-0000-0000480A0000}"/>
    <cellStyle name="FieldName 3 3 7" xfId="9013" xr:uid="{00000000-0005-0000-0000-0000490A0000}"/>
    <cellStyle name="FieldName 3 3 8" xfId="9014" xr:uid="{00000000-0005-0000-0000-00004A0A0000}"/>
    <cellStyle name="FieldName 3 3 9" xfId="9015" xr:uid="{00000000-0005-0000-0000-00004B0A0000}"/>
    <cellStyle name="FieldName 3 4" xfId="9016" xr:uid="{00000000-0005-0000-0000-00004C0A0000}"/>
    <cellStyle name="FieldName 3 4 2" xfId="9017" xr:uid="{00000000-0005-0000-0000-00004D0A0000}"/>
    <cellStyle name="FieldName 3 4 2 2" xfId="9018" xr:uid="{00000000-0005-0000-0000-00004E0A0000}"/>
    <cellStyle name="FieldName 3 4 2 3" xfId="9019" xr:uid="{00000000-0005-0000-0000-00004F0A0000}"/>
    <cellStyle name="FieldName 3 4 2 4" xfId="9020" xr:uid="{00000000-0005-0000-0000-0000500A0000}"/>
    <cellStyle name="FieldName 3 4 2 5" xfId="9021" xr:uid="{00000000-0005-0000-0000-0000510A0000}"/>
    <cellStyle name="FieldName 3 4 3" xfId="9022" xr:uid="{00000000-0005-0000-0000-0000520A0000}"/>
    <cellStyle name="FieldName 3 4 3 2" xfId="9023" xr:uid="{00000000-0005-0000-0000-0000530A0000}"/>
    <cellStyle name="FieldName 3 4 3 3" xfId="9024" xr:uid="{00000000-0005-0000-0000-0000540A0000}"/>
    <cellStyle name="FieldName 3 4 3 4" xfId="9025" xr:uid="{00000000-0005-0000-0000-0000550A0000}"/>
    <cellStyle name="FieldName 3 4 3 5" xfId="9026" xr:uid="{00000000-0005-0000-0000-0000560A0000}"/>
    <cellStyle name="FieldName 3 4 4" xfId="9027" xr:uid="{00000000-0005-0000-0000-0000570A0000}"/>
    <cellStyle name="FieldName 3 4 5" xfId="9028" xr:uid="{00000000-0005-0000-0000-0000580A0000}"/>
    <cellStyle name="FieldName 3 4 6" xfId="9029" xr:uid="{00000000-0005-0000-0000-0000590A0000}"/>
    <cellStyle name="FieldName 3 4 7" xfId="9030" xr:uid="{00000000-0005-0000-0000-00005A0A0000}"/>
    <cellStyle name="FieldName 3 4 8" xfId="9031" xr:uid="{00000000-0005-0000-0000-00005B0A0000}"/>
    <cellStyle name="FieldName 3 4 9" xfId="9032" xr:uid="{00000000-0005-0000-0000-00005C0A0000}"/>
    <cellStyle name="FieldName 3 5" xfId="9033" xr:uid="{00000000-0005-0000-0000-00005D0A0000}"/>
    <cellStyle name="FieldName 3 5 2" xfId="9034" xr:uid="{00000000-0005-0000-0000-00005E0A0000}"/>
    <cellStyle name="FieldName 3 5 2 2" xfId="9035" xr:uid="{00000000-0005-0000-0000-00005F0A0000}"/>
    <cellStyle name="FieldName 3 5 2 3" xfId="9036" xr:uid="{00000000-0005-0000-0000-0000600A0000}"/>
    <cellStyle name="FieldName 3 5 2 4" xfId="9037" xr:uid="{00000000-0005-0000-0000-0000610A0000}"/>
    <cellStyle name="FieldName 3 5 2 5" xfId="9038" xr:uid="{00000000-0005-0000-0000-0000620A0000}"/>
    <cellStyle name="FieldName 3 5 3" xfId="9039" xr:uid="{00000000-0005-0000-0000-0000630A0000}"/>
    <cellStyle name="FieldName 3 5 3 2" xfId="9040" xr:uid="{00000000-0005-0000-0000-0000640A0000}"/>
    <cellStyle name="FieldName 3 5 3 3" xfId="9041" xr:uid="{00000000-0005-0000-0000-0000650A0000}"/>
    <cellStyle name="FieldName 3 5 3 4" xfId="9042" xr:uid="{00000000-0005-0000-0000-0000660A0000}"/>
    <cellStyle name="FieldName 3 5 3 5" xfId="9043" xr:uid="{00000000-0005-0000-0000-0000670A0000}"/>
    <cellStyle name="FieldName 3 5 4" xfId="9044" xr:uid="{00000000-0005-0000-0000-0000680A0000}"/>
    <cellStyle name="FieldName 3 5 5" xfId="9045" xr:uid="{00000000-0005-0000-0000-0000690A0000}"/>
    <cellStyle name="FieldName 3 5 6" xfId="9046" xr:uid="{00000000-0005-0000-0000-00006A0A0000}"/>
    <cellStyle name="FieldName 3 5 7" xfId="9047" xr:uid="{00000000-0005-0000-0000-00006B0A0000}"/>
    <cellStyle name="FieldName 3 5 8" xfId="9048" xr:uid="{00000000-0005-0000-0000-00006C0A0000}"/>
    <cellStyle name="FieldName 3 5 9" xfId="9049" xr:uid="{00000000-0005-0000-0000-00006D0A0000}"/>
    <cellStyle name="FieldName 3 6" xfId="9050" xr:uid="{00000000-0005-0000-0000-00006E0A0000}"/>
    <cellStyle name="FieldName 3 6 2" xfId="9051" xr:uid="{00000000-0005-0000-0000-00006F0A0000}"/>
    <cellStyle name="FieldName 3 6 3" xfId="9052" xr:uid="{00000000-0005-0000-0000-0000700A0000}"/>
    <cellStyle name="FieldName 3 6 4" xfId="9053" xr:uid="{00000000-0005-0000-0000-0000710A0000}"/>
    <cellStyle name="FieldName 3 6 5" xfId="9054" xr:uid="{00000000-0005-0000-0000-0000720A0000}"/>
    <cellStyle name="FieldName 3 7" xfId="9055" xr:uid="{00000000-0005-0000-0000-0000730A0000}"/>
    <cellStyle name="FieldName 3 7 2" xfId="9056" xr:uid="{00000000-0005-0000-0000-0000740A0000}"/>
    <cellStyle name="FieldName 3 7 3" xfId="9057" xr:uid="{00000000-0005-0000-0000-0000750A0000}"/>
    <cellStyle name="FieldName 3 7 4" xfId="9058" xr:uid="{00000000-0005-0000-0000-0000760A0000}"/>
    <cellStyle name="FieldName 3 7 5" xfId="9059" xr:uid="{00000000-0005-0000-0000-0000770A0000}"/>
    <cellStyle name="FieldName 3 8" xfId="9060" xr:uid="{00000000-0005-0000-0000-0000780A0000}"/>
    <cellStyle name="FieldName 3 9" xfId="9061" xr:uid="{00000000-0005-0000-0000-0000790A0000}"/>
    <cellStyle name="FieldName 4" xfId="9062" xr:uid="{00000000-0005-0000-0000-00007A0A0000}"/>
    <cellStyle name="FieldName 4 10" xfId="9063" xr:uid="{00000000-0005-0000-0000-00007B0A0000}"/>
    <cellStyle name="FieldName 4 11" xfId="9064" xr:uid="{00000000-0005-0000-0000-00007C0A0000}"/>
    <cellStyle name="FieldName 4 12" xfId="9065" xr:uid="{00000000-0005-0000-0000-00007D0A0000}"/>
    <cellStyle name="FieldName 4 13" xfId="9066" xr:uid="{00000000-0005-0000-0000-00007E0A0000}"/>
    <cellStyle name="FieldName 4 14" xfId="9067" xr:uid="{00000000-0005-0000-0000-00007F0A0000}"/>
    <cellStyle name="FieldName 4 15" xfId="9068" xr:uid="{00000000-0005-0000-0000-0000800A0000}"/>
    <cellStyle name="FieldName 4 2" xfId="9069" xr:uid="{00000000-0005-0000-0000-0000810A0000}"/>
    <cellStyle name="FieldName 4 2 10" xfId="9070" xr:uid="{00000000-0005-0000-0000-0000820A0000}"/>
    <cellStyle name="FieldName 4 2 11" xfId="9071" xr:uid="{00000000-0005-0000-0000-0000830A0000}"/>
    <cellStyle name="FieldName 4 2 2" xfId="9072" xr:uid="{00000000-0005-0000-0000-0000840A0000}"/>
    <cellStyle name="FieldName 4 2 2 10" xfId="9073" xr:uid="{00000000-0005-0000-0000-0000850A0000}"/>
    <cellStyle name="FieldName 4 2 2 2" xfId="9074" xr:uid="{00000000-0005-0000-0000-0000860A0000}"/>
    <cellStyle name="FieldName 4 2 2 2 2" xfId="9075" xr:uid="{00000000-0005-0000-0000-0000870A0000}"/>
    <cellStyle name="FieldName 4 2 2 2 3" xfId="9076" xr:uid="{00000000-0005-0000-0000-0000880A0000}"/>
    <cellStyle name="FieldName 4 2 2 2 4" xfId="9077" xr:uid="{00000000-0005-0000-0000-0000890A0000}"/>
    <cellStyle name="FieldName 4 2 2 2 5" xfId="9078" xr:uid="{00000000-0005-0000-0000-00008A0A0000}"/>
    <cellStyle name="FieldName 4 2 2 2 6" xfId="9079" xr:uid="{00000000-0005-0000-0000-00008B0A0000}"/>
    <cellStyle name="FieldName 4 2 2 3" xfId="9080" xr:uid="{00000000-0005-0000-0000-00008C0A0000}"/>
    <cellStyle name="FieldName 4 2 2 3 2" xfId="9081" xr:uid="{00000000-0005-0000-0000-00008D0A0000}"/>
    <cellStyle name="FieldName 4 2 2 3 3" xfId="9082" xr:uid="{00000000-0005-0000-0000-00008E0A0000}"/>
    <cellStyle name="FieldName 4 2 2 3 4" xfId="9083" xr:uid="{00000000-0005-0000-0000-00008F0A0000}"/>
    <cellStyle name="FieldName 4 2 2 3 5" xfId="9084" xr:uid="{00000000-0005-0000-0000-0000900A0000}"/>
    <cellStyle name="FieldName 4 2 2 3 6" xfId="9085" xr:uid="{00000000-0005-0000-0000-0000910A0000}"/>
    <cellStyle name="FieldName 4 2 2 4" xfId="9086" xr:uid="{00000000-0005-0000-0000-0000920A0000}"/>
    <cellStyle name="FieldName 4 2 2 5" xfId="9087" xr:uid="{00000000-0005-0000-0000-0000930A0000}"/>
    <cellStyle name="FieldName 4 2 2 6" xfId="9088" xr:uid="{00000000-0005-0000-0000-0000940A0000}"/>
    <cellStyle name="FieldName 4 2 2 7" xfId="9089" xr:uid="{00000000-0005-0000-0000-0000950A0000}"/>
    <cellStyle name="FieldName 4 2 2 8" xfId="9090" xr:uid="{00000000-0005-0000-0000-0000960A0000}"/>
    <cellStyle name="FieldName 4 2 2 9" xfId="9091" xr:uid="{00000000-0005-0000-0000-0000970A0000}"/>
    <cellStyle name="FieldName 4 2 3" xfId="9092" xr:uid="{00000000-0005-0000-0000-0000980A0000}"/>
    <cellStyle name="FieldName 4 2 3 2" xfId="9093" xr:uid="{00000000-0005-0000-0000-0000990A0000}"/>
    <cellStyle name="FieldName 4 2 3 2 2" xfId="9094" xr:uid="{00000000-0005-0000-0000-00009A0A0000}"/>
    <cellStyle name="FieldName 4 2 3 2 3" xfId="9095" xr:uid="{00000000-0005-0000-0000-00009B0A0000}"/>
    <cellStyle name="FieldName 4 2 3 2 4" xfId="9096" xr:uid="{00000000-0005-0000-0000-00009C0A0000}"/>
    <cellStyle name="FieldName 4 2 3 2 5" xfId="9097" xr:uid="{00000000-0005-0000-0000-00009D0A0000}"/>
    <cellStyle name="FieldName 4 2 3 2 6" xfId="9098" xr:uid="{00000000-0005-0000-0000-00009E0A0000}"/>
    <cellStyle name="FieldName 4 2 3 3" xfId="9099" xr:uid="{00000000-0005-0000-0000-00009F0A0000}"/>
    <cellStyle name="FieldName 4 2 3 4" xfId="9100" xr:uid="{00000000-0005-0000-0000-0000A00A0000}"/>
    <cellStyle name="FieldName 4 2 3 5" xfId="9101" xr:uid="{00000000-0005-0000-0000-0000A10A0000}"/>
    <cellStyle name="FieldName 4 2 3 6" xfId="9102" xr:uid="{00000000-0005-0000-0000-0000A20A0000}"/>
    <cellStyle name="FieldName 4 2 3 7" xfId="9103" xr:uid="{00000000-0005-0000-0000-0000A30A0000}"/>
    <cellStyle name="FieldName 4 2 3 8" xfId="9104" xr:uid="{00000000-0005-0000-0000-0000A40A0000}"/>
    <cellStyle name="FieldName 4 2 3 9" xfId="9105" xr:uid="{00000000-0005-0000-0000-0000A50A0000}"/>
    <cellStyle name="FieldName 4 2 4" xfId="9106" xr:uid="{00000000-0005-0000-0000-0000A60A0000}"/>
    <cellStyle name="FieldName 4 2 4 2" xfId="9107" xr:uid="{00000000-0005-0000-0000-0000A70A0000}"/>
    <cellStyle name="FieldName 4 2 4 3" xfId="9108" xr:uid="{00000000-0005-0000-0000-0000A80A0000}"/>
    <cellStyle name="FieldName 4 2 4 4" xfId="9109" xr:uid="{00000000-0005-0000-0000-0000A90A0000}"/>
    <cellStyle name="FieldName 4 2 4 5" xfId="9110" xr:uid="{00000000-0005-0000-0000-0000AA0A0000}"/>
    <cellStyle name="FieldName 4 2 4 6" xfId="9111" xr:uid="{00000000-0005-0000-0000-0000AB0A0000}"/>
    <cellStyle name="FieldName 4 2 5" xfId="9112" xr:uid="{00000000-0005-0000-0000-0000AC0A0000}"/>
    <cellStyle name="FieldName 4 2 6" xfId="9113" xr:uid="{00000000-0005-0000-0000-0000AD0A0000}"/>
    <cellStyle name="FieldName 4 2 7" xfId="9114" xr:uid="{00000000-0005-0000-0000-0000AE0A0000}"/>
    <cellStyle name="FieldName 4 2 8" xfId="9115" xr:uid="{00000000-0005-0000-0000-0000AF0A0000}"/>
    <cellStyle name="FieldName 4 2 9" xfId="9116" xr:uid="{00000000-0005-0000-0000-0000B00A0000}"/>
    <cellStyle name="FieldName 4 3" xfId="9117" xr:uid="{00000000-0005-0000-0000-0000B10A0000}"/>
    <cellStyle name="FieldName 4 3 10" xfId="9118" xr:uid="{00000000-0005-0000-0000-0000B20A0000}"/>
    <cellStyle name="FieldName 4 3 11" xfId="9119" xr:uid="{00000000-0005-0000-0000-0000B30A0000}"/>
    <cellStyle name="FieldName 4 3 12" xfId="9120" xr:uid="{00000000-0005-0000-0000-0000B40A0000}"/>
    <cellStyle name="FieldName 4 3 2" xfId="9121" xr:uid="{00000000-0005-0000-0000-0000B50A0000}"/>
    <cellStyle name="FieldName 4 3 2 2" xfId="9122" xr:uid="{00000000-0005-0000-0000-0000B60A0000}"/>
    <cellStyle name="FieldName 4 3 2 2 2" xfId="9123" xr:uid="{00000000-0005-0000-0000-0000B70A0000}"/>
    <cellStyle name="FieldName 4 3 2 2 3" xfId="9124" xr:uid="{00000000-0005-0000-0000-0000B80A0000}"/>
    <cellStyle name="FieldName 4 3 2 2 4" xfId="9125" xr:uid="{00000000-0005-0000-0000-0000B90A0000}"/>
    <cellStyle name="FieldName 4 3 2 2 5" xfId="9126" xr:uid="{00000000-0005-0000-0000-0000BA0A0000}"/>
    <cellStyle name="FieldName 4 3 2 3" xfId="9127" xr:uid="{00000000-0005-0000-0000-0000BB0A0000}"/>
    <cellStyle name="FieldName 4 3 2 3 2" xfId="9128" xr:uid="{00000000-0005-0000-0000-0000BC0A0000}"/>
    <cellStyle name="FieldName 4 3 2 3 3" xfId="9129" xr:uid="{00000000-0005-0000-0000-0000BD0A0000}"/>
    <cellStyle name="FieldName 4 3 2 3 4" xfId="9130" xr:uid="{00000000-0005-0000-0000-0000BE0A0000}"/>
    <cellStyle name="FieldName 4 3 2 3 5" xfId="9131" xr:uid="{00000000-0005-0000-0000-0000BF0A0000}"/>
    <cellStyle name="FieldName 4 3 2 4" xfId="9132" xr:uid="{00000000-0005-0000-0000-0000C00A0000}"/>
    <cellStyle name="FieldName 4 3 2 5" xfId="9133" xr:uid="{00000000-0005-0000-0000-0000C10A0000}"/>
    <cellStyle name="FieldName 4 3 2 6" xfId="9134" xr:uid="{00000000-0005-0000-0000-0000C20A0000}"/>
    <cellStyle name="FieldName 4 3 2 7" xfId="9135" xr:uid="{00000000-0005-0000-0000-0000C30A0000}"/>
    <cellStyle name="FieldName 4 3 2 8" xfId="9136" xr:uid="{00000000-0005-0000-0000-0000C40A0000}"/>
    <cellStyle name="FieldName 4 3 2 9" xfId="9137" xr:uid="{00000000-0005-0000-0000-0000C50A0000}"/>
    <cellStyle name="FieldName 4 3 3" xfId="9138" xr:uid="{00000000-0005-0000-0000-0000C60A0000}"/>
    <cellStyle name="FieldName 4 3 3 2" xfId="9139" xr:uid="{00000000-0005-0000-0000-0000C70A0000}"/>
    <cellStyle name="FieldName 4 3 3 2 2" xfId="9140" xr:uid="{00000000-0005-0000-0000-0000C80A0000}"/>
    <cellStyle name="FieldName 4 3 3 2 3" xfId="9141" xr:uid="{00000000-0005-0000-0000-0000C90A0000}"/>
    <cellStyle name="FieldName 4 3 3 2 4" xfId="9142" xr:uid="{00000000-0005-0000-0000-0000CA0A0000}"/>
    <cellStyle name="FieldName 4 3 3 2 5" xfId="9143" xr:uid="{00000000-0005-0000-0000-0000CB0A0000}"/>
    <cellStyle name="FieldName 4 3 3 3" xfId="9144" xr:uid="{00000000-0005-0000-0000-0000CC0A0000}"/>
    <cellStyle name="FieldName 4 3 3 3 2" xfId="9145" xr:uid="{00000000-0005-0000-0000-0000CD0A0000}"/>
    <cellStyle name="FieldName 4 3 3 3 3" xfId="9146" xr:uid="{00000000-0005-0000-0000-0000CE0A0000}"/>
    <cellStyle name="FieldName 4 3 3 3 4" xfId="9147" xr:uid="{00000000-0005-0000-0000-0000CF0A0000}"/>
    <cellStyle name="FieldName 4 3 3 3 5" xfId="9148" xr:uid="{00000000-0005-0000-0000-0000D00A0000}"/>
    <cellStyle name="FieldName 4 3 3 4" xfId="9149" xr:uid="{00000000-0005-0000-0000-0000D10A0000}"/>
    <cellStyle name="FieldName 4 3 3 5" xfId="9150" xr:uid="{00000000-0005-0000-0000-0000D20A0000}"/>
    <cellStyle name="FieldName 4 3 3 6" xfId="9151" xr:uid="{00000000-0005-0000-0000-0000D30A0000}"/>
    <cellStyle name="FieldName 4 3 3 7" xfId="9152" xr:uid="{00000000-0005-0000-0000-0000D40A0000}"/>
    <cellStyle name="FieldName 4 3 3 8" xfId="9153" xr:uid="{00000000-0005-0000-0000-0000D50A0000}"/>
    <cellStyle name="FieldName 4 3 3 9" xfId="9154" xr:uid="{00000000-0005-0000-0000-0000D60A0000}"/>
    <cellStyle name="FieldName 4 3 4" xfId="9155" xr:uid="{00000000-0005-0000-0000-0000D70A0000}"/>
    <cellStyle name="FieldName 4 3 4 2" xfId="9156" xr:uid="{00000000-0005-0000-0000-0000D80A0000}"/>
    <cellStyle name="FieldName 4 3 4 2 2" xfId="9157" xr:uid="{00000000-0005-0000-0000-0000D90A0000}"/>
    <cellStyle name="FieldName 4 3 4 2 3" xfId="9158" xr:uid="{00000000-0005-0000-0000-0000DA0A0000}"/>
    <cellStyle name="FieldName 4 3 4 2 4" xfId="9159" xr:uid="{00000000-0005-0000-0000-0000DB0A0000}"/>
    <cellStyle name="FieldName 4 3 4 2 5" xfId="9160" xr:uid="{00000000-0005-0000-0000-0000DC0A0000}"/>
    <cellStyle name="FieldName 4 3 4 3" xfId="9161" xr:uid="{00000000-0005-0000-0000-0000DD0A0000}"/>
    <cellStyle name="FieldName 4 3 4 3 2" xfId="9162" xr:uid="{00000000-0005-0000-0000-0000DE0A0000}"/>
    <cellStyle name="FieldName 4 3 4 3 3" xfId="9163" xr:uid="{00000000-0005-0000-0000-0000DF0A0000}"/>
    <cellStyle name="FieldName 4 3 4 3 4" xfId="9164" xr:uid="{00000000-0005-0000-0000-0000E00A0000}"/>
    <cellStyle name="FieldName 4 3 4 3 5" xfId="9165" xr:uid="{00000000-0005-0000-0000-0000E10A0000}"/>
    <cellStyle name="FieldName 4 3 4 4" xfId="9166" xr:uid="{00000000-0005-0000-0000-0000E20A0000}"/>
    <cellStyle name="FieldName 4 3 4 5" xfId="9167" xr:uid="{00000000-0005-0000-0000-0000E30A0000}"/>
    <cellStyle name="FieldName 4 3 4 6" xfId="9168" xr:uid="{00000000-0005-0000-0000-0000E40A0000}"/>
    <cellStyle name="FieldName 4 3 4 7" xfId="9169" xr:uid="{00000000-0005-0000-0000-0000E50A0000}"/>
    <cellStyle name="FieldName 4 3 4 8" xfId="9170" xr:uid="{00000000-0005-0000-0000-0000E60A0000}"/>
    <cellStyle name="FieldName 4 3 4 9" xfId="9171" xr:uid="{00000000-0005-0000-0000-0000E70A0000}"/>
    <cellStyle name="FieldName 4 3 5" xfId="9172" xr:uid="{00000000-0005-0000-0000-0000E80A0000}"/>
    <cellStyle name="FieldName 4 3 5 2" xfId="9173" xr:uid="{00000000-0005-0000-0000-0000E90A0000}"/>
    <cellStyle name="FieldName 4 3 5 3" xfId="9174" xr:uid="{00000000-0005-0000-0000-0000EA0A0000}"/>
    <cellStyle name="FieldName 4 3 5 4" xfId="9175" xr:uid="{00000000-0005-0000-0000-0000EB0A0000}"/>
    <cellStyle name="FieldName 4 3 5 5" xfId="9176" xr:uid="{00000000-0005-0000-0000-0000EC0A0000}"/>
    <cellStyle name="FieldName 4 3 6" xfId="9177" xr:uid="{00000000-0005-0000-0000-0000ED0A0000}"/>
    <cellStyle name="FieldName 4 3 6 2" xfId="9178" xr:uid="{00000000-0005-0000-0000-0000EE0A0000}"/>
    <cellStyle name="FieldName 4 3 6 3" xfId="9179" xr:uid="{00000000-0005-0000-0000-0000EF0A0000}"/>
    <cellStyle name="FieldName 4 3 6 4" xfId="9180" xr:uid="{00000000-0005-0000-0000-0000F00A0000}"/>
    <cellStyle name="FieldName 4 3 6 5" xfId="9181" xr:uid="{00000000-0005-0000-0000-0000F10A0000}"/>
    <cellStyle name="FieldName 4 3 7" xfId="9182" xr:uid="{00000000-0005-0000-0000-0000F20A0000}"/>
    <cellStyle name="FieldName 4 3 8" xfId="9183" xr:uid="{00000000-0005-0000-0000-0000F30A0000}"/>
    <cellStyle name="FieldName 4 3 9" xfId="9184" xr:uid="{00000000-0005-0000-0000-0000F40A0000}"/>
    <cellStyle name="FieldName 4 4" xfId="9185" xr:uid="{00000000-0005-0000-0000-0000F50A0000}"/>
    <cellStyle name="FieldName 4 4 10" xfId="9186" xr:uid="{00000000-0005-0000-0000-0000F60A0000}"/>
    <cellStyle name="FieldName 4 4 11" xfId="9187" xr:uid="{00000000-0005-0000-0000-0000F70A0000}"/>
    <cellStyle name="FieldName 4 4 12" xfId="9188" xr:uid="{00000000-0005-0000-0000-0000F80A0000}"/>
    <cellStyle name="FieldName 4 4 2" xfId="9189" xr:uid="{00000000-0005-0000-0000-0000F90A0000}"/>
    <cellStyle name="FieldName 4 4 2 2" xfId="9190" xr:uid="{00000000-0005-0000-0000-0000FA0A0000}"/>
    <cellStyle name="FieldName 4 4 2 2 2" xfId="9191" xr:uid="{00000000-0005-0000-0000-0000FB0A0000}"/>
    <cellStyle name="FieldName 4 4 2 2 3" xfId="9192" xr:uid="{00000000-0005-0000-0000-0000FC0A0000}"/>
    <cellStyle name="FieldName 4 4 2 2 4" xfId="9193" xr:uid="{00000000-0005-0000-0000-0000FD0A0000}"/>
    <cellStyle name="FieldName 4 4 2 2 5" xfId="9194" xr:uid="{00000000-0005-0000-0000-0000FE0A0000}"/>
    <cellStyle name="FieldName 4 4 2 3" xfId="9195" xr:uid="{00000000-0005-0000-0000-0000FF0A0000}"/>
    <cellStyle name="FieldName 4 4 2 3 2" xfId="9196" xr:uid="{00000000-0005-0000-0000-0000000B0000}"/>
    <cellStyle name="FieldName 4 4 2 3 3" xfId="9197" xr:uid="{00000000-0005-0000-0000-0000010B0000}"/>
    <cellStyle name="FieldName 4 4 2 3 4" xfId="9198" xr:uid="{00000000-0005-0000-0000-0000020B0000}"/>
    <cellStyle name="FieldName 4 4 2 3 5" xfId="9199" xr:uid="{00000000-0005-0000-0000-0000030B0000}"/>
    <cellStyle name="FieldName 4 4 2 4" xfId="9200" xr:uid="{00000000-0005-0000-0000-0000040B0000}"/>
    <cellStyle name="FieldName 4 4 2 5" xfId="9201" xr:uid="{00000000-0005-0000-0000-0000050B0000}"/>
    <cellStyle name="FieldName 4 4 2 6" xfId="9202" xr:uid="{00000000-0005-0000-0000-0000060B0000}"/>
    <cellStyle name="FieldName 4 4 2 7" xfId="9203" xr:uid="{00000000-0005-0000-0000-0000070B0000}"/>
    <cellStyle name="FieldName 4 4 2 8" xfId="9204" xr:uid="{00000000-0005-0000-0000-0000080B0000}"/>
    <cellStyle name="FieldName 4 4 2 9" xfId="9205" xr:uid="{00000000-0005-0000-0000-0000090B0000}"/>
    <cellStyle name="FieldName 4 4 3" xfId="9206" xr:uid="{00000000-0005-0000-0000-00000A0B0000}"/>
    <cellStyle name="FieldName 4 4 3 2" xfId="9207" xr:uid="{00000000-0005-0000-0000-00000B0B0000}"/>
    <cellStyle name="FieldName 4 4 3 2 2" xfId="9208" xr:uid="{00000000-0005-0000-0000-00000C0B0000}"/>
    <cellStyle name="FieldName 4 4 3 2 3" xfId="9209" xr:uid="{00000000-0005-0000-0000-00000D0B0000}"/>
    <cellStyle name="FieldName 4 4 3 2 4" xfId="9210" xr:uid="{00000000-0005-0000-0000-00000E0B0000}"/>
    <cellStyle name="FieldName 4 4 3 2 5" xfId="9211" xr:uid="{00000000-0005-0000-0000-00000F0B0000}"/>
    <cellStyle name="FieldName 4 4 3 3" xfId="9212" xr:uid="{00000000-0005-0000-0000-0000100B0000}"/>
    <cellStyle name="FieldName 4 4 3 3 2" xfId="9213" xr:uid="{00000000-0005-0000-0000-0000110B0000}"/>
    <cellStyle name="FieldName 4 4 3 3 3" xfId="9214" xr:uid="{00000000-0005-0000-0000-0000120B0000}"/>
    <cellStyle name="FieldName 4 4 3 3 4" xfId="9215" xr:uid="{00000000-0005-0000-0000-0000130B0000}"/>
    <cellStyle name="FieldName 4 4 3 3 5" xfId="9216" xr:uid="{00000000-0005-0000-0000-0000140B0000}"/>
    <cellStyle name="FieldName 4 4 3 4" xfId="9217" xr:uid="{00000000-0005-0000-0000-0000150B0000}"/>
    <cellStyle name="FieldName 4 4 3 5" xfId="9218" xr:uid="{00000000-0005-0000-0000-0000160B0000}"/>
    <cellStyle name="FieldName 4 4 3 6" xfId="9219" xr:uid="{00000000-0005-0000-0000-0000170B0000}"/>
    <cellStyle name="FieldName 4 4 3 7" xfId="9220" xr:uid="{00000000-0005-0000-0000-0000180B0000}"/>
    <cellStyle name="FieldName 4 4 3 8" xfId="9221" xr:uid="{00000000-0005-0000-0000-0000190B0000}"/>
    <cellStyle name="FieldName 4 4 3 9" xfId="9222" xr:uid="{00000000-0005-0000-0000-00001A0B0000}"/>
    <cellStyle name="FieldName 4 4 4" xfId="9223" xr:uid="{00000000-0005-0000-0000-00001B0B0000}"/>
    <cellStyle name="FieldName 4 4 4 2" xfId="9224" xr:uid="{00000000-0005-0000-0000-00001C0B0000}"/>
    <cellStyle name="FieldName 4 4 4 2 2" xfId="9225" xr:uid="{00000000-0005-0000-0000-00001D0B0000}"/>
    <cellStyle name="FieldName 4 4 4 2 3" xfId="9226" xr:uid="{00000000-0005-0000-0000-00001E0B0000}"/>
    <cellStyle name="FieldName 4 4 4 2 4" xfId="9227" xr:uid="{00000000-0005-0000-0000-00001F0B0000}"/>
    <cellStyle name="FieldName 4 4 4 2 5" xfId="9228" xr:uid="{00000000-0005-0000-0000-0000200B0000}"/>
    <cellStyle name="FieldName 4 4 4 3" xfId="9229" xr:uid="{00000000-0005-0000-0000-0000210B0000}"/>
    <cellStyle name="FieldName 4 4 4 3 2" xfId="9230" xr:uid="{00000000-0005-0000-0000-0000220B0000}"/>
    <cellStyle name="FieldName 4 4 4 3 3" xfId="9231" xr:uid="{00000000-0005-0000-0000-0000230B0000}"/>
    <cellStyle name="FieldName 4 4 4 3 4" xfId="9232" xr:uid="{00000000-0005-0000-0000-0000240B0000}"/>
    <cellStyle name="FieldName 4 4 4 3 5" xfId="9233" xr:uid="{00000000-0005-0000-0000-0000250B0000}"/>
    <cellStyle name="FieldName 4 4 4 4" xfId="9234" xr:uid="{00000000-0005-0000-0000-0000260B0000}"/>
    <cellStyle name="FieldName 4 4 4 5" xfId="9235" xr:uid="{00000000-0005-0000-0000-0000270B0000}"/>
    <cellStyle name="FieldName 4 4 4 6" xfId="9236" xr:uid="{00000000-0005-0000-0000-0000280B0000}"/>
    <cellStyle name="FieldName 4 4 4 7" xfId="9237" xr:uid="{00000000-0005-0000-0000-0000290B0000}"/>
    <cellStyle name="FieldName 4 4 4 8" xfId="9238" xr:uid="{00000000-0005-0000-0000-00002A0B0000}"/>
    <cellStyle name="FieldName 4 4 4 9" xfId="9239" xr:uid="{00000000-0005-0000-0000-00002B0B0000}"/>
    <cellStyle name="FieldName 4 4 5" xfId="9240" xr:uid="{00000000-0005-0000-0000-00002C0B0000}"/>
    <cellStyle name="FieldName 4 4 5 2" xfId="9241" xr:uid="{00000000-0005-0000-0000-00002D0B0000}"/>
    <cellStyle name="FieldName 4 4 5 3" xfId="9242" xr:uid="{00000000-0005-0000-0000-00002E0B0000}"/>
    <cellStyle name="FieldName 4 4 5 4" xfId="9243" xr:uid="{00000000-0005-0000-0000-00002F0B0000}"/>
    <cellStyle name="FieldName 4 4 5 5" xfId="9244" xr:uid="{00000000-0005-0000-0000-0000300B0000}"/>
    <cellStyle name="FieldName 4 4 6" xfId="9245" xr:uid="{00000000-0005-0000-0000-0000310B0000}"/>
    <cellStyle name="FieldName 4 4 6 2" xfId="9246" xr:uid="{00000000-0005-0000-0000-0000320B0000}"/>
    <cellStyle name="FieldName 4 4 6 3" xfId="9247" xr:uid="{00000000-0005-0000-0000-0000330B0000}"/>
    <cellStyle name="FieldName 4 4 6 4" xfId="9248" xr:uid="{00000000-0005-0000-0000-0000340B0000}"/>
    <cellStyle name="FieldName 4 4 6 5" xfId="9249" xr:uid="{00000000-0005-0000-0000-0000350B0000}"/>
    <cellStyle name="FieldName 4 4 7" xfId="9250" xr:uid="{00000000-0005-0000-0000-0000360B0000}"/>
    <cellStyle name="FieldName 4 4 8" xfId="9251" xr:uid="{00000000-0005-0000-0000-0000370B0000}"/>
    <cellStyle name="FieldName 4 4 9" xfId="9252" xr:uid="{00000000-0005-0000-0000-0000380B0000}"/>
    <cellStyle name="FieldName 4 5" xfId="9253" xr:uid="{00000000-0005-0000-0000-0000390B0000}"/>
    <cellStyle name="FieldName 4 5 2" xfId="9254" xr:uid="{00000000-0005-0000-0000-00003A0B0000}"/>
    <cellStyle name="FieldName 4 5 2 2" xfId="9255" xr:uid="{00000000-0005-0000-0000-00003B0B0000}"/>
    <cellStyle name="FieldName 4 5 2 3" xfId="9256" xr:uid="{00000000-0005-0000-0000-00003C0B0000}"/>
    <cellStyle name="FieldName 4 5 2 4" xfId="9257" xr:uid="{00000000-0005-0000-0000-00003D0B0000}"/>
    <cellStyle name="FieldName 4 5 2 5" xfId="9258" xr:uid="{00000000-0005-0000-0000-00003E0B0000}"/>
    <cellStyle name="FieldName 4 5 3" xfId="9259" xr:uid="{00000000-0005-0000-0000-00003F0B0000}"/>
    <cellStyle name="FieldName 4 5 3 2" xfId="9260" xr:uid="{00000000-0005-0000-0000-0000400B0000}"/>
    <cellStyle name="FieldName 4 5 3 3" xfId="9261" xr:uid="{00000000-0005-0000-0000-0000410B0000}"/>
    <cellStyle name="FieldName 4 5 3 4" xfId="9262" xr:uid="{00000000-0005-0000-0000-0000420B0000}"/>
    <cellStyle name="FieldName 4 5 3 5" xfId="9263" xr:uid="{00000000-0005-0000-0000-0000430B0000}"/>
    <cellStyle name="FieldName 4 5 4" xfId="9264" xr:uid="{00000000-0005-0000-0000-0000440B0000}"/>
    <cellStyle name="FieldName 4 5 5" xfId="9265" xr:uid="{00000000-0005-0000-0000-0000450B0000}"/>
    <cellStyle name="FieldName 4 5 6" xfId="9266" xr:uid="{00000000-0005-0000-0000-0000460B0000}"/>
    <cellStyle name="FieldName 4 5 7" xfId="9267" xr:uid="{00000000-0005-0000-0000-0000470B0000}"/>
    <cellStyle name="FieldName 4 5 8" xfId="9268" xr:uid="{00000000-0005-0000-0000-0000480B0000}"/>
    <cellStyle name="FieldName 4 5 9" xfId="9269" xr:uid="{00000000-0005-0000-0000-0000490B0000}"/>
    <cellStyle name="FieldName 4 6" xfId="9270" xr:uid="{00000000-0005-0000-0000-00004A0B0000}"/>
    <cellStyle name="FieldName 4 6 2" xfId="9271" xr:uid="{00000000-0005-0000-0000-00004B0B0000}"/>
    <cellStyle name="FieldName 4 6 2 2" xfId="9272" xr:uid="{00000000-0005-0000-0000-00004C0B0000}"/>
    <cellStyle name="FieldName 4 6 2 3" xfId="9273" xr:uid="{00000000-0005-0000-0000-00004D0B0000}"/>
    <cellStyle name="FieldName 4 6 2 4" xfId="9274" xr:uid="{00000000-0005-0000-0000-00004E0B0000}"/>
    <cellStyle name="FieldName 4 6 2 5" xfId="9275" xr:uid="{00000000-0005-0000-0000-00004F0B0000}"/>
    <cellStyle name="FieldName 4 6 3" xfId="9276" xr:uid="{00000000-0005-0000-0000-0000500B0000}"/>
    <cellStyle name="FieldName 4 6 3 2" xfId="9277" xr:uid="{00000000-0005-0000-0000-0000510B0000}"/>
    <cellStyle name="FieldName 4 6 3 3" xfId="9278" xr:uid="{00000000-0005-0000-0000-0000520B0000}"/>
    <cellStyle name="FieldName 4 6 3 4" xfId="9279" xr:uid="{00000000-0005-0000-0000-0000530B0000}"/>
    <cellStyle name="FieldName 4 6 3 5" xfId="9280" xr:uid="{00000000-0005-0000-0000-0000540B0000}"/>
    <cellStyle name="FieldName 4 6 4" xfId="9281" xr:uid="{00000000-0005-0000-0000-0000550B0000}"/>
    <cellStyle name="FieldName 4 6 5" xfId="9282" xr:uid="{00000000-0005-0000-0000-0000560B0000}"/>
    <cellStyle name="FieldName 4 6 6" xfId="9283" xr:uid="{00000000-0005-0000-0000-0000570B0000}"/>
    <cellStyle name="FieldName 4 6 7" xfId="9284" xr:uid="{00000000-0005-0000-0000-0000580B0000}"/>
    <cellStyle name="FieldName 4 6 8" xfId="9285" xr:uid="{00000000-0005-0000-0000-0000590B0000}"/>
    <cellStyle name="FieldName 4 6 9" xfId="9286" xr:uid="{00000000-0005-0000-0000-00005A0B0000}"/>
    <cellStyle name="FieldName 4 7" xfId="9287" xr:uid="{00000000-0005-0000-0000-00005B0B0000}"/>
    <cellStyle name="FieldName 4 7 2" xfId="9288" xr:uid="{00000000-0005-0000-0000-00005C0B0000}"/>
    <cellStyle name="FieldName 4 7 2 2" xfId="9289" xr:uid="{00000000-0005-0000-0000-00005D0B0000}"/>
    <cellStyle name="FieldName 4 7 2 3" xfId="9290" xr:uid="{00000000-0005-0000-0000-00005E0B0000}"/>
    <cellStyle name="FieldName 4 7 2 4" xfId="9291" xr:uid="{00000000-0005-0000-0000-00005F0B0000}"/>
    <cellStyle name="FieldName 4 7 2 5" xfId="9292" xr:uid="{00000000-0005-0000-0000-0000600B0000}"/>
    <cellStyle name="FieldName 4 7 3" xfId="9293" xr:uid="{00000000-0005-0000-0000-0000610B0000}"/>
    <cellStyle name="FieldName 4 7 3 2" xfId="9294" xr:uid="{00000000-0005-0000-0000-0000620B0000}"/>
    <cellStyle name="FieldName 4 7 3 3" xfId="9295" xr:uid="{00000000-0005-0000-0000-0000630B0000}"/>
    <cellStyle name="FieldName 4 7 3 4" xfId="9296" xr:uid="{00000000-0005-0000-0000-0000640B0000}"/>
    <cellStyle name="FieldName 4 7 3 5" xfId="9297" xr:uid="{00000000-0005-0000-0000-0000650B0000}"/>
    <cellStyle name="FieldName 4 7 4" xfId="9298" xr:uid="{00000000-0005-0000-0000-0000660B0000}"/>
    <cellStyle name="FieldName 4 7 5" xfId="9299" xr:uid="{00000000-0005-0000-0000-0000670B0000}"/>
    <cellStyle name="FieldName 4 7 6" xfId="9300" xr:uid="{00000000-0005-0000-0000-0000680B0000}"/>
    <cellStyle name="FieldName 4 7 7" xfId="9301" xr:uid="{00000000-0005-0000-0000-0000690B0000}"/>
    <cellStyle name="FieldName 4 7 8" xfId="9302" xr:uid="{00000000-0005-0000-0000-00006A0B0000}"/>
    <cellStyle name="FieldName 4 7 9" xfId="9303" xr:uid="{00000000-0005-0000-0000-00006B0B0000}"/>
    <cellStyle name="FieldName 4 8" xfId="9304" xr:uid="{00000000-0005-0000-0000-00006C0B0000}"/>
    <cellStyle name="FieldName 4 8 2" xfId="9305" xr:uid="{00000000-0005-0000-0000-00006D0B0000}"/>
    <cellStyle name="FieldName 4 8 3" xfId="9306" xr:uid="{00000000-0005-0000-0000-00006E0B0000}"/>
    <cellStyle name="FieldName 4 8 4" xfId="9307" xr:uid="{00000000-0005-0000-0000-00006F0B0000}"/>
    <cellStyle name="FieldName 4 8 5" xfId="9308" xr:uid="{00000000-0005-0000-0000-0000700B0000}"/>
    <cellStyle name="FieldName 4 9" xfId="9309" xr:uid="{00000000-0005-0000-0000-0000710B0000}"/>
    <cellStyle name="FieldName 4 9 2" xfId="9310" xr:uid="{00000000-0005-0000-0000-0000720B0000}"/>
    <cellStyle name="FieldName 4 9 3" xfId="9311" xr:uid="{00000000-0005-0000-0000-0000730B0000}"/>
    <cellStyle name="FieldName 4 9 4" xfId="9312" xr:uid="{00000000-0005-0000-0000-0000740B0000}"/>
    <cellStyle name="FieldName 4 9 5" xfId="9313" xr:uid="{00000000-0005-0000-0000-0000750B0000}"/>
    <cellStyle name="FieldName 5" xfId="9314" xr:uid="{00000000-0005-0000-0000-0000760B0000}"/>
    <cellStyle name="FieldName 5 10" xfId="9315" xr:uid="{00000000-0005-0000-0000-0000770B0000}"/>
    <cellStyle name="FieldName 5 11" xfId="9316" xr:uid="{00000000-0005-0000-0000-0000780B0000}"/>
    <cellStyle name="FieldName 5 12" xfId="9317" xr:uid="{00000000-0005-0000-0000-0000790B0000}"/>
    <cellStyle name="FieldName 5 13" xfId="9318" xr:uid="{00000000-0005-0000-0000-00007A0B0000}"/>
    <cellStyle name="FieldName 5 2" xfId="9319" xr:uid="{00000000-0005-0000-0000-00007B0B0000}"/>
    <cellStyle name="FieldName 5 2 10" xfId="9320" xr:uid="{00000000-0005-0000-0000-00007C0B0000}"/>
    <cellStyle name="FieldName 5 2 11" xfId="9321" xr:uid="{00000000-0005-0000-0000-00007D0B0000}"/>
    <cellStyle name="FieldName 5 2 12" xfId="9322" xr:uid="{00000000-0005-0000-0000-00007E0B0000}"/>
    <cellStyle name="FieldName 5 2 2" xfId="9323" xr:uid="{00000000-0005-0000-0000-00007F0B0000}"/>
    <cellStyle name="FieldName 5 2 2 2" xfId="9324" xr:uid="{00000000-0005-0000-0000-0000800B0000}"/>
    <cellStyle name="FieldName 5 2 2 2 2" xfId="9325" xr:uid="{00000000-0005-0000-0000-0000810B0000}"/>
    <cellStyle name="FieldName 5 2 2 2 3" xfId="9326" xr:uid="{00000000-0005-0000-0000-0000820B0000}"/>
    <cellStyle name="FieldName 5 2 2 2 4" xfId="9327" xr:uid="{00000000-0005-0000-0000-0000830B0000}"/>
    <cellStyle name="FieldName 5 2 2 2 5" xfId="9328" xr:uid="{00000000-0005-0000-0000-0000840B0000}"/>
    <cellStyle name="FieldName 5 2 2 3" xfId="9329" xr:uid="{00000000-0005-0000-0000-0000850B0000}"/>
    <cellStyle name="FieldName 5 2 2 3 2" xfId="9330" xr:uid="{00000000-0005-0000-0000-0000860B0000}"/>
    <cellStyle name="FieldName 5 2 2 3 3" xfId="9331" xr:uid="{00000000-0005-0000-0000-0000870B0000}"/>
    <cellStyle name="FieldName 5 2 2 3 4" xfId="9332" xr:uid="{00000000-0005-0000-0000-0000880B0000}"/>
    <cellStyle name="FieldName 5 2 2 3 5" xfId="9333" xr:uid="{00000000-0005-0000-0000-0000890B0000}"/>
    <cellStyle name="FieldName 5 2 2 4" xfId="9334" xr:uid="{00000000-0005-0000-0000-00008A0B0000}"/>
    <cellStyle name="FieldName 5 2 2 5" xfId="9335" xr:uid="{00000000-0005-0000-0000-00008B0B0000}"/>
    <cellStyle name="FieldName 5 2 2 6" xfId="9336" xr:uid="{00000000-0005-0000-0000-00008C0B0000}"/>
    <cellStyle name="FieldName 5 2 2 7" xfId="9337" xr:uid="{00000000-0005-0000-0000-00008D0B0000}"/>
    <cellStyle name="FieldName 5 2 2 8" xfId="9338" xr:uid="{00000000-0005-0000-0000-00008E0B0000}"/>
    <cellStyle name="FieldName 5 2 2 9" xfId="9339" xr:uid="{00000000-0005-0000-0000-00008F0B0000}"/>
    <cellStyle name="FieldName 5 2 3" xfId="9340" xr:uid="{00000000-0005-0000-0000-0000900B0000}"/>
    <cellStyle name="FieldName 5 2 3 2" xfId="9341" xr:uid="{00000000-0005-0000-0000-0000910B0000}"/>
    <cellStyle name="FieldName 5 2 3 2 2" xfId="9342" xr:uid="{00000000-0005-0000-0000-0000920B0000}"/>
    <cellStyle name="FieldName 5 2 3 2 3" xfId="9343" xr:uid="{00000000-0005-0000-0000-0000930B0000}"/>
    <cellStyle name="FieldName 5 2 3 2 4" xfId="9344" xr:uid="{00000000-0005-0000-0000-0000940B0000}"/>
    <cellStyle name="FieldName 5 2 3 2 5" xfId="9345" xr:uid="{00000000-0005-0000-0000-0000950B0000}"/>
    <cellStyle name="FieldName 5 2 3 3" xfId="9346" xr:uid="{00000000-0005-0000-0000-0000960B0000}"/>
    <cellStyle name="FieldName 5 2 3 3 2" xfId="9347" xr:uid="{00000000-0005-0000-0000-0000970B0000}"/>
    <cellStyle name="FieldName 5 2 3 3 3" xfId="9348" xr:uid="{00000000-0005-0000-0000-0000980B0000}"/>
    <cellStyle name="FieldName 5 2 3 3 4" xfId="9349" xr:uid="{00000000-0005-0000-0000-0000990B0000}"/>
    <cellStyle name="FieldName 5 2 3 3 5" xfId="9350" xr:uid="{00000000-0005-0000-0000-00009A0B0000}"/>
    <cellStyle name="FieldName 5 2 3 4" xfId="9351" xr:uid="{00000000-0005-0000-0000-00009B0B0000}"/>
    <cellStyle name="FieldName 5 2 3 5" xfId="9352" xr:uid="{00000000-0005-0000-0000-00009C0B0000}"/>
    <cellStyle name="FieldName 5 2 3 6" xfId="9353" xr:uid="{00000000-0005-0000-0000-00009D0B0000}"/>
    <cellStyle name="FieldName 5 2 3 7" xfId="9354" xr:uid="{00000000-0005-0000-0000-00009E0B0000}"/>
    <cellStyle name="FieldName 5 2 3 8" xfId="9355" xr:uid="{00000000-0005-0000-0000-00009F0B0000}"/>
    <cellStyle name="FieldName 5 2 3 9" xfId="9356" xr:uid="{00000000-0005-0000-0000-0000A00B0000}"/>
    <cellStyle name="FieldName 5 2 4" xfId="9357" xr:uid="{00000000-0005-0000-0000-0000A10B0000}"/>
    <cellStyle name="FieldName 5 2 4 2" xfId="9358" xr:uid="{00000000-0005-0000-0000-0000A20B0000}"/>
    <cellStyle name="FieldName 5 2 4 2 2" xfId="9359" xr:uid="{00000000-0005-0000-0000-0000A30B0000}"/>
    <cellStyle name="FieldName 5 2 4 2 3" xfId="9360" xr:uid="{00000000-0005-0000-0000-0000A40B0000}"/>
    <cellStyle name="FieldName 5 2 4 2 4" xfId="9361" xr:uid="{00000000-0005-0000-0000-0000A50B0000}"/>
    <cellStyle name="FieldName 5 2 4 2 5" xfId="9362" xr:uid="{00000000-0005-0000-0000-0000A60B0000}"/>
    <cellStyle name="FieldName 5 2 4 3" xfId="9363" xr:uid="{00000000-0005-0000-0000-0000A70B0000}"/>
    <cellStyle name="FieldName 5 2 4 3 2" xfId="9364" xr:uid="{00000000-0005-0000-0000-0000A80B0000}"/>
    <cellStyle name="FieldName 5 2 4 3 3" xfId="9365" xr:uid="{00000000-0005-0000-0000-0000A90B0000}"/>
    <cellStyle name="FieldName 5 2 4 3 4" xfId="9366" xr:uid="{00000000-0005-0000-0000-0000AA0B0000}"/>
    <cellStyle name="FieldName 5 2 4 3 5" xfId="9367" xr:uid="{00000000-0005-0000-0000-0000AB0B0000}"/>
    <cellStyle name="FieldName 5 2 4 4" xfId="9368" xr:uid="{00000000-0005-0000-0000-0000AC0B0000}"/>
    <cellStyle name="FieldName 5 2 4 5" xfId="9369" xr:uid="{00000000-0005-0000-0000-0000AD0B0000}"/>
    <cellStyle name="FieldName 5 2 4 6" xfId="9370" xr:uid="{00000000-0005-0000-0000-0000AE0B0000}"/>
    <cellStyle name="FieldName 5 2 4 7" xfId="9371" xr:uid="{00000000-0005-0000-0000-0000AF0B0000}"/>
    <cellStyle name="FieldName 5 2 4 8" xfId="9372" xr:uid="{00000000-0005-0000-0000-0000B00B0000}"/>
    <cellStyle name="FieldName 5 2 4 9" xfId="9373" xr:uid="{00000000-0005-0000-0000-0000B10B0000}"/>
    <cellStyle name="FieldName 5 2 5" xfId="9374" xr:uid="{00000000-0005-0000-0000-0000B20B0000}"/>
    <cellStyle name="FieldName 5 2 5 2" xfId="9375" xr:uid="{00000000-0005-0000-0000-0000B30B0000}"/>
    <cellStyle name="FieldName 5 2 5 3" xfId="9376" xr:uid="{00000000-0005-0000-0000-0000B40B0000}"/>
    <cellStyle name="FieldName 5 2 5 4" xfId="9377" xr:uid="{00000000-0005-0000-0000-0000B50B0000}"/>
    <cellStyle name="FieldName 5 2 5 5" xfId="9378" xr:uid="{00000000-0005-0000-0000-0000B60B0000}"/>
    <cellStyle name="FieldName 5 2 6" xfId="9379" xr:uid="{00000000-0005-0000-0000-0000B70B0000}"/>
    <cellStyle name="FieldName 5 2 6 2" xfId="9380" xr:uid="{00000000-0005-0000-0000-0000B80B0000}"/>
    <cellStyle name="FieldName 5 2 6 3" xfId="9381" xr:uid="{00000000-0005-0000-0000-0000B90B0000}"/>
    <cellStyle name="FieldName 5 2 6 4" xfId="9382" xr:uid="{00000000-0005-0000-0000-0000BA0B0000}"/>
    <cellStyle name="FieldName 5 2 6 5" xfId="9383" xr:uid="{00000000-0005-0000-0000-0000BB0B0000}"/>
    <cellStyle name="FieldName 5 2 7" xfId="9384" xr:uid="{00000000-0005-0000-0000-0000BC0B0000}"/>
    <cellStyle name="FieldName 5 2 8" xfId="9385" xr:uid="{00000000-0005-0000-0000-0000BD0B0000}"/>
    <cellStyle name="FieldName 5 2 9" xfId="9386" xr:uid="{00000000-0005-0000-0000-0000BE0B0000}"/>
    <cellStyle name="FieldName 5 3" xfId="9387" xr:uid="{00000000-0005-0000-0000-0000BF0B0000}"/>
    <cellStyle name="FieldName 5 3 10" xfId="9388" xr:uid="{00000000-0005-0000-0000-0000C00B0000}"/>
    <cellStyle name="FieldName 5 3 11" xfId="9389" xr:uid="{00000000-0005-0000-0000-0000C10B0000}"/>
    <cellStyle name="FieldName 5 3 12" xfId="9390" xr:uid="{00000000-0005-0000-0000-0000C20B0000}"/>
    <cellStyle name="FieldName 5 3 2" xfId="9391" xr:uid="{00000000-0005-0000-0000-0000C30B0000}"/>
    <cellStyle name="FieldName 5 3 2 2" xfId="9392" xr:uid="{00000000-0005-0000-0000-0000C40B0000}"/>
    <cellStyle name="FieldName 5 3 2 2 2" xfId="9393" xr:uid="{00000000-0005-0000-0000-0000C50B0000}"/>
    <cellStyle name="FieldName 5 3 2 2 3" xfId="9394" xr:uid="{00000000-0005-0000-0000-0000C60B0000}"/>
    <cellStyle name="FieldName 5 3 2 2 4" xfId="9395" xr:uid="{00000000-0005-0000-0000-0000C70B0000}"/>
    <cellStyle name="FieldName 5 3 2 2 5" xfId="9396" xr:uid="{00000000-0005-0000-0000-0000C80B0000}"/>
    <cellStyle name="FieldName 5 3 2 3" xfId="9397" xr:uid="{00000000-0005-0000-0000-0000C90B0000}"/>
    <cellStyle name="FieldName 5 3 2 3 2" xfId="9398" xr:uid="{00000000-0005-0000-0000-0000CA0B0000}"/>
    <cellStyle name="FieldName 5 3 2 3 3" xfId="9399" xr:uid="{00000000-0005-0000-0000-0000CB0B0000}"/>
    <cellStyle name="FieldName 5 3 2 3 4" xfId="9400" xr:uid="{00000000-0005-0000-0000-0000CC0B0000}"/>
    <cellStyle name="FieldName 5 3 2 3 5" xfId="9401" xr:uid="{00000000-0005-0000-0000-0000CD0B0000}"/>
    <cellStyle name="FieldName 5 3 2 4" xfId="9402" xr:uid="{00000000-0005-0000-0000-0000CE0B0000}"/>
    <cellStyle name="FieldName 5 3 2 5" xfId="9403" xr:uid="{00000000-0005-0000-0000-0000CF0B0000}"/>
    <cellStyle name="FieldName 5 3 2 6" xfId="9404" xr:uid="{00000000-0005-0000-0000-0000D00B0000}"/>
    <cellStyle name="FieldName 5 3 2 7" xfId="9405" xr:uid="{00000000-0005-0000-0000-0000D10B0000}"/>
    <cellStyle name="FieldName 5 3 2 8" xfId="9406" xr:uid="{00000000-0005-0000-0000-0000D20B0000}"/>
    <cellStyle name="FieldName 5 3 2 9" xfId="9407" xr:uid="{00000000-0005-0000-0000-0000D30B0000}"/>
    <cellStyle name="FieldName 5 3 3" xfId="9408" xr:uid="{00000000-0005-0000-0000-0000D40B0000}"/>
    <cellStyle name="FieldName 5 3 3 2" xfId="9409" xr:uid="{00000000-0005-0000-0000-0000D50B0000}"/>
    <cellStyle name="FieldName 5 3 3 2 2" xfId="9410" xr:uid="{00000000-0005-0000-0000-0000D60B0000}"/>
    <cellStyle name="FieldName 5 3 3 2 3" xfId="9411" xr:uid="{00000000-0005-0000-0000-0000D70B0000}"/>
    <cellStyle name="FieldName 5 3 3 2 4" xfId="9412" xr:uid="{00000000-0005-0000-0000-0000D80B0000}"/>
    <cellStyle name="FieldName 5 3 3 2 5" xfId="9413" xr:uid="{00000000-0005-0000-0000-0000D90B0000}"/>
    <cellStyle name="FieldName 5 3 3 3" xfId="9414" xr:uid="{00000000-0005-0000-0000-0000DA0B0000}"/>
    <cellStyle name="FieldName 5 3 3 3 2" xfId="9415" xr:uid="{00000000-0005-0000-0000-0000DB0B0000}"/>
    <cellStyle name="FieldName 5 3 3 3 3" xfId="9416" xr:uid="{00000000-0005-0000-0000-0000DC0B0000}"/>
    <cellStyle name="FieldName 5 3 3 3 4" xfId="9417" xr:uid="{00000000-0005-0000-0000-0000DD0B0000}"/>
    <cellStyle name="FieldName 5 3 3 3 5" xfId="9418" xr:uid="{00000000-0005-0000-0000-0000DE0B0000}"/>
    <cellStyle name="FieldName 5 3 3 4" xfId="9419" xr:uid="{00000000-0005-0000-0000-0000DF0B0000}"/>
    <cellStyle name="FieldName 5 3 3 5" xfId="9420" xr:uid="{00000000-0005-0000-0000-0000E00B0000}"/>
    <cellStyle name="FieldName 5 3 3 6" xfId="9421" xr:uid="{00000000-0005-0000-0000-0000E10B0000}"/>
    <cellStyle name="FieldName 5 3 3 7" xfId="9422" xr:uid="{00000000-0005-0000-0000-0000E20B0000}"/>
    <cellStyle name="FieldName 5 3 3 8" xfId="9423" xr:uid="{00000000-0005-0000-0000-0000E30B0000}"/>
    <cellStyle name="FieldName 5 3 3 9" xfId="9424" xr:uid="{00000000-0005-0000-0000-0000E40B0000}"/>
    <cellStyle name="FieldName 5 3 4" xfId="9425" xr:uid="{00000000-0005-0000-0000-0000E50B0000}"/>
    <cellStyle name="FieldName 5 3 4 2" xfId="9426" xr:uid="{00000000-0005-0000-0000-0000E60B0000}"/>
    <cellStyle name="FieldName 5 3 4 2 2" xfId="9427" xr:uid="{00000000-0005-0000-0000-0000E70B0000}"/>
    <cellStyle name="FieldName 5 3 4 2 3" xfId="9428" xr:uid="{00000000-0005-0000-0000-0000E80B0000}"/>
    <cellStyle name="FieldName 5 3 4 2 4" xfId="9429" xr:uid="{00000000-0005-0000-0000-0000E90B0000}"/>
    <cellStyle name="FieldName 5 3 4 2 5" xfId="9430" xr:uid="{00000000-0005-0000-0000-0000EA0B0000}"/>
    <cellStyle name="FieldName 5 3 4 3" xfId="9431" xr:uid="{00000000-0005-0000-0000-0000EB0B0000}"/>
    <cellStyle name="FieldName 5 3 4 3 2" xfId="9432" xr:uid="{00000000-0005-0000-0000-0000EC0B0000}"/>
    <cellStyle name="FieldName 5 3 4 3 3" xfId="9433" xr:uid="{00000000-0005-0000-0000-0000ED0B0000}"/>
    <cellStyle name="FieldName 5 3 4 3 4" xfId="9434" xr:uid="{00000000-0005-0000-0000-0000EE0B0000}"/>
    <cellStyle name="FieldName 5 3 4 3 5" xfId="9435" xr:uid="{00000000-0005-0000-0000-0000EF0B0000}"/>
    <cellStyle name="FieldName 5 3 4 4" xfId="9436" xr:uid="{00000000-0005-0000-0000-0000F00B0000}"/>
    <cellStyle name="FieldName 5 3 4 5" xfId="9437" xr:uid="{00000000-0005-0000-0000-0000F10B0000}"/>
    <cellStyle name="FieldName 5 3 4 6" xfId="9438" xr:uid="{00000000-0005-0000-0000-0000F20B0000}"/>
    <cellStyle name="FieldName 5 3 4 7" xfId="9439" xr:uid="{00000000-0005-0000-0000-0000F30B0000}"/>
    <cellStyle name="FieldName 5 3 4 8" xfId="9440" xr:uid="{00000000-0005-0000-0000-0000F40B0000}"/>
    <cellStyle name="FieldName 5 3 4 9" xfId="9441" xr:uid="{00000000-0005-0000-0000-0000F50B0000}"/>
    <cellStyle name="FieldName 5 3 5" xfId="9442" xr:uid="{00000000-0005-0000-0000-0000F60B0000}"/>
    <cellStyle name="FieldName 5 3 5 2" xfId="9443" xr:uid="{00000000-0005-0000-0000-0000F70B0000}"/>
    <cellStyle name="FieldName 5 3 5 3" xfId="9444" xr:uid="{00000000-0005-0000-0000-0000F80B0000}"/>
    <cellStyle name="FieldName 5 3 5 4" xfId="9445" xr:uid="{00000000-0005-0000-0000-0000F90B0000}"/>
    <cellStyle name="FieldName 5 3 5 5" xfId="9446" xr:uid="{00000000-0005-0000-0000-0000FA0B0000}"/>
    <cellStyle name="FieldName 5 3 6" xfId="9447" xr:uid="{00000000-0005-0000-0000-0000FB0B0000}"/>
    <cellStyle name="FieldName 5 3 6 2" xfId="9448" xr:uid="{00000000-0005-0000-0000-0000FC0B0000}"/>
    <cellStyle name="FieldName 5 3 6 3" xfId="9449" xr:uid="{00000000-0005-0000-0000-0000FD0B0000}"/>
    <cellStyle name="FieldName 5 3 6 4" xfId="9450" xr:uid="{00000000-0005-0000-0000-0000FE0B0000}"/>
    <cellStyle name="FieldName 5 3 6 5" xfId="9451" xr:uid="{00000000-0005-0000-0000-0000FF0B0000}"/>
    <cellStyle name="FieldName 5 3 7" xfId="9452" xr:uid="{00000000-0005-0000-0000-0000000C0000}"/>
    <cellStyle name="FieldName 5 3 8" xfId="9453" xr:uid="{00000000-0005-0000-0000-0000010C0000}"/>
    <cellStyle name="FieldName 5 3 9" xfId="9454" xr:uid="{00000000-0005-0000-0000-0000020C0000}"/>
    <cellStyle name="FieldName 5 4" xfId="9455" xr:uid="{00000000-0005-0000-0000-0000030C0000}"/>
    <cellStyle name="FieldName 5 4 10" xfId="9456" xr:uid="{00000000-0005-0000-0000-0000040C0000}"/>
    <cellStyle name="FieldName 5 4 2" xfId="9457" xr:uid="{00000000-0005-0000-0000-0000050C0000}"/>
    <cellStyle name="FieldName 5 4 2 2" xfId="9458" xr:uid="{00000000-0005-0000-0000-0000060C0000}"/>
    <cellStyle name="FieldName 5 4 2 3" xfId="9459" xr:uid="{00000000-0005-0000-0000-0000070C0000}"/>
    <cellStyle name="FieldName 5 4 2 4" xfId="9460" xr:uid="{00000000-0005-0000-0000-0000080C0000}"/>
    <cellStyle name="FieldName 5 4 2 5" xfId="9461" xr:uid="{00000000-0005-0000-0000-0000090C0000}"/>
    <cellStyle name="FieldName 5 4 2 6" xfId="9462" xr:uid="{00000000-0005-0000-0000-00000A0C0000}"/>
    <cellStyle name="FieldName 5 4 3" xfId="9463" xr:uid="{00000000-0005-0000-0000-00000B0C0000}"/>
    <cellStyle name="FieldName 5 4 3 2" xfId="9464" xr:uid="{00000000-0005-0000-0000-00000C0C0000}"/>
    <cellStyle name="FieldName 5 4 3 3" xfId="9465" xr:uid="{00000000-0005-0000-0000-00000D0C0000}"/>
    <cellStyle name="FieldName 5 4 3 4" xfId="9466" xr:uid="{00000000-0005-0000-0000-00000E0C0000}"/>
    <cellStyle name="FieldName 5 4 3 5" xfId="9467" xr:uid="{00000000-0005-0000-0000-00000F0C0000}"/>
    <cellStyle name="FieldName 5 4 3 6" xfId="9468" xr:uid="{00000000-0005-0000-0000-0000100C0000}"/>
    <cellStyle name="FieldName 5 4 4" xfId="9469" xr:uid="{00000000-0005-0000-0000-0000110C0000}"/>
    <cellStyle name="FieldName 5 4 5" xfId="9470" xr:uid="{00000000-0005-0000-0000-0000120C0000}"/>
    <cellStyle name="FieldName 5 4 6" xfId="9471" xr:uid="{00000000-0005-0000-0000-0000130C0000}"/>
    <cellStyle name="FieldName 5 4 7" xfId="9472" xr:uid="{00000000-0005-0000-0000-0000140C0000}"/>
    <cellStyle name="FieldName 5 4 8" xfId="9473" xr:uid="{00000000-0005-0000-0000-0000150C0000}"/>
    <cellStyle name="FieldName 5 4 9" xfId="9474" xr:uid="{00000000-0005-0000-0000-0000160C0000}"/>
    <cellStyle name="FieldName 5 5" xfId="9475" xr:uid="{00000000-0005-0000-0000-0000170C0000}"/>
    <cellStyle name="FieldName 5 5 2" xfId="9476" xr:uid="{00000000-0005-0000-0000-0000180C0000}"/>
    <cellStyle name="FieldName 5 5 2 2" xfId="9477" xr:uid="{00000000-0005-0000-0000-0000190C0000}"/>
    <cellStyle name="FieldName 5 5 2 3" xfId="9478" xr:uid="{00000000-0005-0000-0000-00001A0C0000}"/>
    <cellStyle name="FieldName 5 5 2 4" xfId="9479" xr:uid="{00000000-0005-0000-0000-00001B0C0000}"/>
    <cellStyle name="FieldName 5 5 2 5" xfId="9480" xr:uid="{00000000-0005-0000-0000-00001C0C0000}"/>
    <cellStyle name="FieldName 5 5 2 6" xfId="9481" xr:uid="{00000000-0005-0000-0000-00001D0C0000}"/>
    <cellStyle name="FieldName 5 5 3" xfId="9482" xr:uid="{00000000-0005-0000-0000-00001E0C0000}"/>
    <cellStyle name="FieldName 5 5 4" xfId="9483" xr:uid="{00000000-0005-0000-0000-00001F0C0000}"/>
    <cellStyle name="FieldName 5 5 5" xfId="9484" xr:uid="{00000000-0005-0000-0000-0000200C0000}"/>
    <cellStyle name="FieldName 5 5 6" xfId="9485" xr:uid="{00000000-0005-0000-0000-0000210C0000}"/>
    <cellStyle name="FieldName 5 5 7" xfId="9486" xr:uid="{00000000-0005-0000-0000-0000220C0000}"/>
    <cellStyle name="FieldName 5 5 8" xfId="9487" xr:uid="{00000000-0005-0000-0000-0000230C0000}"/>
    <cellStyle name="FieldName 5 5 9" xfId="9488" xr:uid="{00000000-0005-0000-0000-0000240C0000}"/>
    <cellStyle name="FieldName 5 6" xfId="9489" xr:uid="{00000000-0005-0000-0000-0000250C0000}"/>
    <cellStyle name="FieldName 5 6 2" xfId="9490" xr:uid="{00000000-0005-0000-0000-0000260C0000}"/>
    <cellStyle name="FieldName 5 6 3" xfId="9491" xr:uid="{00000000-0005-0000-0000-0000270C0000}"/>
    <cellStyle name="FieldName 5 6 4" xfId="9492" xr:uid="{00000000-0005-0000-0000-0000280C0000}"/>
    <cellStyle name="FieldName 5 6 5" xfId="9493" xr:uid="{00000000-0005-0000-0000-0000290C0000}"/>
    <cellStyle name="FieldName 5 6 6" xfId="9494" xr:uid="{00000000-0005-0000-0000-00002A0C0000}"/>
    <cellStyle name="FieldName 5 7" xfId="9495" xr:uid="{00000000-0005-0000-0000-00002B0C0000}"/>
    <cellStyle name="FieldName 5 8" xfId="9496" xr:uid="{00000000-0005-0000-0000-00002C0C0000}"/>
    <cellStyle name="FieldName 5 9" xfId="9497" xr:uid="{00000000-0005-0000-0000-00002D0C0000}"/>
    <cellStyle name="FieldName 6" xfId="9498" xr:uid="{00000000-0005-0000-0000-00002E0C0000}"/>
    <cellStyle name="FieldName 6 10" xfId="9499" xr:uid="{00000000-0005-0000-0000-00002F0C0000}"/>
    <cellStyle name="FieldName 6 11" xfId="9500" xr:uid="{00000000-0005-0000-0000-0000300C0000}"/>
    <cellStyle name="FieldName 6 2" xfId="9501" xr:uid="{00000000-0005-0000-0000-0000310C0000}"/>
    <cellStyle name="FieldName 6 2 10" xfId="9502" xr:uid="{00000000-0005-0000-0000-0000320C0000}"/>
    <cellStyle name="FieldName 6 2 2" xfId="9503" xr:uid="{00000000-0005-0000-0000-0000330C0000}"/>
    <cellStyle name="FieldName 6 2 2 2" xfId="9504" xr:uid="{00000000-0005-0000-0000-0000340C0000}"/>
    <cellStyle name="FieldName 6 2 2 3" xfId="9505" xr:uid="{00000000-0005-0000-0000-0000350C0000}"/>
    <cellStyle name="FieldName 6 2 2 4" xfId="9506" xr:uid="{00000000-0005-0000-0000-0000360C0000}"/>
    <cellStyle name="FieldName 6 2 2 5" xfId="9507" xr:uid="{00000000-0005-0000-0000-0000370C0000}"/>
    <cellStyle name="FieldName 6 2 2 6" xfId="9508" xr:uid="{00000000-0005-0000-0000-0000380C0000}"/>
    <cellStyle name="FieldName 6 2 3" xfId="9509" xr:uid="{00000000-0005-0000-0000-0000390C0000}"/>
    <cellStyle name="FieldName 6 2 3 2" xfId="9510" xr:uid="{00000000-0005-0000-0000-00003A0C0000}"/>
    <cellStyle name="FieldName 6 2 3 3" xfId="9511" xr:uid="{00000000-0005-0000-0000-00003B0C0000}"/>
    <cellStyle name="FieldName 6 2 3 4" xfId="9512" xr:uid="{00000000-0005-0000-0000-00003C0C0000}"/>
    <cellStyle name="FieldName 6 2 3 5" xfId="9513" xr:uid="{00000000-0005-0000-0000-00003D0C0000}"/>
    <cellStyle name="FieldName 6 2 3 6" xfId="9514" xr:uid="{00000000-0005-0000-0000-00003E0C0000}"/>
    <cellStyle name="FieldName 6 2 4" xfId="9515" xr:uid="{00000000-0005-0000-0000-00003F0C0000}"/>
    <cellStyle name="FieldName 6 2 5" xfId="9516" xr:uid="{00000000-0005-0000-0000-0000400C0000}"/>
    <cellStyle name="FieldName 6 2 6" xfId="9517" xr:uid="{00000000-0005-0000-0000-0000410C0000}"/>
    <cellStyle name="FieldName 6 2 7" xfId="9518" xr:uid="{00000000-0005-0000-0000-0000420C0000}"/>
    <cellStyle name="FieldName 6 2 8" xfId="9519" xr:uid="{00000000-0005-0000-0000-0000430C0000}"/>
    <cellStyle name="FieldName 6 2 9" xfId="9520" xr:uid="{00000000-0005-0000-0000-0000440C0000}"/>
    <cellStyle name="FieldName 6 3" xfId="9521" xr:uid="{00000000-0005-0000-0000-0000450C0000}"/>
    <cellStyle name="FieldName 6 3 2" xfId="9522" xr:uid="{00000000-0005-0000-0000-0000460C0000}"/>
    <cellStyle name="FieldName 6 3 2 2" xfId="9523" xr:uid="{00000000-0005-0000-0000-0000470C0000}"/>
    <cellStyle name="FieldName 6 3 2 3" xfId="9524" xr:uid="{00000000-0005-0000-0000-0000480C0000}"/>
    <cellStyle name="FieldName 6 3 2 4" xfId="9525" xr:uid="{00000000-0005-0000-0000-0000490C0000}"/>
    <cellStyle name="FieldName 6 3 2 5" xfId="9526" xr:uid="{00000000-0005-0000-0000-00004A0C0000}"/>
    <cellStyle name="FieldName 6 3 2 6" xfId="9527" xr:uid="{00000000-0005-0000-0000-00004B0C0000}"/>
    <cellStyle name="FieldName 6 3 3" xfId="9528" xr:uid="{00000000-0005-0000-0000-00004C0C0000}"/>
    <cellStyle name="FieldName 6 3 4" xfId="9529" xr:uid="{00000000-0005-0000-0000-00004D0C0000}"/>
    <cellStyle name="FieldName 6 3 5" xfId="9530" xr:uid="{00000000-0005-0000-0000-00004E0C0000}"/>
    <cellStyle name="FieldName 6 3 6" xfId="9531" xr:uid="{00000000-0005-0000-0000-00004F0C0000}"/>
    <cellStyle name="FieldName 6 3 7" xfId="9532" xr:uid="{00000000-0005-0000-0000-0000500C0000}"/>
    <cellStyle name="FieldName 6 3 8" xfId="9533" xr:uid="{00000000-0005-0000-0000-0000510C0000}"/>
    <cellStyle name="FieldName 6 3 9" xfId="9534" xr:uid="{00000000-0005-0000-0000-0000520C0000}"/>
    <cellStyle name="FieldName 6 4" xfId="9535" xr:uid="{00000000-0005-0000-0000-0000530C0000}"/>
    <cellStyle name="FieldName 6 4 2" xfId="9536" xr:uid="{00000000-0005-0000-0000-0000540C0000}"/>
    <cellStyle name="FieldName 6 4 3" xfId="9537" xr:uid="{00000000-0005-0000-0000-0000550C0000}"/>
    <cellStyle name="FieldName 6 4 4" xfId="9538" xr:uid="{00000000-0005-0000-0000-0000560C0000}"/>
    <cellStyle name="FieldName 6 4 5" xfId="9539" xr:uid="{00000000-0005-0000-0000-0000570C0000}"/>
    <cellStyle name="FieldName 6 4 6" xfId="9540" xr:uid="{00000000-0005-0000-0000-0000580C0000}"/>
    <cellStyle name="FieldName 6 5" xfId="9541" xr:uid="{00000000-0005-0000-0000-0000590C0000}"/>
    <cellStyle name="FieldName 6 6" xfId="9542" xr:uid="{00000000-0005-0000-0000-00005A0C0000}"/>
    <cellStyle name="FieldName 6 7" xfId="9543" xr:uid="{00000000-0005-0000-0000-00005B0C0000}"/>
    <cellStyle name="FieldName 6 8" xfId="9544" xr:uid="{00000000-0005-0000-0000-00005C0C0000}"/>
    <cellStyle name="FieldName 6 9" xfId="9545" xr:uid="{00000000-0005-0000-0000-00005D0C0000}"/>
    <cellStyle name="FieldName 7" xfId="9546" xr:uid="{00000000-0005-0000-0000-00005E0C0000}"/>
    <cellStyle name="FieldName 7 2" xfId="9547" xr:uid="{00000000-0005-0000-0000-00005F0C0000}"/>
    <cellStyle name="FieldName 7 2 2" xfId="9548" xr:uid="{00000000-0005-0000-0000-0000600C0000}"/>
    <cellStyle name="FieldName 7 2 3" xfId="9549" xr:uid="{00000000-0005-0000-0000-0000610C0000}"/>
    <cellStyle name="FieldName 7 2 4" xfId="9550" xr:uid="{00000000-0005-0000-0000-0000620C0000}"/>
    <cellStyle name="FieldName 7 2 5" xfId="9551" xr:uid="{00000000-0005-0000-0000-0000630C0000}"/>
    <cellStyle name="FieldName 7 3" xfId="9552" xr:uid="{00000000-0005-0000-0000-0000640C0000}"/>
    <cellStyle name="FieldName 7 3 2" xfId="9553" xr:uid="{00000000-0005-0000-0000-0000650C0000}"/>
    <cellStyle name="FieldName 7 3 3" xfId="9554" xr:uid="{00000000-0005-0000-0000-0000660C0000}"/>
    <cellStyle name="FieldName 7 3 4" xfId="9555" xr:uid="{00000000-0005-0000-0000-0000670C0000}"/>
    <cellStyle name="FieldName 7 3 5" xfId="9556" xr:uid="{00000000-0005-0000-0000-0000680C0000}"/>
    <cellStyle name="FieldName 7 4" xfId="9557" xr:uid="{00000000-0005-0000-0000-0000690C0000}"/>
    <cellStyle name="FieldName 7 5" xfId="9558" xr:uid="{00000000-0005-0000-0000-00006A0C0000}"/>
    <cellStyle name="FieldName 7 6" xfId="9559" xr:uid="{00000000-0005-0000-0000-00006B0C0000}"/>
    <cellStyle name="FieldName 7 7" xfId="9560" xr:uid="{00000000-0005-0000-0000-00006C0C0000}"/>
    <cellStyle name="FieldName 7 8" xfId="9561" xr:uid="{00000000-0005-0000-0000-00006D0C0000}"/>
    <cellStyle name="FieldName 7 9" xfId="9562" xr:uid="{00000000-0005-0000-0000-00006E0C0000}"/>
    <cellStyle name="FieldName 8" xfId="9563" xr:uid="{00000000-0005-0000-0000-00006F0C0000}"/>
    <cellStyle name="FieldName 8 2" xfId="9564" xr:uid="{00000000-0005-0000-0000-0000700C0000}"/>
    <cellStyle name="FieldName 8 3" xfId="9565" xr:uid="{00000000-0005-0000-0000-0000710C0000}"/>
    <cellStyle name="FieldName 8 4" xfId="9566" xr:uid="{00000000-0005-0000-0000-0000720C0000}"/>
    <cellStyle name="FieldName 8 5" xfId="9567" xr:uid="{00000000-0005-0000-0000-0000730C0000}"/>
    <cellStyle name="FieldName 9" xfId="9568" xr:uid="{00000000-0005-0000-0000-0000740C0000}"/>
    <cellStyle name="Fijo" xfId="9569" xr:uid="{00000000-0005-0000-0000-0000750C0000}"/>
    <cellStyle name="Fixed" xfId="9570" xr:uid="{00000000-0005-0000-0000-0000760C0000}"/>
    <cellStyle name="Fixed [0]" xfId="9571" xr:uid="{00000000-0005-0000-0000-0000770C0000}"/>
    <cellStyle name="Footnotes" xfId="9572" xr:uid="{00000000-0005-0000-0000-0000780C0000}"/>
    <cellStyle name="formato" xfId="9573" xr:uid="{00000000-0005-0000-0000-0000790C0000}"/>
    <cellStyle name="Forms" xfId="9574" xr:uid="{00000000-0005-0000-0000-00007A0C0000}"/>
    <cellStyle name="Formula" xfId="9575" xr:uid="{00000000-0005-0000-0000-00007B0C0000}"/>
    <cellStyle name="free" xfId="9576" xr:uid="{00000000-0005-0000-0000-00007C0C0000}"/>
    <cellStyle name="FRxAmtStyle" xfId="534" xr:uid="{00000000-0005-0000-0000-00007D0C0000}"/>
    <cellStyle name="FRxAmtStyle 2" xfId="535" xr:uid="{00000000-0005-0000-0000-00007E0C0000}"/>
    <cellStyle name="FRxAmtStyle 3" xfId="536" xr:uid="{00000000-0005-0000-0000-00007F0C0000}"/>
    <cellStyle name="FRxAmtStyle 4" xfId="537" xr:uid="{00000000-0005-0000-0000-0000800C0000}"/>
    <cellStyle name="FRxAmtStyle 5" xfId="538" xr:uid="{00000000-0005-0000-0000-0000810C0000}"/>
    <cellStyle name="FRxAmtStyle 6" xfId="539" xr:uid="{00000000-0005-0000-0000-0000820C0000}"/>
    <cellStyle name="FRxCurrStyle" xfId="540" xr:uid="{00000000-0005-0000-0000-0000830C0000}"/>
    <cellStyle name="FRxPcntStyle" xfId="541" xr:uid="{00000000-0005-0000-0000-0000840C0000}"/>
    <cellStyle name="General" xfId="9577" xr:uid="{00000000-0005-0000-0000-0000850C0000}"/>
    <cellStyle name="Good 2" xfId="542" xr:uid="{00000000-0005-0000-0000-0000860C0000}"/>
    <cellStyle name="Good 2 2" xfId="543" xr:uid="{00000000-0005-0000-0000-0000870C0000}"/>
    <cellStyle name="Good 3" xfId="544" xr:uid="{00000000-0005-0000-0000-0000880C0000}"/>
    <cellStyle name="Good 3 2" xfId="545" xr:uid="{00000000-0005-0000-0000-0000890C0000}"/>
    <cellStyle name="Grey" xfId="9578" xr:uid="{00000000-0005-0000-0000-00008A0C0000}"/>
    <cellStyle name="Grey 2" xfId="9579" xr:uid="{00000000-0005-0000-0000-00008B0C0000}"/>
    <cellStyle name="GS Style" xfId="9580" xr:uid="{00000000-0005-0000-0000-00008C0C0000}"/>
    <cellStyle name="H_Section" xfId="9581" xr:uid="{00000000-0005-0000-0000-00008D0C0000}"/>
    <cellStyle name="H_Section 2" xfId="9582" xr:uid="{00000000-0005-0000-0000-00008E0C0000}"/>
    <cellStyle name="hard no" xfId="9583" xr:uid="{00000000-0005-0000-0000-00008F0C0000}"/>
    <cellStyle name="hard no 2" xfId="9584" xr:uid="{00000000-0005-0000-0000-0000900C0000}"/>
    <cellStyle name="hardno" xfId="9585" xr:uid="{00000000-0005-0000-0000-0000910C0000}"/>
    <cellStyle name="Header_1" xfId="9586" xr:uid="{00000000-0005-0000-0000-0000920C0000}"/>
    <cellStyle name="Header1" xfId="9587" xr:uid="{00000000-0005-0000-0000-0000930C0000}"/>
    <cellStyle name="Header1 2" xfId="9588" xr:uid="{00000000-0005-0000-0000-0000940C0000}"/>
    <cellStyle name="Header1 3" xfId="9589" xr:uid="{00000000-0005-0000-0000-0000950C0000}"/>
    <cellStyle name="Header1 4" xfId="9590" xr:uid="{00000000-0005-0000-0000-0000960C0000}"/>
    <cellStyle name="Header2" xfId="9591" xr:uid="{00000000-0005-0000-0000-0000970C0000}"/>
    <cellStyle name="Header2 2" xfId="9592" xr:uid="{00000000-0005-0000-0000-0000980C0000}"/>
    <cellStyle name="Header2 2 2" xfId="9593" xr:uid="{00000000-0005-0000-0000-0000990C0000}"/>
    <cellStyle name="Header2 2 2 2" xfId="9594" xr:uid="{00000000-0005-0000-0000-00009A0C0000}"/>
    <cellStyle name="Header2 2 2 2 2" xfId="9595" xr:uid="{00000000-0005-0000-0000-00009B0C0000}"/>
    <cellStyle name="Header2 2 2 2 3" xfId="9596" xr:uid="{00000000-0005-0000-0000-00009C0C0000}"/>
    <cellStyle name="Header2 2 2 2 4" xfId="9597" xr:uid="{00000000-0005-0000-0000-00009D0C0000}"/>
    <cellStyle name="Header2 2 2 2 5" xfId="9598" xr:uid="{00000000-0005-0000-0000-00009E0C0000}"/>
    <cellStyle name="Header2 2 2 2 6" xfId="9599" xr:uid="{00000000-0005-0000-0000-00009F0C0000}"/>
    <cellStyle name="Header2 2 2 2 7" xfId="9600" xr:uid="{00000000-0005-0000-0000-0000A00C0000}"/>
    <cellStyle name="Header2 2 2 3" xfId="9601" xr:uid="{00000000-0005-0000-0000-0000A10C0000}"/>
    <cellStyle name="Header2 2 2 4" xfId="9602" xr:uid="{00000000-0005-0000-0000-0000A20C0000}"/>
    <cellStyle name="Header2 2 2 5" xfId="9603" xr:uid="{00000000-0005-0000-0000-0000A30C0000}"/>
    <cellStyle name="Header2 2 2 6" xfId="9604" xr:uid="{00000000-0005-0000-0000-0000A40C0000}"/>
    <cellStyle name="Header2 2 2 7" xfId="9605" xr:uid="{00000000-0005-0000-0000-0000A50C0000}"/>
    <cellStyle name="Header2 2 2 8" xfId="9606" xr:uid="{00000000-0005-0000-0000-0000A60C0000}"/>
    <cellStyle name="Header2 2 3" xfId="9607" xr:uid="{00000000-0005-0000-0000-0000A70C0000}"/>
    <cellStyle name="Header2 2 3 2" xfId="9608" xr:uid="{00000000-0005-0000-0000-0000A80C0000}"/>
    <cellStyle name="Header2 2 3 3" xfId="9609" xr:uid="{00000000-0005-0000-0000-0000A90C0000}"/>
    <cellStyle name="Header2 2 3 4" xfId="9610" xr:uid="{00000000-0005-0000-0000-0000AA0C0000}"/>
    <cellStyle name="Header2 2 3 5" xfId="9611" xr:uid="{00000000-0005-0000-0000-0000AB0C0000}"/>
    <cellStyle name="Header2 2 3 6" xfId="9612" xr:uid="{00000000-0005-0000-0000-0000AC0C0000}"/>
    <cellStyle name="Header2 2 3 7" xfId="9613" xr:uid="{00000000-0005-0000-0000-0000AD0C0000}"/>
    <cellStyle name="Header2 2 4" xfId="9614" xr:uid="{00000000-0005-0000-0000-0000AE0C0000}"/>
    <cellStyle name="Header2 2 5" xfId="9615" xr:uid="{00000000-0005-0000-0000-0000AF0C0000}"/>
    <cellStyle name="Header2 2 6" xfId="9616" xr:uid="{00000000-0005-0000-0000-0000B00C0000}"/>
    <cellStyle name="Header2 2 7" xfId="9617" xr:uid="{00000000-0005-0000-0000-0000B10C0000}"/>
    <cellStyle name="Header2 2 8" xfId="9618" xr:uid="{00000000-0005-0000-0000-0000B20C0000}"/>
    <cellStyle name="Header2 2 9" xfId="9619" xr:uid="{00000000-0005-0000-0000-0000B30C0000}"/>
    <cellStyle name="Header2 3" xfId="9620" xr:uid="{00000000-0005-0000-0000-0000B40C0000}"/>
    <cellStyle name="Header2 3 2" xfId="9621" xr:uid="{00000000-0005-0000-0000-0000B50C0000}"/>
    <cellStyle name="Header2 3 2 2" xfId="9622" xr:uid="{00000000-0005-0000-0000-0000B60C0000}"/>
    <cellStyle name="Header2 3 2 2 2" xfId="9623" xr:uid="{00000000-0005-0000-0000-0000B70C0000}"/>
    <cellStyle name="Header2 3 2 2 3" xfId="9624" xr:uid="{00000000-0005-0000-0000-0000B80C0000}"/>
    <cellStyle name="Header2 3 2 2 4" xfId="9625" xr:uid="{00000000-0005-0000-0000-0000B90C0000}"/>
    <cellStyle name="Header2 3 2 2 5" xfId="9626" xr:uid="{00000000-0005-0000-0000-0000BA0C0000}"/>
    <cellStyle name="Header2 3 2 3" xfId="9627" xr:uid="{00000000-0005-0000-0000-0000BB0C0000}"/>
    <cellStyle name="Header2 3 2 4" xfId="9628" xr:uid="{00000000-0005-0000-0000-0000BC0C0000}"/>
    <cellStyle name="Header2 3 2 5" xfId="9629" xr:uid="{00000000-0005-0000-0000-0000BD0C0000}"/>
    <cellStyle name="Header2 3 2 6" xfId="9630" xr:uid="{00000000-0005-0000-0000-0000BE0C0000}"/>
    <cellStyle name="Header2 3 2 7" xfId="9631" xr:uid="{00000000-0005-0000-0000-0000BF0C0000}"/>
    <cellStyle name="Header2 3 2 8" xfId="9632" xr:uid="{00000000-0005-0000-0000-0000C00C0000}"/>
    <cellStyle name="Header2 3 3" xfId="9633" xr:uid="{00000000-0005-0000-0000-0000C10C0000}"/>
    <cellStyle name="Header2 3 3 2" xfId="9634" xr:uid="{00000000-0005-0000-0000-0000C20C0000}"/>
    <cellStyle name="Header2 3 3 3" xfId="9635" xr:uid="{00000000-0005-0000-0000-0000C30C0000}"/>
    <cellStyle name="Header2 3 3 4" xfId="9636" xr:uid="{00000000-0005-0000-0000-0000C40C0000}"/>
    <cellStyle name="Header2 3 3 5" xfId="9637" xr:uid="{00000000-0005-0000-0000-0000C50C0000}"/>
    <cellStyle name="Header2 3 3 6" xfId="9638" xr:uid="{00000000-0005-0000-0000-0000C60C0000}"/>
    <cellStyle name="Header2 3 3 7" xfId="9639" xr:uid="{00000000-0005-0000-0000-0000C70C0000}"/>
    <cellStyle name="Header2 3 4" xfId="9640" xr:uid="{00000000-0005-0000-0000-0000C80C0000}"/>
    <cellStyle name="Header2 3 5" xfId="9641" xr:uid="{00000000-0005-0000-0000-0000C90C0000}"/>
    <cellStyle name="Header2 3 6" xfId="9642" xr:uid="{00000000-0005-0000-0000-0000CA0C0000}"/>
    <cellStyle name="Header2 3 7" xfId="9643" xr:uid="{00000000-0005-0000-0000-0000CB0C0000}"/>
    <cellStyle name="Header2 3 8" xfId="9644" xr:uid="{00000000-0005-0000-0000-0000CC0C0000}"/>
    <cellStyle name="Header2 3 9" xfId="9645" xr:uid="{00000000-0005-0000-0000-0000CD0C0000}"/>
    <cellStyle name="Header2 4" xfId="9646" xr:uid="{00000000-0005-0000-0000-0000CE0C0000}"/>
    <cellStyle name="Header2 4 2" xfId="9647" xr:uid="{00000000-0005-0000-0000-0000CF0C0000}"/>
    <cellStyle name="Header2 4 3" xfId="9648" xr:uid="{00000000-0005-0000-0000-0000D00C0000}"/>
    <cellStyle name="Header2 4 4" xfId="9649" xr:uid="{00000000-0005-0000-0000-0000D10C0000}"/>
    <cellStyle name="Header2 4 5" xfId="9650" xr:uid="{00000000-0005-0000-0000-0000D20C0000}"/>
    <cellStyle name="header3" xfId="9651" xr:uid="{00000000-0005-0000-0000-0000D30C0000}"/>
    <cellStyle name="header3 2" xfId="9652" xr:uid="{00000000-0005-0000-0000-0000D40C0000}"/>
    <cellStyle name="header3 3" xfId="9653" xr:uid="{00000000-0005-0000-0000-0000D50C0000}"/>
    <cellStyle name="header3 4" xfId="9654" xr:uid="{00000000-0005-0000-0000-0000D60C0000}"/>
    <cellStyle name="Heading" xfId="9655" xr:uid="{00000000-0005-0000-0000-0000D70C0000}"/>
    <cellStyle name="Heading 1 2" xfId="546" xr:uid="{00000000-0005-0000-0000-0000D80C0000}"/>
    <cellStyle name="Heading 1 2 2" xfId="547" xr:uid="{00000000-0005-0000-0000-0000D90C0000}"/>
    <cellStyle name="Heading 1 3" xfId="548" xr:uid="{00000000-0005-0000-0000-0000DA0C0000}"/>
    <cellStyle name="Heading 1 3 2" xfId="549" xr:uid="{00000000-0005-0000-0000-0000DB0C0000}"/>
    <cellStyle name="Heading 10" xfId="9656" xr:uid="{00000000-0005-0000-0000-0000DC0C0000}"/>
    <cellStyle name="Heading 11" xfId="9657" xr:uid="{00000000-0005-0000-0000-0000DD0C0000}"/>
    <cellStyle name="Heading 2 2" xfId="550" xr:uid="{00000000-0005-0000-0000-0000DE0C0000}"/>
    <cellStyle name="Heading 2 2 2" xfId="551" xr:uid="{00000000-0005-0000-0000-0000DF0C0000}"/>
    <cellStyle name="Heading 2 3" xfId="552" xr:uid="{00000000-0005-0000-0000-0000E00C0000}"/>
    <cellStyle name="Heading 2 3 2" xfId="553" xr:uid="{00000000-0005-0000-0000-0000E10C0000}"/>
    <cellStyle name="Heading 3 2" xfId="554" xr:uid="{00000000-0005-0000-0000-0000E20C0000}"/>
    <cellStyle name="Heading 3 2 2" xfId="555" xr:uid="{00000000-0005-0000-0000-0000E30C0000}"/>
    <cellStyle name="Heading 3 2 2 2" xfId="556" xr:uid="{00000000-0005-0000-0000-0000E40C0000}"/>
    <cellStyle name="Heading 3 2 2 3" xfId="557" xr:uid="{00000000-0005-0000-0000-0000E50C0000}"/>
    <cellStyle name="Heading 3 2 2 4" xfId="558" xr:uid="{00000000-0005-0000-0000-0000E60C0000}"/>
    <cellStyle name="Heading 3 2 3" xfId="559" xr:uid="{00000000-0005-0000-0000-0000E70C0000}"/>
    <cellStyle name="Heading 3 2 3 2" xfId="560" xr:uid="{00000000-0005-0000-0000-0000E80C0000}"/>
    <cellStyle name="Heading 3 2 3 3" xfId="561" xr:uid="{00000000-0005-0000-0000-0000E90C0000}"/>
    <cellStyle name="Heading 3 2 4" xfId="562" xr:uid="{00000000-0005-0000-0000-0000EA0C0000}"/>
    <cellStyle name="Heading 3 2 5" xfId="563" xr:uid="{00000000-0005-0000-0000-0000EB0C0000}"/>
    <cellStyle name="Heading 3 2 6" xfId="564" xr:uid="{00000000-0005-0000-0000-0000EC0C0000}"/>
    <cellStyle name="Heading 3 3" xfId="565" xr:uid="{00000000-0005-0000-0000-0000ED0C0000}"/>
    <cellStyle name="Heading 3 3 2" xfId="566" xr:uid="{00000000-0005-0000-0000-0000EE0C0000}"/>
    <cellStyle name="Heading 4 2" xfId="567" xr:uid="{00000000-0005-0000-0000-0000EF0C0000}"/>
    <cellStyle name="Heading 4 2 2" xfId="568" xr:uid="{00000000-0005-0000-0000-0000F00C0000}"/>
    <cellStyle name="Heading 4 3" xfId="569" xr:uid="{00000000-0005-0000-0000-0000F10C0000}"/>
    <cellStyle name="Heading 4 3 2" xfId="570" xr:uid="{00000000-0005-0000-0000-0000F20C0000}"/>
    <cellStyle name="Heading 5" xfId="9658" xr:uid="{00000000-0005-0000-0000-0000F30C0000}"/>
    <cellStyle name="Heading 5 2" xfId="9659" xr:uid="{00000000-0005-0000-0000-0000F40C0000}"/>
    <cellStyle name="Heading 5 2 2" xfId="9660" xr:uid="{00000000-0005-0000-0000-0000F50C0000}"/>
    <cellStyle name="Heading 5 2 2 2" xfId="9661" xr:uid="{00000000-0005-0000-0000-0000F60C0000}"/>
    <cellStyle name="Heading 5 2 2 2 2" xfId="9662" xr:uid="{00000000-0005-0000-0000-0000F70C0000}"/>
    <cellStyle name="Heading 5 2 2 2 3" xfId="9663" xr:uid="{00000000-0005-0000-0000-0000F80C0000}"/>
    <cellStyle name="Heading 5 2 2 2 4" xfId="9664" xr:uid="{00000000-0005-0000-0000-0000F90C0000}"/>
    <cellStyle name="Heading 5 2 2 2 5" xfId="9665" xr:uid="{00000000-0005-0000-0000-0000FA0C0000}"/>
    <cellStyle name="Heading 5 2 2 2 6" xfId="9666" xr:uid="{00000000-0005-0000-0000-0000FB0C0000}"/>
    <cellStyle name="Heading 5 2 2 2 7" xfId="9667" xr:uid="{00000000-0005-0000-0000-0000FC0C0000}"/>
    <cellStyle name="Heading 5 2 2 3" xfId="9668" xr:uid="{00000000-0005-0000-0000-0000FD0C0000}"/>
    <cellStyle name="Heading 5 2 2 4" xfId="9669" xr:uid="{00000000-0005-0000-0000-0000FE0C0000}"/>
    <cellStyle name="Heading 5 2 2 5" xfId="9670" xr:uid="{00000000-0005-0000-0000-0000FF0C0000}"/>
    <cellStyle name="Heading 5 2 2 6" xfId="9671" xr:uid="{00000000-0005-0000-0000-0000000D0000}"/>
    <cellStyle name="Heading 5 2 2 7" xfId="9672" xr:uid="{00000000-0005-0000-0000-0000010D0000}"/>
    <cellStyle name="Heading 5 2 2 8" xfId="9673" xr:uid="{00000000-0005-0000-0000-0000020D0000}"/>
    <cellStyle name="Heading 5 2 3" xfId="9674" xr:uid="{00000000-0005-0000-0000-0000030D0000}"/>
    <cellStyle name="Heading 5 2 3 2" xfId="9675" xr:uid="{00000000-0005-0000-0000-0000040D0000}"/>
    <cellStyle name="Heading 5 2 3 3" xfId="9676" xr:uid="{00000000-0005-0000-0000-0000050D0000}"/>
    <cellStyle name="Heading 5 2 3 4" xfId="9677" xr:uid="{00000000-0005-0000-0000-0000060D0000}"/>
    <cellStyle name="Heading 5 2 3 5" xfId="9678" xr:uid="{00000000-0005-0000-0000-0000070D0000}"/>
    <cellStyle name="Heading 5 2 3 6" xfId="9679" xr:uid="{00000000-0005-0000-0000-0000080D0000}"/>
    <cellStyle name="Heading 5 2 3 7" xfId="9680" xr:uid="{00000000-0005-0000-0000-0000090D0000}"/>
    <cellStyle name="Heading 5 2 4" xfId="9681" xr:uid="{00000000-0005-0000-0000-00000A0D0000}"/>
    <cellStyle name="Heading 5 2 5" xfId="9682" xr:uid="{00000000-0005-0000-0000-00000B0D0000}"/>
    <cellStyle name="Heading 5 2 6" xfId="9683" xr:uid="{00000000-0005-0000-0000-00000C0D0000}"/>
    <cellStyle name="Heading 5 2 7" xfId="9684" xr:uid="{00000000-0005-0000-0000-00000D0D0000}"/>
    <cellStyle name="Heading 5 2 8" xfId="9685" xr:uid="{00000000-0005-0000-0000-00000E0D0000}"/>
    <cellStyle name="Heading 5 2 9" xfId="9686" xr:uid="{00000000-0005-0000-0000-00000F0D0000}"/>
    <cellStyle name="Heading 5 3" xfId="9687" xr:uid="{00000000-0005-0000-0000-0000100D0000}"/>
    <cellStyle name="Heading 5 3 2" xfId="9688" xr:uid="{00000000-0005-0000-0000-0000110D0000}"/>
    <cellStyle name="Heading 5 3 2 2" xfId="9689" xr:uid="{00000000-0005-0000-0000-0000120D0000}"/>
    <cellStyle name="Heading 5 3 2 2 2" xfId="9690" xr:uid="{00000000-0005-0000-0000-0000130D0000}"/>
    <cellStyle name="Heading 5 3 2 2 3" xfId="9691" xr:uid="{00000000-0005-0000-0000-0000140D0000}"/>
    <cellStyle name="Heading 5 3 2 2 4" xfId="9692" xr:uid="{00000000-0005-0000-0000-0000150D0000}"/>
    <cellStyle name="Heading 5 3 2 2 5" xfId="9693" xr:uid="{00000000-0005-0000-0000-0000160D0000}"/>
    <cellStyle name="Heading 5 3 2 3" xfId="9694" xr:uid="{00000000-0005-0000-0000-0000170D0000}"/>
    <cellStyle name="Heading 5 3 2 4" xfId="9695" xr:uid="{00000000-0005-0000-0000-0000180D0000}"/>
    <cellStyle name="Heading 5 3 2 5" xfId="9696" xr:uid="{00000000-0005-0000-0000-0000190D0000}"/>
    <cellStyle name="Heading 5 3 2 6" xfId="9697" xr:uid="{00000000-0005-0000-0000-00001A0D0000}"/>
    <cellStyle name="Heading 5 3 2 7" xfId="9698" xr:uid="{00000000-0005-0000-0000-00001B0D0000}"/>
    <cellStyle name="Heading 5 3 2 8" xfId="9699" xr:uid="{00000000-0005-0000-0000-00001C0D0000}"/>
    <cellStyle name="Heading 5 3 3" xfId="9700" xr:uid="{00000000-0005-0000-0000-00001D0D0000}"/>
    <cellStyle name="Heading 5 3 3 2" xfId="9701" xr:uid="{00000000-0005-0000-0000-00001E0D0000}"/>
    <cellStyle name="Heading 5 3 3 3" xfId="9702" xr:uid="{00000000-0005-0000-0000-00001F0D0000}"/>
    <cellStyle name="Heading 5 3 3 4" xfId="9703" xr:uid="{00000000-0005-0000-0000-0000200D0000}"/>
    <cellStyle name="Heading 5 3 3 5" xfId="9704" xr:uid="{00000000-0005-0000-0000-0000210D0000}"/>
    <cellStyle name="Heading 5 3 3 6" xfId="9705" xr:uid="{00000000-0005-0000-0000-0000220D0000}"/>
    <cellStyle name="Heading 5 3 3 7" xfId="9706" xr:uid="{00000000-0005-0000-0000-0000230D0000}"/>
    <cellStyle name="Heading 5 3 4" xfId="9707" xr:uid="{00000000-0005-0000-0000-0000240D0000}"/>
    <cellStyle name="Heading 5 3 5" xfId="9708" xr:uid="{00000000-0005-0000-0000-0000250D0000}"/>
    <cellStyle name="Heading 5 3 6" xfId="9709" xr:uid="{00000000-0005-0000-0000-0000260D0000}"/>
    <cellStyle name="Heading 5 3 7" xfId="9710" xr:uid="{00000000-0005-0000-0000-0000270D0000}"/>
    <cellStyle name="Heading 5 3 8" xfId="9711" xr:uid="{00000000-0005-0000-0000-0000280D0000}"/>
    <cellStyle name="Heading 5 3 9" xfId="9712" xr:uid="{00000000-0005-0000-0000-0000290D0000}"/>
    <cellStyle name="Heading 6" xfId="9713" xr:uid="{00000000-0005-0000-0000-00002A0D0000}"/>
    <cellStyle name="Heading 6 2" xfId="9714" xr:uid="{00000000-0005-0000-0000-00002B0D0000}"/>
    <cellStyle name="Heading 6 2 2" xfId="9715" xr:uid="{00000000-0005-0000-0000-00002C0D0000}"/>
    <cellStyle name="Heading 6 2 3" xfId="9716" xr:uid="{00000000-0005-0000-0000-00002D0D0000}"/>
    <cellStyle name="Heading 6 2 4" xfId="9717" xr:uid="{00000000-0005-0000-0000-00002E0D0000}"/>
    <cellStyle name="Heading 6 2 5" xfId="9718" xr:uid="{00000000-0005-0000-0000-00002F0D0000}"/>
    <cellStyle name="Heading 7" xfId="9719" xr:uid="{00000000-0005-0000-0000-0000300D0000}"/>
    <cellStyle name="Heading 7 2" xfId="9720" xr:uid="{00000000-0005-0000-0000-0000310D0000}"/>
    <cellStyle name="Heading 7 3" xfId="9721" xr:uid="{00000000-0005-0000-0000-0000320D0000}"/>
    <cellStyle name="Heading 7 4" xfId="9722" xr:uid="{00000000-0005-0000-0000-0000330D0000}"/>
    <cellStyle name="Heading 7 5" xfId="9723" xr:uid="{00000000-0005-0000-0000-0000340D0000}"/>
    <cellStyle name="Heading 8" xfId="9724" xr:uid="{00000000-0005-0000-0000-0000350D0000}"/>
    <cellStyle name="Heading 8 2" xfId="9725" xr:uid="{00000000-0005-0000-0000-0000360D0000}"/>
    <cellStyle name="Heading 8 3" xfId="9726" xr:uid="{00000000-0005-0000-0000-0000370D0000}"/>
    <cellStyle name="Heading 8 4" xfId="9727" xr:uid="{00000000-0005-0000-0000-0000380D0000}"/>
    <cellStyle name="Heading 8 5" xfId="9728" xr:uid="{00000000-0005-0000-0000-0000390D0000}"/>
    <cellStyle name="Heading 9" xfId="9729" xr:uid="{00000000-0005-0000-0000-00003A0D0000}"/>
    <cellStyle name="Heading1" xfId="9730" xr:uid="{00000000-0005-0000-0000-00003B0D0000}"/>
    <cellStyle name="Heading2" xfId="9731" xr:uid="{00000000-0005-0000-0000-00003C0D0000}"/>
    <cellStyle name="Hi" xfId="9732" xr:uid="{00000000-0005-0000-0000-00003D0D0000}"/>
    <cellStyle name="Hi 10" xfId="9733" xr:uid="{00000000-0005-0000-0000-00003E0D0000}"/>
    <cellStyle name="Hi 11" xfId="9734" xr:uid="{00000000-0005-0000-0000-00003F0D0000}"/>
    <cellStyle name="Hi 12" xfId="9735" xr:uid="{00000000-0005-0000-0000-0000400D0000}"/>
    <cellStyle name="Hi 13" xfId="9736" xr:uid="{00000000-0005-0000-0000-0000410D0000}"/>
    <cellStyle name="Hi 14" xfId="9737" xr:uid="{00000000-0005-0000-0000-0000420D0000}"/>
    <cellStyle name="Hi 2" xfId="9738" xr:uid="{00000000-0005-0000-0000-0000430D0000}"/>
    <cellStyle name="Hi 3" xfId="9739" xr:uid="{00000000-0005-0000-0000-0000440D0000}"/>
    <cellStyle name="Hi 4" xfId="9740" xr:uid="{00000000-0005-0000-0000-0000450D0000}"/>
    <cellStyle name="Hi 5" xfId="9741" xr:uid="{00000000-0005-0000-0000-0000460D0000}"/>
    <cellStyle name="Hi 6" xfId="9742" xr:uid="{00000000-0005-0000-0000-0000470D0000}"/>
    <cellStyle name="Hi 7" xfId="9743" xr:uid="{00000000-0005-0000-0000-0000480D0000}"/>
    <cellStyle name="Hi 8" xfId="9744" xr:uid="{00000000-0005-0000-0000-0000490D0000}"/>
    <cellStyle name="Hi 9" xfId="9745" xr:uid="{00000000-0005-0000-0000-00004A0D0000}"/>
    <cellStyle name="HIDE" xfId="9746" xr:uid="{00000000-0005-0000-0000-00004B0D0000}"/>
    <cellStyle name="Hist inmatning" xfId="9747" xr:uid="{00000000-0005-0000-0000-00004C0D0000}"/>
    <cellStyle name="Hooman" xfId="9748" xr:uid="{00000000-0005-0000-0000-00004D0D0000}"/>
    <cellStyle name="Hyperlink 2" xfId="571" xr:uid="{00000000-0005-0000-0000-00004F0D0000}"/>
    <cellStyle name="Hyperlink 2 2" xfId="9749" xr:uid="{00000000-0005-0000-0000-0000500D0000}"/>
    <cellStyle name="Hyperlink 2 3" xfId="9750" xr:uid="{00000000-0005-0000-0000-0000510D0000}"/>
    <cellStyle name="Hyperlink 2 4" xfId="9751" xr:uid="{00000000-0005-0000-0000-0000520D0000}"/>
    <cellStyle name="Hyperlink 3" xfId="9752" xr:uid="{00000000-0005-0000-0000-0000530D0000}"/>
    <cellStyle name="inmatn_italic" xfId="9753" xr:uid="{00000000-0005-0000-0000-0000540D0000}"/>
    <cellStyle name="inmatning" xfId="9754" xr:uid="{00000000-0005-0000-0000-0000550D0000}"/>
    <cellStyle name="inmatning 2" xfId="9755" xr:uid="{00000000-0005-0000-0000-0000560D0000}"/>
    <cellStyle name="Input - Style1" xfId="9756" xr:uid="{00000000-0005-0000-0000-0000570D0000}"/>
    <cellStyle name="Input %" xfId="9757" xr:uid="{00000000-0005-0000-0000-0000580D0000}"/>
    <cellStyle name="Input (StyleA)" xfId="9758" xr:uid="{00000000-0005-0000-0000-0000590D0000}"/>
    <cellStyle name="Input [yellow]" xfId="9759" xr:uid="{00000000-0005-0000-0000-00005A0D0000}"/>
    <cellStyle name="Input [yellow] 2" xfId="9760" xr:uid="{00000000-0005-0000-0000-00005B0D0000}"/>
    <cellStyle name="Input 1" xfId="9761" xr:uid="{00000000-0005-0000-0000-00005C0D0000}"/>
    <cellStyle name="Input 10" xfId="9762" xr:uid="{00000000-0005-0000-0000-00005D0D0000}"/>
    <cellStyle name="Input 11" xfId="9763" xr:uid="{00000000-0005-0000-0000-00005E0D0000}"/>
    <cellStyle name="Input 12" xfId="9764" xr:uid="{00000000-0005-0000-0000-00005F0D0000}"/>
    <cellStyle name="Input 12 2" xfId="9765" xr:uid="{00000000-0005-0000-0000-0000600D0000}"/>
    <cellStyle name="Input 12 3" xfId="9766" xr:uid="{00000000-0005-0000-0000-0000610D0000}"/>
    <cellStyle name="Input 12 4" xfId="9767" xr:uid="{00000000-0005-0000-0000-0000620D0000}"/>
    <cellStyle name="Input 13" xfId="9768" xr:uid="{00000000-0005-0000-0000-0000630D0000}"/>
    <cellStyle name="Input 13 2" xfId="9769" xr:uid="{00000000-0005-0000-0000-0000640D0000}"/>
    <cellStyle name="Input 13 3" xfId="9770" xr:uid="{00000000-0005-0000-0000-0000650D0000}"/>
    <cellStyle name="Input 13 4" xfId="9771" xr:uid="{00000000-0005-0000-0000-0000660D0000}"/>
    <cellStyle name="Input 14" xfId="9772" xr:uid="{00000000-0005-0000-0000-0000670D0000}"/>
    <cellStyle name="Input 14 2" xfId="9773" xr:uid="{00000000-0005-0000-0000-0000680D0000}"/>
    <cellStyle name="Input 14 3" xfId="9774" xr:uid="{00000000-0005-0000-0000-0000690D0000}"/>
    <cellStyle name="Input 14 4" xfId="9775" xr:uid="{00000000-0005-0000-0000-00006A0D0000}"/>
    <cellStyle name="Input 15" xfId="9776" xr:uid="{00000000-0005-0000-0000-00006B0D0000}"/>
    <cellStyle name="Input 15 2" xfId="9777" xr:uid="{00000000-0005-0000-0000-00006C0D0000}"/>
    <cellStyle name="Input 15 3" xfId="9778" xr:uid="{00000000-0005-0000-0000-00006D0D0000}"/>
    <cellStyle name="Input 15 4" xfId="9779" xr:uid="{00000000-0005-0000-0000-00006E0D0000}"/>
    <cellStyle name="Input 16" xfId="9780" xr:uid="{00000000-0005-0000-0000-00006F0D0000}"/>
    <cellStyle name="Input 16 2" xfId="9781" xr:uid="{00000000-0005-0000-0000-0000700D0000}"/>
    <cellStyle name="Input 16 3" xfId="9782" xr:uid="{00000000-0005-0000-0000-0000710D0000}"/>
    <cellStyle name="Input 16 4" xfId="9783" xr:uid="{00000000-0005-0000-0000-0000720D0000}"/>
    <cellStyle name="Input 17" xfId="9784" xr:uid="{00000000-0005-0000-0000-0000730D0000}"/>
    <cellStyle name="Input 17 2" xfId="9785" xr:uid="{00000000-0005-0000-0000-0000740D0000}"/>
    <cellStyle name="Input 17 3" xfId="9786" xr:uid="{00000000-0005-0000-0000-0000750D0000}"/>
    <cellStyle name="Input 17 4" xfId="9787" xr:uid="{00000000-0005-0000-0000-0000760D0000}"/>
    <cellStyle name="Input 18" xfId="9788" xr:uid="{00000000-0005-0000-0000-0000770D0000}"/>
    <cellStyle name="Input 18 2" xfId="9789" xr:uid="{00000000-0005-0000-0000-0000780D0000}"/>
    <cellStyle name="Input 18 3" xfId="9790" xr:uid="{00000000-0005-0000-0000-0000790D0000}"/>
    <cellStyle name="Input 18 4" xfId="9791" xr:uid="{00000000-0005-0000-0000-00007A0D0000}"/>
    <cellStyle name="Input 19" xfId="9792" xr:uid="{00000000-0005-0000-0000-00007B0D0000}"/>
    <cellStyle name="Input 19 2" xfId="9793" xr:uid="{00000000-0005-0000-0000-00007C0D0000}"/>
    <cellStyle name="Input 19 3" xfId="9794" xr:uid="{00000000-0005-0000-0000-00007D0D0000}"/>
    <cellStyle name="Input 19 4" xfId="9795" xr:uid="{00000000-0005-0000-0000-00007E0D0000}"/>
    <cellStyle name="Input 2" xfId="572" xr:uid="{00000000-0005-0000-0000-00007F0D0000}"/>
    <cellStyle name="Input 2 2" xfId="573" xr:uid="{00000000-0005-0000-0000-0000800D0000}"/>
    <cellStyle name="Input 2 2 2" xfId="9796" xr:uid="{00000000-0005-0000-0000-0000810D0000}"/>
    <cellStyle name="Input 2 2 3" xfId="9797" xr:uid="{00000000-0005-0000-0000-0000820D0000}"/>
    <cellStyle name="Input 2 3" xfId="574" xr:uid="{00000000-0005-0000-0000-0000830D0000}"/>
    <cellStyle name="Input 2 3 2" xfId="9798" xr:uid="{00000000-0005-0000-0000-0000840D0000}"/>
    <cellStyle name="Input 2 3 3" xfId="9799" xr:uid="{00000000-0005-0000-0000-0000850D0000}"/>
    <cellStyle name="Input 2 4" xfId="9800" xr:uid="{00000000-0005-0000-0000-0000860D0000}"/>
    <cellStyle name="Input 2 5" xfId="9801" xr:uid="{00000000-0005-0000-0000-0000870D0000}"/>
    <cellStyle name="Input 20" xfId="9802" xr:uid="{00000000-0005-0000-0000-0000880D0000}"/>
    <cellStyle name="Input 20 2" xfId="9803" xr:uid="{00000000-0005-0000-0000-0000890D0000}"/>
    <cellStyle name="Input 20 3" xfId="9804" xr:uid="{00000000-0005-0000-0000-00008A0D0000}"/>
    <cellStyle name="Input 20 4" xfId="9805" xr:uid="{00000000-0005-0000-0000-00008B0D0000}"/>
    <cellStyle name="Input 21" xfId="9806" xr:uid="{00000000-0005-0000-0000-00008C0D0000}"/>
    <cellStyle name="Input 21 2" xfId="9807" xr:uid="{00000000-0005-0000-0000-00008D0D0000}"/>
    <cellStyle name="Input 21 3" xfId="9808" xr:uid="{00000000-0005-0000-0000-00008E0D0000}"/>
    <cellStyle name="Input 21 4" xfId="9809" xr:uid="{00000000-0005-0000-0000-00008F0D0000}"/>
    <cellStyle name="Input 22" xfId="9810" xr:uid="{00000000-0005-0000-0000-0000900D0000}"/>
    <cellStyle name="Input 22 2" xfId="9811" xr:uid="{00000000-0005-0000-0000-0000910D0000}"/>
    <cellStyle name="Input 22 3" xfId="9812" xr:uid="{00000000-0005-0000-0000-0000920D0000}"/>
    <cellStyle name="Input 22 4" xfId="9813" xr:uid="{00000000-0005-0000-0000-0000930D0000}"/>
    <cellStyle name="Input 23" xfId="9814" xr:uid="{00000000-0005-0000-0000-0000940D0000}"/>
    <cellStyle name="Input 23 2" xfId="9815" xr:uid="{00000000-0005-0000-0000-0000950D0000}"/>
    <cellStyle name="Input 23 3" xfId="9816" xr:uid="{00000000-0005-0000-0000-0000960D0000}"/>
    <cellStyle name="Input 23 4" xfId="9817" xr:uid="{00000000-0005-0000-0000-0000970D0000}"/>
    <cellStyle name="Input 24" xfId="9818" xr:uid="{00000000-0005-0000-0000-0000980D0000}"/>
    <cellStyle name="Input 24 2" xfId="9819" xr:uid="{00000000-0005-0000-0000-0000990D0000}"/>
    <cellStyle name="Input 24 3" xfId="9820" xr:uid="{00000000-0005-0000-0000-00009A0D0000}"/>
    <cellStyle name="Input 24 4" xfId="9821" xr:uid="{00000000-0005-0000-0000-00009B0D0000}"/>
    <cellStyle name="Input 25" xfId="9822" xr:uid="{00000000-0005-0000-0000-00009C0D0000}"/>
    <cellStyle name="Input 26" xfId="9823" xr:uid="{00000000-0005-0000-0000-00009D0D0000}"/>
    <cellStyle name="Input 26 2" xfId="9824" xr:uid="{00000000-0005-0000-0000-00009E0D0000}"/>
    <cellStyle name="Input 26 2 2" xfId="9825" xr:uid="{00000000-0005-0000-0000-00009F0D0000}"/>
    <cellStyle name="Input 26 2 3" xfId="9826" xr:uid="{00000000-0005-0000-0000-0000A00D0000}"/>
    <cellStyle name="Input 26 2 4" xfId="9827" xr:uid="{00000000-0005-0000-0000-0000A10D0000}"/>
    <cellStyle name="Input 26 2 5" xfId="9828" xr:uid="{00000000-0005-0000-0000-0000A20D0000}"/>
    <cellStyle name="Input 26 2 6" xfId="9829" xr:uid="{00000000-0005-0000-0000-0000A30D0000}"/>
    <cellStyle name="Input 26 3" xfId="9830" xr:uid="{00000000-0005-0000-0000-0000A40D0000}"/>
    <cellStyle name="Input 26 4" xfId="9831" xr:uid="{00000000-0005-0000-0000-0000A50D0000}"/>
    <cellStyle name="Input 26 5" xfId="9832" xr:uid="{00000000-0005-0000-0000-0000A60D0000}"/>
    <cellStyle name="Input 26 6" xfId="9833" xr:uid="{00000000-0005-0000-0000-0000A70D0000}"/>
    <cellStyle name="Input 26 7" xfId="9834" xr:uid="{00000000-0005-0000-0000-0000A80D0000}"/>
    <cellStyle name="Input 27" xfId="9835" xr:uid="{00000000-0005-0000-0000-0000A90D0000}"/>
    <cellStyle name="Input 27 2" xfId="9836" xr:uid="{00000000-0005-0000-0000-0000AA0D0000}"/>
    <cellStyle name="Input 27 2 2" xfId="9837" xr:uid="{00000000-0005-0000-0000-0000AB0D0000}"/>
    <cellStyle name="Input 27 2 3" xfId="9838" xr:uid="{00000000-0005-0000-0000-0000AC0D0000}"/>
    <cellStyle name="Input 27 2 4" xfId="9839" xr:uid="{00000000-0005-0000-0000-0000AD0D0000}"/>
    <cellStyle name="Input 27 2 5" xfId="9840" xr:uid="{00000000-0005-0000-0000-0000AE0D0000}"/>
    <cellStyle name="Input 27 2 6" xfId="9841" xr:uid="{00000000-0005-0000-0000-0000AF0D0000}"/>
    <cellStyle name="Input 27 3" xfId="9842" xr:uid="{00000000-0005-0000-0000-0000B00D0000}"/>
    <cellStyle name="Input 27 4" xfId="9843" xr:uid="{00000000-0005-0000-0000-0000B10D0000}"/>
    <cellStyle name="Input 27 5" xfId="9844" xr:uid="{00000000-0005-0000-0000-0000B20D0000}"/>
    <cellStyle name="Input 27 6" xfId="9845" xr:uid="{00000000-0005-0000-0000-0000B30D0000}"/>
    <cellStyle name="Input 27 7" xfId="9846" xr:uid="{00000000-0005-0000-0000-0000B40D0000}"/>
    <cellStyle name="Input 28" xfId="9847" xr:uid="{00000000-0005-0000-0000-0000B50D0000}"/>
    <cellStyle name="Input 28 2" xfId="9848" xr:uid="{00000000-0005-0000-0000-0000B60D0000}"/>
    <cellStyle name="Input 28 2 2" xfId="9849" xr:uid="{00000000-0005-0000-0000-0000B70D0000}"/>
    <cellStyle name="Input 28 2 3" xfId="9850" xr:uid="{00000000-0005-0000-0000-0000B80D0000}"/>
    <cellStyle name="Input 28 2 4" xfId="9851" xr:uid="{00000000-0005-0000-0000-0000B90D0000}"/>
    <cellStyle name="Input 28 2 5" xfId="9852" xr:uid="{00000000-0005-0000-0000-0000BA0D0000}"/>
    <cellStyle name="Input 28 2 6" xfId="9853" xr:uid="{00000000-0005-0000-0000-0000BB0D0000}"/>
    <cellStyle name="Input 28 3" xfId="9854" xr:uid="{00000000-0005-0000-0000-0000BC0D0000}"/>
    <cellStyle name="Input 28 4" xfId="9855" xr:uid="{00000000-0005-0000-0000-0000BD0D0000}"/>
    <cellStyle name="Input 28 5" xfId="9856" xr:uid="{00000000-0005-0000-0000-0000BE0D0000}"/>
    <cellStyle name="Input 28 6" xfId="9857" xr:uid="{00000000-0005-0000-0000-0000BF0D0000}"/>
    <cellStyle name="Input 28 7" xfId="9858" xr:uid="{00000000-0005-0000-0000-0000C00D0000}"/>
    <cellStyle name="Input 29" xfId="9859" xr:uid="{00000000-0005-0000-0000-0000C10D0000}"/>
    <cellStyle name="Input 29 2" xfId="9860" xr:uid="{00000000-0005-0000-0000-0000C20D0000}"/>
    <cellStyle name="Input 29 2 2" xfId="9861" xr:uid="{00000000-0005-0000-0000-0000C30D0000}"/>
    <cellStyle name="Input 29 2 3" xfId="9862" xr:uid="{00000000-0005-0000-0000-0000C40D0000}"/>
    <cellStyle name="Input 29 2 4" xfId="9863" xr:uid="{00000000-0005-0000-0000-0000C50D0000}"/>
    <cellStyle name="Input 29 2 5" xfId="9864" xr:uid="{00000000-0005-0000-0000-0000C60D0000}"/>
    <cellStyle name="Input 29 2 6" xfId="9865" xr:uid="{00000000-0005-0000-0000-0000C70D0000}"/>
    <cellStyle name="Input 29 3" xfId="9866" xr:uid="{00000000-0005-0000-0000-0000C80D0000}"/>
    <cellStyle name="Input 29 4" xfId="9867" xr:uid="{00000000-0005-0000-0000-0000C90D0000}"/>
    <cellStyle name="Input 29 5" xfId="9868" xr:uid="{00000000-0005-0000-0000-0000CA0D0000}"/>
    <cellStyle name="Input 29 6" xfId="9869" xr:uid="{00000000-0005-0000-0000-0000CB0D0000}"/>
    <cellStyle name="Input 29 7" xfId="9870" xr:uid="{00000000-0005-0000-0000-0000CC0D0000}"/>
    <cellStyle name="Input 3" xfId="575" xr:uid="{00000000-0005-0000-0000-0000CD0D0000}"/>
    <cellStyle name="Input 3 2" xfId="576" xr:uid="{00000000-0005-0000-0000-0000CE0D0000}"/>
    <cellStyle name="Input 30" xfId="9871" xr:uid="{00000000-0005-0000-0000-0000CF0D0000}"/>
    <cellStyle name="Input 30 2" xfId="9872" xr:uid="{00000000-0005-0000-0000-0000D00D0000}"/>
    <cellStyle name="Input 30 2 2" xfId="9873" xr:uid="{00000000-0005-0000-0000-0000D10D0000}"/>
    <cellStyle name="Input 30 2 3" xfId="9874" xr:uid="{00000000-0005-0000-0000-0000D20D0000}"/>
    <cellStyle name="Input 30 2 4" xfId="9875" xr:uid="{00000000-0005-0000-0000-0000D30D0000}"/>
    <cellStyle name="Input 30 2 5" xfId="9876" xr:uid="{00000000-0005-0000-0000-0000D40D0000}"/>
    <cellStyle name="Input 30 2 6" xfId="9877" xr:uid="{00000000-0005-0000-0000-0000D50D0000}"/>
    <cellStyle name="Input 30 3" xfId="9878" xr:uid="{00000000-0005-0000-0000-0000D60D0000}"/>
    <cellStyle name="Input 30 4" xfId="9879" xr:uid="{00000000-0005-0000-0000-0000D70D0000}"/>
    <cellStyle name="Input 30 5" xfId="9880" xr:uid="{00000000-0005-0000-0000-0000D80D0000}"/>
    <cellStyle name="Input 30 6" xfId="9881" xr:uid="{00000000-0005-0000-0000-0000D90D0000}"/>
    <cellStyle name="Input 30 7" xfId="9882" xr:uid="{00000000-0005-0000-0000-0000DA0D0000}"/>
    <cellStyle name="Input 31" xfId="9883" xr:uid="{00000000-0005-0000-0000-0000DB0D0000}"/>
    <cellStyle name="Input 31 2" xfId="9884" xr:uid="{00000000-0005-0000-0000-0000DC0D0000}"/>
    <cellStyle name="Input 31 2 2" xfId="9885" xr:uid="{00000000-0005-0000-0000-0000DD0D0000}"/>
    <cellStyle name="Input 31 2 3" xfId="9886" xr:uid="{00000000-0005-0000-0000-0000DE0D0000}"/>
    <cellStyle name="Input 31 2 4" xfId="9887" xr:uid="{00000000-0005-0000-0000-0000DF0D0000}"/>
    <cellStyle name="Input 31 2 5" xfId="9888" xr:uid="{00000000-0005-0000-0000-0000E00D0000}"/>
    <cellStyle name="Input 31 2 6" xfId="9889" xr:uid="{00000000-0005-0000-0000-0000E10D0000}"/>
    <cellStyle name="Input 31 3" xfId="9890" xr:uid="{00000000-0005-0000-0000-0000E20D0000}"/>
    <cellStyle name="Input 31 4" xfId="9891" xr:uid="{00000000-0005-0000-0000-0000E30D0000}"/>
    <cellStyle name="Input 31 5" xfId="9892" xr:uid="{00000000-0005-0000-0000-0000E40D0000}"/>
    <cellStyle name="Input 31 6" xfId="9893" xr:uid="{00000000-0005-0000-0000-0000E50D0000}"/>
    <cellStyle name="Input 31 7" xfId="9894" xr:uid="{00000000-0005-0000-0000-0000E60D0000}"/>
    <cellStyle name="Input 32" xfId="9895" xr:uid="{00000000-0005-0000-0000-0000E70D0000}"/>
    <cellStyle name="Input 33" xfId="9896" xr:uid="{00000000-0005-0000-0000-0000E80D0000}"/>
    <cellStyle name="Input 34" xfId="9897" xr:uid="{00000000-0005-0000-0000-0000E90D0000}"/>
    <cellStyle name="Input 35" xfId="9898" xr:uid="{00000000-0005-0000-0000-0000EA0D0000}"/>
    <cellStyle name="Input 36" xfId="9899" xr:uid="{00000000-0005-0000-0000-0000EB0D0000}"/>
    <cellStyle name="Input 37" xfId="9900" xr:uid="{00000000-0005-0000-0000-0000EC0D0000}"/>
    <cellStyle name="Input 4" xfId="9901" xr:uid="{00000000-0005-0000-0000-0000ED0D0000}"/>
    <cellStyle name="Input 5" xfId="9902" xr:uid="{00000000-0005-0000-0000-0000EE0D0000}"/>
    <cellStyle name="Input 6" xfId="9903" xr:uid="{00000000-0005-0000-0000-0000EF0D0000}"/>
    <cellStyle name="Input 7" xfId="9904" xr:uid="{00000000-0005-0000-0000-0000F00D0000}"/>
    <cellStyle name="Input 8" xfId="9905" xr:uid="{00000000-0005-0000-0000-0000F10D0000}"/>
    <cellStyle name="Input 9" xfId="9906" xr:uid="{00000000-0005-0000-0000-0000F20D0000}"/>
    <cellStyle name="Input Cells" xfId="9907" xr:uid="{00000000-0005-0000-0000-0000F30D0000}"/>
    <cellStyle name="Input Cells 2" xfId="9908" xr:uid="{00000000-0005-0000-0000-0000F40D0000}"/>
    <cellStyle name="Input Cells 3" xfId="9909" xr:uid="{00000000-0005-0000-0000-0000F50D0000}"/>
    <cellStyle name="Input Currency" xfId="9910" xr:uid="{00000000-0005-0000-0000-0000F60D0000}"/>
    <cellStyle name="Input Currency 2" xfId="9911" xr:uid="{00000000-0005-0000-0000-0000F70D0000}"/>
    <cellStyle name="Input Date" xfId="9912" xr:uid="{00000000-0005-0000-0000-0000F80D0000}"/>
    <cellStyle name="Input Date 2" xfId="9913" xr:uid="{00000000-0005-0000-0000-0000F90D0000}"/>
    <cellStyle name="Input Fixed [0]" xfId="9914" xr:uid="{00000000-0005-0000-0000-0000FA0D0000}"/>
    <cellStyle name="Input Fixed [0] 2" xfId="9915" xr:uid="{00000000-0005-0000-0000-0000FB0D0000}"/>
    <cellStyle name="Input II" xfId="9916" xr:uid="{00000000-0005-0000-0000-0000FC0D0000}"/>
    <cellStyle name="Input Normal" xfId="9917" xr:uid="{00000000-0005-0000-0000-0000FD0D0000}"/>
    <cellStyle name="Input Normal 2" xfId="9918" xr:uid="{00000000-0005-0000-0000-0000FE0D0000}"/>
    <cellStyle name="Input Percent" xfId="9919" xr:uid="{00000000-0005-0000-0000-0000FF0D0000}"/>
    <cellStyle name="Input Percent [2]" xfId="9920" xr:uid="{00000000-0005-0000-0000-0000000E0000}"/>
    <cellStyle name="Input Percent [2] 2" xfId="9921" xr:uid="{00000000-0005-0000-0000-0000010E0000}"/>
    <cellStyle name="Input Percent 2" xfId="9922" xr:uid="{00000000-0005-0000-0000-0000020E0000}"/>
    <cellStyle name="Input Percent 3" xfId="9923" xr:uid="{00000000-0005-0000-0000-0000030E0000}"/>
    <cellStyle name="Input Percent 4" xfId="9924" xr:uid="{00000000-0005-0000-0000-0000040E0000}"/>
    <cellStyle name="Input Titles" xfId="9925" xr:uid="{00000000-0005-0000-0000-0000050E0000}"/>
    <cellStyle name="Input%" xfId="9926" xr:uid="{00000000-0005-0000-0000-0000060E0000}"/>
    <cellStyle name="InputBlueFont" xfId="9927" xr:uid="{00000000-0005-0000-0000-0000070E0000}"/>
    <cellStyle name="InputCell" xfId="9928" xr:uid="{00000000-0005-0000-0000-0000080E0000}"/>
    <cellStyle name="InputDate" xfId="9929" xr:uid="{00000000-0005-0000-0000-0000090E0000}"/>
    <cellStyle name="InputDecimal" xfId="9930" xr:uid="{00000000-0005-0000-0000-00000A0E0000}"/>
    <cellStyle name="InputFRate_%" xfId="9931" xr:uid="{00000000-0005-0000-0000-00000B0E0000}"/>
    <cellStyle name="InputValue" xfId="9932" xr:uid="{00000000-0005-0000-0000-00000C0E0000}"/>
    <cellStyle name="Integer" xfId="9933" xr:uid="{00000000-0005-0000-0000-00000D0E0000}"/>
    <cellStyle name="IntegerWithComma" xfId="9934" xr:uid="{00000000-0005-0000-0000-00000E0E0000}"/>
    <cellStyle name="IntegerWithComma 2" xfId="9935" xr:uid="{00000000-0005-0000-0000-00000F0E0000}"/>
    <cellStyle name="IntegerWithoutComma" xfId="9936" xr:uid="{00000000-0005-0000-0000-0000100E0000}"/>
    <cellStyle name="IntegerWithoutComma 2" xfId="9937" xr:uid="{00000000-0005-0000-0000-0000110E0000}"/>
    <cellStyle name="Item" xfId="9938" xr:uid="{00000000-0005-0000-0000-0000120E0000}"/>
    <cellStyle name="Item 2" xfId="9939" xr:uid="{00000000-0005-0000-0000-0000130E0000}"/>
    <cellStyle name="Items_Optional" xfId="9940" xr:uid="{00000000-0005-0000-0000-0000140E0000}"/>
    <cellStyle name="ItemTypeClass" xfId="9941" xr:uid="{00000000-0005-0000-0000-0000150E0000}"/>
    <cellStyle name="ItemTypeClass 10" xfId="9942" xr:uid="{00000000-0005-0000-0000-0000160E0000}"/>
    <cellStyle name="ItemTypeClass 11" xfId="9943" xr:uid="{00000000-0005-0000-0000-0000170E0000}"/>
    <cellStyle name="ItemTypeClass 12" xfId="9944" xr:uid="{00000000-0005-0000-0000-0000180E0000}"/>
    <cellStyle name="ItemTypeClass 13" xfId="9945" xr:uid="{00000000-0005-0000-0000-0000190E0000}"/>
    <cellStyle name="ItemTypeClass 14" xfId="9946" xr:uid="{00000000-0005-0000-0000-00001A0E0000}"/>
    <cellStyle name="ItemTypeClass 2" xfId="9947" xr:uid="{00000000-0005-0000-0000-00001B0E0000}"/>
    <cellStyle name="ItemTypeClass 2 10" xfId="9948" xr:uid="{00000000-0005-0000-0000-00001C0E0000}"/>
    <cellStyle name="ItemTypeClass 2 10 10" xfId="9949" xr:uid="{00000000-0005-0000-0000-00001D0E0000}"/>
    <cellStyle name="ItemTypeClass 2 10 11" xfId="9950" xr:uid="{00000000-0005-0000-0000-00001E0E0000}"/>
    <cellStyle name="ItemTypeClass 2 10 12" xfId="9951" xr:uid="{00000000-0005-0000-0000-00001F0E0000}"/>
    <cellStyle name="ItemTypeClass 2 10 2" xfId="9952" xr:uid="{00000000-0005-0000-0000-0000200E0000}"/>
    <cellStyle name="ItemTypeClass 2 10 2 2" xfId="9953" xr:uid="{00000000-0005-0000-0000-0000210E0000}"/>
    <cellStyle name="ItemTypeClass 2 10 2 3" xfId="9954" xr:uid="{00000000-0005-0000-0000-0000220E0000}"/>
    <cellStyle name="ItemTypeClass 2 10 2 4" xfId="9955" xr:uid="{00000000-0005-0000-0000-0000230E0000}"/>
    <cellStyle name="ItemTypeClass 2 10 2 5" xfId="9956" xr:uid="{00000000-0005-0000-0000-0000240E0000}"/>
    <cellStyle name="ItemTypeClass 2 10 3" xfId="9957" xr:uid="{00000000-0005-0000-0000-0000250E0000}"/>
    <cellStyle name="ItemTypeClass 2 10 3 2" xfId="9958" xr:uid="{00000000-0005-0000-0000-0000260E0000}"/>
    <cellStyle name="ItemTypeClass 2 10 3 3" xfId="9959" xr:uid="{00000000-0005-0000-0000-0000270E0000}"/>
    <cellStyle name="ItemTypeClass 2 10 3 4" xfId="9960" xr:uid="{00000000-0005-0000-0000-0000280E0000}"/>
    <cellStyle name="ItemTypeClass 2 10 3 5" xfId="9961" xr:uid="{00000000-0005-0000-0000-0000290E0000}"/>
    <cellStyle name="ItemTypeClass 2 10 3 6" xfId="9962" xr:uid="{00000000-0005-0000-0000-00002A0E0000}"/>
    <cellStyle name="ItemTypeClass 2 10 4" xfId="9963" xr:uid="{00000000-0005-0000-0000-00002B0E0000}"/>
    <cellStyle name="ItemTypeClass 2 10 4 2" xfId="9964" xr:uid="{00000000-0005-0000-0000-00002C0E0000}"/>
    <cellStyle name="ItemTypeClass 2 10 4 3" xfId="9965" xr:uid="{00000000-0005-0000-0000-00002D0E0000}"/>
    <cellStyle name="ItemTypeClass 2 10 4 4" xfId="9966" xr:uid="{00000000-0005-0000-0000-00002E0E0000}"/>
    <cellStyle name="ItemTypeClass 2 10 4 5" xfId="9967" xr:uid="{00000000-0005-0000-0000-00002F0E0000}"/>
    <cellStyle name="ItemTypeClass 2 10 4 6" xfId="9968" xr:uid="{00000000-0005-0000-0000-0000300E0000}"/>
    <cellStyle name="ItemTypeClass 2 10 5" xfId="9969" xr:uid="{00000000-0005-0000-0000-0000310E0000}"/>
    <cellStyle name="ItemTypeClass 2 10 6" xfId="9970" xr:uid="{00000000-0005-0000-0000-0000320E0000}"/>
    <cellStyle name="ItemTypeClass 2 10 7" xfId="9971" xr:uid="{00000000-0005-0000-0000-0000330E0000}"/>
    <cellStyle name="ItemTypeClass 2 10 8" xfId="9972" xr:uid="{00000000-0005-0000-0000-0000340E0000}"/>
    <cellStyle name="ItemTypeClass 2 10 9" xfId="9973" xr:uid="{00000000-0005-0000-0000-0000350E0000}"/>
    <cellStyle name="ItemTypeClass 2 11" xfId="9974" xr:uid="{00000000-0005-0000-0000-0000360E0000}"/>
    <cellStyle name="ItemTypeClass 2 11 2" xfId="9975" xr:uid="{00000000-0005-0000-0000-0000370E0000}"/>
    <cellStyle name="ItemTypeClass 2 11 3" xfId="9976" xr:uid="{00000000-0005-0000-0000-0000380E0000}"/>
    <cellStyle name="ItemTypeClass 2 11 4" xfId="9977" xr:uid="{00000000-0005-0000-0000-0000390E0000}"/>
    <cellStyle name="ItemTypeClass 2 11 5" xfId="9978" xr:uid="{00000000-0005-0000-0000-00003A0E0000}"/>
    <cellStyle name="ItemTypeClass 2 12" xfId="9979" xr:uid="{00000000-0005-0000-0000-00003B0E0000}"/>
    <cellStyle name="ItemTypeClass 2 12 2" xfId="9980" xr:uid="{00000000-0005-0000-0000-00003C0E0000}"/>
    <cellStyle name="ItemTypeClass 2 12 3" xfId="9981" xr:uid="{00000000-0005-0000-0000-00003D0E0000}"/>
    <cellStyle name="ItemTypeClass 2 12 4" xfId="9982" xr:uid="{00000000-0005-0000-0000-00003E0E0000}"/>
    <cellStyle name="ItemTypeClass 2 12 5" xfId="9983" xr:uid="{00000000-0005-0000-0000-00003F0E0000}"/>
    <cellStyle name="ItemTypeClass 2 12 6" xfId="9984" xr:uid="{00000000-0005-0000-0000-0000400E0000}"/>
    <cellStyle name="ItemTypeClass 2 13" xfId="9985" xr:uid="{00000000-0005-0000-0000-0000410E0000}"/>
    <cellStyle name="ItemTypeClass 2 13 2" xfId="9986" xr:uid="{00000000-0005-0000-0000-0000420E0000}"/>
    <cellStyle name="ItemTypeClass 2 13 3" xfId="9987" xr:uid="{00000000-0005-0000-0000-0000430E0000}"/>
    <cellStyle name="ItemTypeClass 2 13 4" xfId="9988" xr:uid="{00000000-0005-0000-0000-0000440E0000}"/>
    <cellStyle name="ItemTypeClass 2 13 5" xfId="9989" xr:uid="{00000000-0005-0000-0000-0000450E0000}"/>
    <cellStyle name="ItemTypeClass 2 13 6" xfId="9990" xr:uid="{00000000-0005-0000-0000-0000460E0000}"/>
    <cellStyle name="ItemTypeClass 2 14" xfId="9991" xr:uid="{00000000-0005-0000-0000-0000470E0000}"/>
    <cellStyle name="ItemTypeClass 2 15" xfId="9992" xr:uid="{00000000-0005-0000-0000-0000480E0000}"/>
    <cellStyle name="ItemTypeClass 2 16" xfId="9993" xr:uid="{00000000-0005-0000-0000-0000490E0000}"/>
    <cellStyle name="ItemTypeClass 2 17" xfId="9994" xr:uid="{00000000-0005-0000-0000-00004A0E0000}"/>
    <cellStyle name="ItemTypeClass 2 18" xfId="9995" xr:uid="{00000000-0005-0000-0000-00004B0E0000}"/>
    <cellStyle name="ItemTypeClass 2 19" xfId="9996" xr:uid="{00000000-0005-0000-0000-00004C0E0000}"/>
    <cellStyle name="ItemTypeClass 2 2" xfId="9997" xr:uid="{00000000-0005-0000-0000-00004D0E0000}"/>
    <cellStyle name="ItemTypeClass 2 2 10" xfId="9998" xr:uid="{00000000-0005-0000-0000-00004E0E0000}"/>
    <cellStyle name="ItemTypeClass 2 2 10 2" xfId="9999" xr:uid="{00000000-0005-0000-0000-00004F0E0000}"/>
    <cellStyle name="ItemTypeClass 2 2 10 3" xfId="10000" xr:uid="{00000000-0005-0000-0000-0000500E0000}"/>
    <cellStyle name="ItemTypeClass 2 2 10 4" xfId="10001" xr:uid="{00000000-0005-0000-0000-0000510E0000}"/>
    <cellStyle name="ItemTypeClass 2 2 10 5" xfId="10002" xr:uid="{00000000-0005-0000-0000-0000520E0000}"/>
    <cellStyle name="ItemTypeClass 2 2 10 6" xfId="10003" xr:uid="{00000000-0005-0000-0000-0000530E0000}"/>
    <cellStyle name="ItemTypeClass 2 2 11" xfId="10004" xr:uid="{00000000-0005-0000-0000-0000540E0000}"/>
    <cellStyle name="ItemTypeClass 2 2 12" xfId="10005" xr:uid="{00000000-0005-0000-0000-0000550E0000}"/>
    <cellStyle name="ItemTypeClass 2 2 13" xfId="10006" xr:uid="{00000000-0005-0000-0000-0000560E0000}"/>
    <cellStyle name="ItemTypeClass 2 2 14" xfId="10007" xr:uid="{00000000-0005-0000-0000-0000570E0000}"/>
    <cellStyle name="ItemTypeClass 2 2 15" xfId="10008" xr:uid="{00000000-0005-0000-0000-0000580E0000}"/>
    <cellStyle name="ItemTypeClass 2 2 16" xfId="10009" xr:uid="{00000000-0005-0000-0000-0000590E0000}"/>
    <cellStyle name="ItemTypeClass 2 2 17" xfId="10010" xr:uid="{00000000-0005-0000-0000-00005A0E0000}"/>
    <cellStyle name="ItemTypeClass 2 2 18" xfId="10011" xr:uid="{00000000-0005-0000-0000-00005B0E0000}"/>
    <cellStyle name="ItemTypeClass 2 2 2" xfId="10012" xr:uid="{00000000-0005-0000-0000-00005C0E0000}"/>
    <cellStyle name="ItemTypeClass 2 2 2 10" xfId="10013" xr:uid="{00000000-0005-0000-0000-00005D0E0000}"/>
    <cellStyle name="ItemTypeClass 2 2 2 11" xfId="10014" xr:uid="{00000000-0005-0000-0000-00005E0E0000}"/>
    <cellStyle name="ItemTypeClass 2 2 2 12" xfId="10015" xr:uid="{00000000-0005-0000-0000-00005F0E0000}"/>
    <cellStyle name="ItemTypeClass 2 2 2 13" xfId="10016" xr:uid="{00000000-0005-0000-0000-0000600E0000}"/>
    <cellStyle name="ItemTypeClass 2 2 2 14" xfId="10017" xr:uid="{00000000-0005-0000-0000-0000610E0000}"/>
    <cellStyle name="ItemTypeClass 2 2 2 15" xfId="10018" xr:uid="{00000000-0005-0000-0000-0000620E0000}"/>
    <cellStyle name="ItemTypeClass 2 2 2 2" xfId="10019" xr:uid="{00000000-0005-0000-0000-0000630E0000}"/>
    <cellStyle name="ItemTypeClass 2 2 2 2 10" xfId="10020" xr:uid="{00000000-0005-0000-0000-0000640E0000}"/>
    <cellStyle name="ItemTypeClass 2 2 2 2 11" xfId="10021" xr:uid="{00000000-0005-0000-0000-0000650E0000}"/>
    <cellStyle name="ItemTypeClass 2 2 2 2 12" xfId="10022" xr:uid="{00000000-0005-0000-0000-0000660E0000}"/>
    <cellStyle name="ItemTypeClass 2 2 2 2 2" xfId="10023" xr:uid="{00000000-0005-0000-0000-0000670E0000}"/>
    <cellStyle name="ItemTypeClass 2 2 2 2 2 2" xfId="10024" xr:uid="{00000000-0005-0000-0000-0000680E0000}"/>
    <cellStyle name="ItemTypeClass 2 2 2 2 2 3" xfId="10025" xr:uid="{00000000-0005-0000-0000-0000690E0000}"/>
    <cellStyle name="ItemTypeClass 2 2 2 2 2 4" xfId="10026" xr:uid="{00000000-0005-0000-0000-00006A0E0000}"/>
    <cellStyle name="ItemTypeClass 2 2 2 2 2 5" xfId="10027" xr:uid="{00000000-0005-0000-0000-00006B0E0000}"/>
    <cellStyle name="ItemTypeClass 2 2 2 2 3" xfId="10028" xr:uid="{00000000-0005-0000-0000-00006C0E0000}"/>
    <cellStyle name="ItemTypeClass 2 2 2 2 3 2" xfId="10029" xr:uid="{00000000-0005-0000-0000-00006D0E0000}"/>
    <cellStyle name="ItemTypeClass 2 2 2 2 3 3" xfId="10030" xr:uid="{00000000-0005-0000-0000-00006E0E0000}"/>
    <cellStyle name="ItemTypeClass 2 2 2 2 3 4" xfId="10031" xr:uid="{00000000-0005-0000-0000-00006F0E0000}"/>
    <cellStyle name="ItemTypeClass 2 2 2 2 3 5" xfId="10032" xr:uid="{00000000-0005-0000-0000-0000700E0000}"/>
    <cellStyle name="ItemTypeClass 2 2 2 2 3 6" xfId="10033" xr:uid="{00000000-0005-0000-0000-0000710E0000}"/>
    <cellStyle name="ItemTypeClass 2 2 2 2 4" xfId="10034" xr:uid="{00000000-0005-0000-0000-0000720E0000}"/>
    <cellStyle name="ItemTypeClass 2 2 2 2 4 2" xfId="10035" xr:uid="{00000000-0005-0000-0000-0000730E0000}"/>
    <cellStyle name="ItemTypeClass 2 2 2 2 4 3" xfId="10036" xr:uid="{00000000-0005-0000-0000-0000740E0000}"/>
    <cellStyle name="ItemTypeClass 2 2 2 2 4 4" xfId="10037" xr:uid="{00000000-0005-0000-0000-0000750E0000}"/>
    <cellStyle name="ItemTypeClass 2 2 2 2 4 5" xfId="10038" xr:uid="{00000000-0005-0000-0000-0000760E0000}"/>
    <cellStyle name="ItemTypeClass 2 2 2 2 4 6" xfId="10039" xr:uid="{00000000-0005-0000-0000-0000770E0000}"/>
    <cellStyle name="ItemTypeClass 2 2 2 2 5" xfId="10040" xr:uid="{00000000-0005-0000-0000-0000780E0000}"/>
    <cellStyle name="ItemTypeClass 2 2 2 2 6" xfId="10041" xr:uid="{00000000-0005-0000-0000-0000790E0000}"/>
    <cellStyle name="ItemTypeClass 2 2 2 2 7" xfId="10042" xr:uid="{00000000-0005-0000-0000-00007A0E0000}"/>
    <cellStyle name="ItemTypeClass 2 2 2 2 8" xfId="10043" xr:uid="{00000000-0005-0000-0000-00007B0E0000}"/>
    <cellStyle name="ItemTypeClass 2 2 2 2 9" xfId="10044" xr:uid="{00000000-0005-0000-0000-00007C0E0000}"/>
    <cellStyle name="ItemTypeClass 2 2 2 3" xfId="10045" xr:uid="{00000000-0005-0000-0000-00007D0E0000}"/>
    <cellStyle name="ItemTypeClass 2 2 2 3 10" xfId="10046" xr:uid="{00000000-0005-0000-0000-00007E0E0000}"/>
    <cellStyle name="ItemTypeClass 2 2 2 3 11" xfId="10047" xr:uid="{00000000-0005-0000-0000-00007F0E0000}"/>
    <cellStyle name="ItemTypeClass 2 2 2 3 12" xfId="10048" xr:uid="{00000000-0005-0000-0000-0000800E0000}"/>
    <cellStyle name="ItemTypeClass 2 2 2 3 2" xfId="10049" xr:uid="{00000000-0005-0000-0000-0000810E0000}"/>
    <cellStyle name="ItemTypeClass 2 2 2 3 2 2" xfId="10050" xr:uid="{00000000-0005-0000-0000-0000820E0000}"/>
    <cellStyle name="ItemTypeClass 2 2 2 3 2 3" xfId="10051" xr:uid="{00000000-0005-0000-0000-0000830E0000}"/>
    <cellStyle name="ItemTypeClass 2 2 2 3 2 4" xfId="10052" xr:uid="{00000000-0005-0000-0000-0000840E0000}"/>
    <cellStyle name="ItemTypeClass 2 2 2 3 2 5" xfId="10053" xr:uid="{00000000-0005-0000-0000-0000850E0000}"/>
    <cellStyle name="ItemTypeClass 2 2 2 3 3" xfId="10054" xr:uid="{00000000-0005-0000-0000-0000860E0000}"/>
    <cellStyle name="ItemTypeClass 2 2 2 3 3 2" xfId="10055" xr:uid="{00000000-0005-0000-0000-0000870E0000}"/>
    <cellStyle name="ItemTypeClass 2 2 2 3 3 3" xfId="10056" xr:uid="{00000000-0005-0000-0000-0000880E0000}"/>
    <cellStyle name="ItemTypeClass 2 2 2 3 3 4" xfId="10057" xr:uid="{00000000-0005-0000-0000-0000890E0000}"/>
    <cellStyle name="ItemTypeClass 2 2 2 3 3 5" xfId="10058" xr:uid="{00000000-0005-0000-0000-00008A0E0000}"/>
    <cellStyle name="ItemTypeClass 2 2 2 3 3 6" xfId="10059" xr:uid="{00000000-0005-0000-0000-00008B0E0000}"/>
    <cellStyle name="ItemTypeClass 2 2 2 3 4" xfId="10060" xr:uid="{00000000-0005-0000-0000-00008C0E0000}"/>
    <cellStyle name="ItemTypeClass 2 2 2 3 4 2" xfId="10061" xr:uid="{00000000-0005-0000-0000-00008D0E0000}"/>
    <cellStyle name="ItemTypeClass 2 2 2 3 4 3" xfId="10062" xr:uid="{00000000-0005-0000-0000-00008E0E0000}"/>
    <cellStyle name="ItemTypeClass 2 2 2 3 4 4" xfId="10063" xr:uid="{00000000-0005-0000-0000-00008F0E0000}"/>
    <cellStyle name="ItemTypeClass 2 2 2 3 4 5" xfId="10064" xr:uid="{00000000-0005-0000-0000-0000900E0000}"/>
    <cellStyle name="ItemTypeClass 2 2 2 3 4 6" xfId="10065" xr:uid="{00000000-0005-0000-0000-0000910E0000}"/>
    <cellStyle name="ItemTypeClass 2 2 2 3 5" xfId="10066" xr:uid="{00000000-0005-0000-0000-0000920E0000}"/>
    <cellStyle name="ItemTypeClass 2 2 2 3 6" xfId="10067" xr:uid="{00000000-0005-0000-0000-0000930E0000}"/>
    <cellStyle name="ItemTypeClass 2 2 2 3 7" xfId="10068" xr:uid="{00000000-0005-0000-0000-0000940E0000}"/>
    <cellStyle name="ItemTypeClass 2 2 2 3 8" xfId="10069" xr:uid="{00000000-0005-0000-0000-0000950E0000}"/>
    <cellStyle name="ItemTypeClass 2 2 2 3 9" xfId="10070" xr:uid="{00000000-0005-0000-0000-0000960E0000}"/>
    <cellStyle name="ItemTypeClass 2 2 2 4" xfId="10071" xr:uid="{00000000-0005-0000-0000-0000970E0000}"/>
    <cellStyle name="ItemTypeClass 2 2 2 4 10" xfId="10072" xr:uid="{00000000-0005-0000-0000-0000980E0000}"/>
    <cellStyle name="ItemTypeClass 2 2 2 4 11" xfId="10073" xr:uid="{00000000-0005-0000-0000-0000990E0000}"/>
    <cellStyle name="ItemTypeClass 2 2 2 4 12" xfId="10074" xr:uid="{00000000-0005-0000-0000-00009A0E0000}"/>
    <cellStyle name="ItemTypeClass 2 2 2 4 2" xfId="10075" xr:uid="{00000000-0005-0000-0000-00009B0E0000}"/>
    <cellStyle name="ItemTypeClass 2 2 2 4 2 2" xfId="10076" xr:uid="{00000000-0005-0000-0000-00009C0E0000}"/>
    <cellStyle name="ItemTypeClass 2 2 2 4 2 3" xfId="10077" xr:uid="{00000000-0005-0000-0000-00009D0E0000}"/>
    <cellStyle name="ItemTypeClass 2 2 2 4 2 4" xfId="10078" xr:uid="{00000000-0005-0000-0000-00009E0E0000}"/>
    <cellStyle name="ItemTypeClass 2 2 2 4 2 5" xfId="10079" xr:uid="{00000000-0005-0000-0000-00009F0E0000}"/>
    <cellStyle name="ItemTypeClass 2 2 2 4 3" xfId="10080" xr:uid="{00000000-0005-0000-0000-0000A00E0000}"/>
    <cellStyle name="ItemTypeClass 2 2 2 4 3 2" xfId="10081" xr:uid="{00000000-0005-0000-0000-0000A10E0000}"/>
    <cellStyle name="ItemTypeClass 2 2 2 4 3 3" xfId="10082" xr:uid="{00000000-0005-0000-0000-0000A20E0000}"/>
    <cellStyle name="ItemTypeClass 2 2 2 4 3 4" xfId="10083" xr:uid="{00000000-0005-0000-0000-0000A30E0000}"/>
    <cellStyle name="ItemTypeClass 2 2 2 4 3 5" xfId="10084" xr:uid="{00000000-0005-0000-0000-0000A40E0000}"/>
    <cellStyle name="ItemTypeClass 2 2 2 4 3 6" xfId="10085" xr:uid="{00000000-0005-0000-0000-0000A50E0000}"/>
    <cellStyle name="ItemTypeClass 2 2 2 4 4" xfId="10086" xr:uid="{00000000-0005-0000-0000-0000A60E0000}"/>
    <cellStyle name="ItemTypeClass 2 2 2 4 4 2" xfId="10087" xr:uid="{00000000-0005-0000-0000-0000A70E0000}"/>
    <cellStyle name="ItemTypeClass 2 2 2 4 4 3" xfId="10088" xr:uid="{00000000-0005-0000-0000-0000A80E0000}"/>
    <cellStyle name="ItemTypeClass 2 2 2 4 4 4" xfId="10089" xr:uid="{00000000-0005-0000-0000-0000A90E0000}"/>
    <cellStyle name="ItemTypeClass 2 2 2 4 4 5" xfId="10090" xr:uid="{00000000-0005-0000-0000-0000AA0E0000}"/>
    <cellStyle name="ItemTypeClass 2 2 2 4 4 6" xfId="10091" xr:uid="{00000000-0005-0000-0000-0000AB0E0000}"/>
    <cellStyle name="ItemTypeClass 2 2 2 4 5" xfId="10092" xr:uid="{00000000-0005-0000-0000-0000AC0E0000}"/>
    <cellStyle name="ItemTypeClass 2 2 2 4 6" xfId="10093" xr:uid="{00000000-0005-0000-0000-0000AD0E0000}"/>
    <cellStyle name="ItemTypeClass 2 2 2 4 7" xfId="10094" xr:uid="{00000000-0005-0000-0000-0000AE0E0000}"/>
    <cellStyle name="ItemTypeClass 2 2 2 4 8" xfId="10095" xr:uid="{00000000-0005-0000-0000-0000AF0E0000}"/>
    <cellStyle name="ItemTypeClass 2 2 2 4 9" xfId="10096" xr:uid="{00000000-0005-0000-0000-0000B00E0000}"/>
    <cellStyle name="ItemTypeClass 2 2 2 5" xfId="10097" xr:uid="{00000000-0005-0000-0000-0000B10E0000}"/>
    <cellStyle name="ItemTypeClass 2 2 2 5 2" xfId="10098" xr:uid="{00000000-0005-0000-0000-0000B20E0000}"/>
    <cellStyle name="ItemTypeClass 2 2 2 5 3" xfId="10099" xr:uid="{00000000-0005-0000-0000-0000B30E0000}"/>
    <cellStyle name="ItemTypeClass 2 2 2 5 4" xfId="10100" xr:uid="{00000000-0005-0000-0000-0000B40E0000}"/>
    <cellStyle name="ItemTypeClass 2 2 2 5 5" xfId="10101" xr:uid="{00000000-0005-0000-0000-0000B50E0000}"/>
    <cellStyle name="ItemTypeClass 2 2 2 6" xfId="10102" xr:uid="{00000000-0005-0000-0000-0000B60E0000}"/>
    <cellStyle name="ItemTypeClass 2 2 2 6 2" xfId="10103" xr:uid="{00000000-0005-0000-0000-0000B70E0000}"/>
    <cellStyle name="ItemTypeClass 2 2 2 6 3" xfId="10104" xr:uid="{00000000-0005-0000-0000-0000B80E0000}"/>
    <cellStyle name="ItemTypeClass 2 2 2 6 4" xfId="10105" xr:uid="{00000000-0005-0000-0000-0000B90E0000}"/>
    <cellStyle name="ItemTypeClass 2 2 2 6 5" xfId="10106" xr:uid="{00000000-0005-0000-0000-0000BA0E0000}"/>
    <cellStyle name="ItemTypeClass 2 2 2 6 6" xfId="10107" xr:uid="{00000000-0005-0000-0000-0000BB0E0000}"/>
    <cellStyle name="ItemTypeClass 2 2 2 7" xfId="10108" xr:uid="{00000000-0005-0000-0000-0000BC0E0000}"/>
    <cellStyle name="ItemTypeClass 2 2 2 7 2" xfId="10109" xr:uid="{00000000-0005-0000-0000-0000BD0E0000}"/>
    <cellStyle name="ItemTypeClass 2 2 2 7 3" xfId="10110" xr:uid="{00000000-0005-0000-0000-0000BE0E0000}"/>
    <cellStyle name="ItemTypeClass 2 2 2 7 4" xfId="10111" xr:uid="{00000000-0005-0000-0000-0000BF0E0000}"/>
    <cellStyle name="ItemTypeClass 2 2 2 7 5" xfId="10112" xr:uid="{00000000-0005-0000-0000-0000C00E0000}"/>
    <cellStyle name="ItemTypeClass 2 2 2 7 6" xfId="10113" xr:uid="{00000000-0005-0000-0000-0000C10E0000}"/>
    <cellStyle name="ItemTypeClass 2 2 2 8" xfId="10114" xr:uid="{00000000-0005-0000-0000-0000C20E0000}"/>
    <cellStyle name="ItemTypeClass 2 2 2 9" xfId="10115" xr:uid="{00000000-0005-0000-0000-0000C30E0000}"/>
    <cellStyle name="ItemTypeClass 2 2 3" xfId="10116" xr:uid="{00000000-0005-0000-0000-0000C40E0000}"/>
    <cellStyle name="ItemTypeClass 2 2 3 10" xfId="10117" xr:uid="{00000000-0005-0000-0000-0000C50E0000}"/>
    <cellStyle name="ItemTypeClass 2 2 3 11" xfId="10118" xr:uid="{00000000-0005-0000-0000-0000C60E0000}"/>
    <cellStyle name="ItemTypeClass 2 2 3 12" xfId="10119" xr:uid="{00000000-0005-0000-0000-0000C70E0000}"/>
    <cellStyle name="ItemTypeClass 2 2 3 13" xfId="10120" xr:uid="{00000000-0005-0000-0000-0000C80E0000}"/>
    <cellStyle name="ItemTypeClass 2 2 3 14" xfId="10121" xr:uid="{00000000-0005-0000-0000-0000C90E0000}"/>
    <cellStyle name="ItemTypeClass 2 2 3 15" xfId="10122" xr:uid="{00000000-0005-0000-0000-0000CA0E0000}"/>
    <cellStyle name="ItemTypeClass 2 2 3 2" xfId="10123" xr:uid="{00000000-0005-0000-0000-0000CB0E0000}"/>
    <cellStyle name="ItemTypeClass 2 2 3 2 10" xfId="10124" xr:uid="{00000000-0005-0000-0000-0000CC0E0000}"/>
    <cellStyle name="ItemTypeClass 2 2 3 2 11" xfId="10125" xr:uid="{00000000-0005-0000-0000-0000CD0E0000}"/>
    <cellStyle name="ItemTypeClass 2 2 3 2 12" xfId="10126" xr:uid="{00000000-0005-0000-0000-0000CE0E0000}"/>
    <cellStyle name="ItemTypeClass 2 2 3 2 2" xfId="10127" xr:uid="{00000000-0005-0000-0000-0000CF0E0000}"/>
    <cellStyle name="ItemTypeClass 2 2 3 2 2 2" xfId="10128" xr:uid="{00000000-0005-0000-0000-0000D00E0000}"/>
    <cellStyle name="ItemTypeClass 2 2 3 2 2 3" xfId="10129" xr:uid="{00000000-0005-0000-0000-0000D10E0000}"/>
    <cellStyle name="ItemTypeClass 2 2 3 2 2 4" xfId="10130" xr:uid="{00000000-0005-0000-0000-0000D20E0000}"/>
    <cellStyle name="ItemTypeClass 2 2 3 2 2 5" xfId="10131" xr:uid="{00000000-0005-0000-0000-0000D30E0000}"/>
    <cellStyle name="ItemTypeClass 2 2 3 2 3" xfId="10132" xr:uid="{00000000-0005-0000-0000-0000D40E0000}"/>
    <cellStyle name="ItemTypeClass 2 2 3 2 3 2" xfId="10133" xr:uid="{00000000-0005-0000-0000-0000D50E0000}"/>
    <cellStyle name="ItemTypeClass 2 2 3 2 3 3" xfId="10134" xr:uid="{00000000-0005-0000-0000-0000D60E0000}"/>
    <cellStyle name="ItemTypeClass 2 2 3 2 3 4" xfId="10135" xr:uid="{00000000-0005-0000-0000-0000D70E0000}"/>
    <cellStyle name="ItemTypeClass 2 2 3 2 3 5" xfId="10136" xr:uid="{00000000-0005-0000-0000-0000D80E0000}"/>
    <cellStyle name="ItemTypeClass 2 2 3 2 3 6" xfId="10137" xr:uid="{00000000-0005-0000-0000-0000D90E0000}"/>
    <cellStyle name="ItemTypeClass 2 2 3 2 4" xfId="10138" xr:uid="{00000000-0005-0000-0000-0000DA0E0000}"/>
    <cellStyle name="ItemTypeClass 2 2 3 2 4 2" xfId="10139" xr:uid="{00000000-0005-0000-0000-0000DB0E0000}"/>
    <cellStyle name="ItemTypeClass 2 2 3 2 4 3" xfId="10140" xr:uid="{00000000-0005-0000-0000-0000DC0E0000}"/>
    <cellStyle name="ItemTypeClass 2 2 3 2 4 4" xfId="10141" xr:uid="{00000000-0005-0000-0000-0000DD0E0000}"/>
    <cellStyle name="ItemTypeClass 2 2 3 2 4 5" xfId="10142" xr:uid="{00000000-0005-0000-0000-0000DE0E0000}"/>
    <cellStyle name="ItemTypeClass 2 2 3 2 4 6" xfId="10143" xr:uid="{00000000-0005-0000-0000-0000DF0E0000}"/>
    <cellStyle name="ItemTypeClass 2 2 3 2 5" xfId="10144" xr:uid="{00000000-0005-0000-0000-0000E00E0000}"/>
    <cellStyle name="ItemTypeClass 2 2 3 2 6" xfId="10145" xr:uid="{00000000-0005-0000-0000-0000E10E0000}"/>
    <cellStyle name="ItemTypeClass 2 2 3 2 7" xfId="10146" xr:uid="{00000000-0005-0000-0000-0000E20E0000}"/>
    <cellStyle name="ItemTypeClass 2 2 3 2 8" xfId="10147" xr:uid="{00000000-0005-0000-0000-0000E30E0000}"/>
    <cellStyle name="ItemTypeClass 2 2 3 2 9" xfId="10148" xr:uid="{00000000-0005-0000-0000-0000E40E0000}"/>
    <cellStyle name="ItemTypeClass 2 2 3 3" xfId="10149" xr:uid="{00000000-0005-0000-0000-0000E50E0000}"/>
    <cellStyle name="ItemTypeClass 2 2 3 3 10" xfId="10150" xr:uid="{00000000-0005-0000-0000-0000E60E0000}"/>
    <cellStyle name="ItemTypeClass 2 2 3 3 11" xfId="10151" xr:uid="{00000000-0005-0000-0000-0000E70E0000}"/>
    <cellStyle name="ItemTypeClass 2 2 3 3 12" xfId="10152" xr:uid="{00000000-0005-0000-0000-0000E80E0000}"/>
    <cellStyle name="ItemTypeClass 2 2 3 3 2" xfId="10153" xr:uid="{00000000-0005-0000-0000-0000E90E0000}"/>
    <cellStyle name="ItemTypeClass 2 2 3 3 2 2" xfId="10154" xr:uid="{00000000-0005-0000-0000-0000EA0E0000}"/>
    <cellStyle name="ItemTypeClass 2 2 3 3 2 3" xfId="10155" xr:uid="{00000000-0005-0000-0000-0000EB0E0000}"/>
    <cellStyle name="ItemTypeClass 2 2 3 3 2 4" xfId="10156" xr:uid="{00000000-0005-0000-0000-0000EC0E0000}"/>
    <cellStyle name="ItemTypeClass 2 2 3 3 2 5" xfId="10157" xr:uid="{00000000-0005-0000-0000-0000ED0E0000}"/>
    <cellStyle name="ItemTypeClass 2 2 3 3 3" xfId="10158" xr:uid="{00000000-0005-0000-0000-0000EE0E0000}"/>
    <cellStyle name="ItemTypeClass 2 2 3 3 3 2" xfId="10159" xr:uid="{00000000-0005-0000-0000-0000EF0E0000}"/>
    <cellStyle name="ItemTypeClass 2 2 3 3 3 3" xfId="10160" xr:uid="{00000000-0005-0000-0000-0000F00E0000}"/>
    <cellStyle name="ItemTypeClass 2 2 3 3 3 4" xfId="10161" xr:uid="{00000000-0005-0000-0000-0000F10E0000}"/>
    <cellStyle name="ItemTypeClass 2 2 3 3 3 5" xfId="10162" xr:uid="{00000000-0005-0000-0000-0000F20E0000}"/>
    <cellStyle name="ItemTypeClass 2 2 3 3 3 6" xfId="10163" xr:uid="{00000000-0005-0000-0000-0000F30E0000}"/>
    <cellStyle name="ItemTypeClass 2 2 3 3 4" xfId="10164" xr:uid="{00000000-0005-0000-0000-0000F40E0000}"/>
    <cellStyle name="ItemTypeClass 2 2 3 3 4 2" xfId="10165" xr:uid="{00000000-0005-0000-0000-0000F50E0000}"/>
    <cellStyle name="ItemTypeClass 2 2 3 3 4 3" xfId="10166" xr:uid="{00000000-0005-0000-0000-0000F60E0000}"/>
    <cellStyle name="ItemTypeClass 2 2 3 3 4 4" xfId="10167" xr:uid="{00000000-0005-0000-0000-0000F70E0000}"/>
    <cellStyle name="ItemTypeClass 2 2 3 3 4 5" xfId="10168" xr:uid="{00000000-0005-0000-0000-0000F80E0000}"/>
    <cellStyle name="ItemTypeClass 2 2 3 3 4 6" xfId="10169" xr:uid="{00000000-0005-0000-0000-0000F90E0000}"/>
    <cellStyle name="ItemTypeClass 2 2 3 3 5" xfId="10170" xr:uid="{00000000-0005-0000-0000-0000FA0E0000}"/>
    <cellStyle name="ItemTypeClass 2 2 3 3 6" xfId="10171" xr:uid="{00000000-0005-0000-0000-0000FB0E0000}"/>
    <cellStyle name="ItemTypeClass 2 2 3 3 7" xfId="10172" xr:uid="{00000000-0005-0000-0000-0000FC0E0000}"/>
    <cellStyle name="ItemTypeClass 2 2 3 3 8" xfId="10173" xr:uid="{00000000-0005-0000-0000-0000FD0E0000}"/>
    <cellStyle name="ItemTypeClass 2 2 3 3 9" xfId="10174" xr:uid="{00000000-0005-0000-0000-0000FE0E0000}"/>
    <cellStyle name="ItemTypeClass 2 2 3 4" xfId="10175" xr:uid="{00000000-0005-0000-0000-0000FF0E0000}"/>
    <cellStyle name="ItemTypeClass 2 2 3 4 10" xfId="10176" xr:uid="{00000000-0005-0000-0000-0000000F0000}"/>
    <cellStyle name="ItemTypeClass 2 2 3 4 11" xfId="10177" xr:uid="{00000000-0005-0000-0000-0000010F0000}"/>
    <cellStyle name="ItemTypeClass 2 2 3 4 12" xfId="10178" xr:uid="{00000000-0005-0000-0000-0000020F0000}"/>
    <cellStyle name="ItemTypeClass 2 2 3 4 2" xfId="10179" xr:uid="{00000000-0005-0000-0000-0000030F0000}"/>
    <cellStyle name="ItemTypeClass 2 2 3 4 2 2" xfId="10180" xr:uid="{00000000-0005-0000-0000-0000040F0000}"/>
    <cellStyle name="ItemTypeClass 2 2 3 4 2 3" xfId="10181" xr:uid="{00000000-0005-0000-0000-0000050F0000}"/>
    <cellStyle name="ItemTypeClass 2 2 3 4 2 4" xfId="10182" xr:uid="{00000000-0005-0000-0000-0000060F0000}"/>
    <cellStyle name="ItemTypeClass 2 2 3 4 2 5" xfId="10183" xr:uid="{00000000-0005-0000-0000-0000070F0000}"/>
    <cellStyle name="ItemTypeClass 2 2 3 4 3" xfId="10184" xr:uid="{00000000-0005-0000-0000-0000080F0000}"/>
    <cellStyle name="ItemTypeClass 2 2 3 4 3 2" xfId="10185" xr:uid="{00000000-0005-0000-0000-0000090F0000}"/>
    <cellStyle name="ItemTypeClass 2 2 3 4 3 3" xfId="10186" xr:uid="{00000000-0005-0000-0000-00000A0F0000}"/>
    <cellStyle name="ItemTypeClass 2 2 3 4 3 4" xfId="10187" xr:uid="{00000000-0005-0000-0000-00000B0F0000}"/>
    <cellStyle name="ItemTypeClass 2 2 3 4 3 5" xfId="10188" xr:uid="{00000000-0005-0000-0000-00000C0F0000}"/>
    <cellStyle name="ItemTypeClass 2 2 3 4 3 6" xfId="10189" xr:uid="{00000000-0005-0000-0000-00000D0F0000}"/>
    <cellStyle name="ItemTypeClass 2 2 3 4 4" xfId="10190" xr:uid="{00000000-0005-0000-0000-00000E0F0000}"/>
    <cellStyle name="ItemTypeClass 2 2 3 4 4 2" xfId="10191" xr:uid="{00000000-0005-0000-0000-00000F0F0000}"/>
    <cellStyle name="ItemTypeClass 2 2 3 4 4 3" xfId="10192" xr:uid="{00000000-0005-0000-0000-0000100F0000}"/>
    <cellStyle name="ItemTypeClass 2 2 3 4 4 4" xfId="10193" xr:uid="{00000000-0005-0000-0000-0000110F0000}"/>
    <cellStyle name="ItemTypeClass 2 2 3 4 4 5" xfId="10194" xr:uid="{00000000-0005-0000-0000-0000120F0000}"/>
    <cellStyle name="ItemTypeClass 2 2 3 4 4 6" xfId="10195" xr:uid="{00000000-0005-0000-0000-0000130F0000}"/>
    <cellStyle name="ItemTypeClass 2 2 3 4 5" xfId="10196" xr:uid="{00000000-0005-0000-0000-0000140F0000}"/>
    <cellStyle name="ItemTypeClass 2 2 3 4 6" xfId="10197" xr:uid="{00000000-0005-0000-0000-0000150F0000}"/>
    <cellStyle name="ItemTypeClass 2 2 3 4 7" xfId="10198" xr:uid="{00000000-0005-0000-0000-0000160F0000}"/>
    <cellStyle name="ItemTypeClass 2 2 3 4 8" xfId="10199" xr:uid="{00000000-0005-0000-0000-0000170F0000}"/>
    <cellStyle name="ItemTypeClass 2 2 3 4 9" xfId="10200" xr:uid="{00000000-0005-0000-0000-0000180F0000}"/>
    <cellStyle name="ItemTypeClass 2 2 3 5" xfId="10201" xr:uid="{00000000-0005-0000-0000-0000190F0000}"/>
    <cellStyle name="ItemTypeClass 2 2 3 5 2" xfId="10202" xr:uid="{00000000-0005-0000-0000-00001A0F0000}"/>
    <cellStyle name="ItemTypeClass 2 2 3 5 3" xfId="10203" xr:uid="{00000000-0005-0000-0000-00001B0F0000}"/>
    <cellStyle name="ItemTypeClass 2 2 3 5 4" xfId="10204" xr:uid="{00000000-0005-0000-0000-00001C0F0000}"/>
    <cellStyle name="ItemTypeClass 2 2 3 5 5" xfId="10205" xr:uid="{00000000-0005-0000-0000-00001D0F0000}"/>
    <cellStyle name="ItemTypeClass 2 2 3 6" xfId="10206" xr:uid="{00000000-0005-0000-0000-00001E0F0000}"/>
    <cellStyle name="ItemTypeClass 2 2 3 6 2" xfId="10207" xr:uid="{00000000-0005-0000-0000-00001F0F0000}"/>
    <cellStyle name="ItemTypeClass 2 2 3 6 3" xfId="10208" xr:uid="{00000000-0005-0000-0000-0000200F0000}"/>
    <cellStyle name="ItemTypeClass 2 2 3 6 4" xfId="10209" xr:uid="{00000000-0005-0000-0000-0000210F0000}"/>
    <cellStyle name="ItemTypeClass 2 2 3 6 5" xfId="10210" xr:uid="{00000000-0005-0000-0000-0000220F0000}"/>
    <cellStyle name="ItemTypeClass 2 2 3 6 6" xfId="10211" xr:uid="{00000000-0005-0000-0000-0000230F0000}"/>
    <cellStyle name="ItemTypeClass 2 2 3 7" xfId="10212" xr:uid="{00000000-0005-0000-0000-0000240F0000}"/>
    <cellStyle name="ItemTypeClass 2 2 3 7 2" xfId="10213" xr:uid="{00000000-0005-0000-0000-0000250F0000}"/>
    <cellStyle name="ItemTypeClass 2 2 3 7 3" xfId="10214" xr:uid="{00000000-0005-0000-0000-0000260F0000}"/>
    <cellStyle name="ItemTypeClass 2 2 3 7 4" xfId="10215" xr:uid="{00000000-0005-0000-0000-0000270F0000}"/>
    <cellStyle name="ItemTypeClass 2 2 3 7 5" xfId="10216" xr:uid="{00000000-0005-0000-0000-0000280F0000}"/>
    <cellStyle name="ItemTypeClass 2 2 3 7 6" xfId="10217" xr:uid="{00000000-0005-0000-0000-0000290F0000}"/>
    <cellStyle name="ItemTypeClass 2 2 3 8" xfId="10218" xr:uid="{00000000-0005-0000-0000-00002A0F0000}"/>
    <cellStyle name="ItemTypeClass 2 2 3 9" xfId="10219" xr:uid="{00000000-0005-0000-0000-00002B0F0000}"/>
    <cellStyle name="ItemTypeClass 2 2 4" xfId="10220" xr:uid="{00000000-0005-0000-0000-00002C0F0000}"/>
    <cellStyle name="ItemTypeClass 2 2 4 10" xfId="10221" xr:uid="{00000000-0005-0000-0000-00002D0F0000}"/>
    <cellStyle name="ItemTypeClass 2 2 4 11" xfId="10222" xr:uid="{00000000-0005-0000-0000-00002E0F0000}"/>
    <cellStyle name="ItemTypeClass 2 2 4 12" xfId="10223" xr:uid="{00000000-0005-0000-0000-00002F0F0000}"/>
    <cellStyle name="ItemTypeClass 2 2 4 13" xfId="10224" xr:uid="{00000000-0005-0000-0000-0000300F0000}"/>
    <cellStyle name="ItemTypeClass 2 2 4 14" xfId="10225" xr:uid="{00000000-0005-0000-0000-0000310F0000}"/>
    <cellStyle name="ItemTypeClass 2 2 4 15" xfId="10226" xr:uid="{00000000-0005-0000-0000-0000320F0000}"/>
    <cellStyle name="ItemTypeClass 2 2 4 2" xfId="10227" xr:uid="{00000000-0005-0000-0000-0000330F0000}"/>
    <cellStyle name="ItemTypeClass 2 2 4 2 10" xfId="10228" xr:uid="{00000000-0005-0000-0000-0000340F0000}"/>
    <cellStyle name="ItemTypeClass 2 2 4 2 11" xfId="10229" xr:uid="{00000000-0005-0000-0000-0000350F0000}"/>
    <cellStyle name="ItemTypeClass 2 2 4 2 12" xfId="10230" xr:uid="{00000000-0005-0000-0000-0000360F0000}"/>
    <cellStyle name="ItemTypeClass 2 2 4 2 2" xfId="10231" xr:uid="{00000000-0005-0000-0000-0000370F0000}"/>
    <cellStyle name="ItemTypeClass 2 2 4 2 2 2" xfId="10232" xr:uid="{00000000-0005-0000-0000-0000380F0000}"/>
    <cellStyle name="ItemTypeClass 2 2 4 2 2 3" xfId="10233" xr:uid="{00000000-0005-0000-0000-0000390F0000}"/>
    <cellStyle name="ItemTypeClass 2 2 4 2 2 4" xfId="10234" xr:uid="{00000000-0005-0000-0000-00003A0F0000}"/>
    <cellStyle name="ItemTypeClass 2 2 4 2 2 5" xfId="10235" xr:uid="{00000000-0005-0000-0000-00003B0F0000}"/>
    <cellStyle name="ItemTypeClass 2 2 4 2 3" xfId="10236" xr:uid="{00000000-0005-0000-0000-00003C0F0000}"/>
    <cellStyle name="ItemTypeClass 2 2 4 2 3 2" xfId="10237" xr:uid="{00000000-0005-0000-0000-00003D0F0000}"/>
    <cellStyle name="ItemTypeClass 2 2 4 2 3 3" xfId="10238" xr:uid="{00000000-0005-0000-0000-00003E0F0000}"/>
    <cellStyle name="ItemTypeClass 2 2 4 2 3 4" xfId="10239" xr:uid="{00000000-0005-0000-0000-00003F0F0000}"/>
    <cellStyle name="ItemTypeClass 2 2 4 2 3 5" xfId="10240" xr:uid="{00000000-0005-0000-0000-0000400F0000}"/>
    <cellStyle name="ItemTypeClass 2 2 4 2 3 6" xfId="10241" xr:uid="{00000000-0005-0000-0000-0000410F0000}"/>
    <cellStyle name="ItemTypeClass 2 2 4 2 4" xfId="10242" xr:uid="{00000000-0005-0000-0000-0000420F0000}"/>
    <cellStyle name="ItemTypeClass 2 2 4 2 4 2" xfId="10243" xr:uid="{00000000-0005-0000-0000-0000430F0000}"/>
    <cellStyle name="ItemTypeClass 2 2 4 2 4 3" xfId="10244" xr:uid="{00000000-0005-0000-0000-0000440F0000}"/>
    <cellStyle name="ItemTypeClass 2 2 4 2 4 4" xfId="10245" xr:uid="{00000000-0005-0000-0000-0000450F0000}"/>
    <cellStyle name="ItemTypeClass 2 2 4 2 4 5" xfId="10246" xr:uid="{00000000-0005-0000-0000-0000460F0000}"/>
    <cellStyle name="ItemTypeClass 2 2 4 2 4 6" xfId="10247" xr:uid="{00000000-0005-0000-0000-0000470F0000}"/>
    <cellStyle name="ItemTypeClass 2 2 4 2 5" xfId="10248" xr:uid="{00000000-0005-0000-0000-0000480F0000}"/>
    <cellStyle name="ItemTypeClass 2 2 4 2 6" xfId="10249" xr:uid="{00000000-0005-0000-0000-0000490F0000}"/>
    <cellStyle name="ItemTypeClass 2 2 4 2 7" xfId="10250" xr:uid="{00000000-0005-0000-0000-00004A0F0000}"/>
    <cellStyle name="ItemTypeClass 2 2 4 2 8" xfId="10251" xr:uid="{00000000-0005-0000-0000-00004B0F0000}"/>
    <cellStyle name="ItemTypeClass 2 2 4 2 9" xfId="10252" xr:uid="{00000000-0005-0000-0000-00004C0F0000}"/>
    <cellStyle name="ItemTypeClass 2 2 4 3" xfId="10253" xr:uid="{00000000-0005-0000-0000-00004D0F0000}"/>
    <cellStyle name="ItemTypeClass 2 2 4 3 10" xfId="10254" xr:uid="{00000000-0005-0000-0000-00004E0F0000}"/>
    <cellStyle name="ItemTypeClass 2 2 4 3 11" xfId="10255" xr:uid="{00000000-0005-0000-0000-00004F0F0000}"/>
    <cellStyle name="ItemTypeClass 2 2 4 3 12" xfId="10256" xr:uid="{00000000-0005-0000-0000-0000500F0000}"/>
    <cellStyle name="ItemTypeClass 2 2 4 3 2" xfId="10257" xr:uid="{00000000-0005-0000-0000-0000510F0000}"/>
    <cellStyle name="ItemTypeClass 2 2 4 3 2 2" xfId="10258" xr:uid="{00000000-0005-0000-0000-0000520F0000}"/>
    <cellStyle name="ItemTypeClass 2 2 4 3 2 3" xfId="10259" xr:uid="{00000000-0005-0000-0000-0000530F0000}"/>
    <cellStyle name="ItemTypeClass 2 2 4 3 2 4" xfId="10260" xr:uid="{00000000-0005-0000-0000-0000540F0000}"/>
    <cellStyle name="ItemTypeClass 2 2 4 3 2 5" xfId="10261" xr:uid="{00000000-0005-0000-0000-0000550F0000}"/>
    <cellStyle name="ItemTypeClass 2 2 4 3 3" xfId="10262" xr:uid="{00000000-0005-0000-0000-0000560F0000}"/>
    <cellStyle name="ItemTypeClass 2 2 4 3 3 2" xfId="10263" xr:uid="{00000000-0005-0000-0000-0000570F0000}"/>
    <cellStyle name="ItemTypeClass 2 2 4 3 3 3" xfId="10264" xr:uid="{00000000-0005-0000-0000-0000580F0000}"/>
    <cellStyle name="ItemTypeClass 2 2 4 3 3 4" xfId="10265" xr:uid="{00000000-0005-0000-0000-0000590F0000}"/>
    <cellStyle name="ItemTypeClass 2 2 4 3 3 5" xfId="10266" xr:uid="{00000000-0005-0000-0000-00005A0F0000}"/>
    <cellStyle name="ItemTypeClass 2 2 4 3 3 6" xfId="10267" xr:uid="{00000000-0005-0000-0000-00005B0F0000}"/>
    <cellStyle name="ItemTypeClass 2 2 4 3 4" xfId="10268" xr:uid="{00000000-0005-0000-0000-00005C0F0000}"/>
    <cellStyle name="ItemTypeClass 2 2 4 3 4 2" xfId="10269" xr:uid="{00000000-0005-0000-0000-00005D0F0000}"/>
    <cellStyle name="ItemTypeClass 2 2 4 3 4 3" xfId="10270" xr:uid="{00000000-0005-0000-0000-00005E0F0000}"/>
    <cellStyle name="ItemTypeClass 2 2 4 3 4 4" xfId="10271" xr:uid="{00000000-0005-0000-0000-00005F0F0000}"/>
    <cellStyle name="ItemTypeClass 2 2 4 3 4 5" xfId="10272" xr:uid="{00000000-0005-0000-0000-0000600F0000}"/>
    <cellStyle name="ItemTypeClass 2 2 4 3 4 6" xfId="10273" xr:uid="{00000000-0005-0000-0000-0000610F0000}"/>
    <cellStyle name="ItemTypeClass 2 2 4 3 5" xfId="10274" xr:uid="{00000000-0005-0000-0000-0000620F0000}"/>
    <cellStyle name="ItemTypeClass 2 2 4 3 6" xfId="10275" xr:uid="{00000000-0005-0000-0000-0000630F0000}"/>
    <cellStyle name="ItemTypeClass 2 2 4 3 7" xfId="10276" xr:uid="{00000000-0005-0000-0000-0000640F0000}"/>
    <cellStyle name="ItemTypeClass 2 2 4 3 8" xfId="10277" xr:uid="{00000000-0005-0000-0000-0000650F0000}"/>
    <cellStyle name="ItemTypeClass 2 2 4 3 9" xfId="10278" xr:uid="{00000000-0005-0000-0000-0000660F0000}"/>
    <cellStyle name="ItemTypeClass 2 2 4 4" xfId="10279" xr:uid="{00000000-0005-0000-0000-0000670F0000}"/>
    <cellStyle name="ItemTypeClass 2 2 4 4 10" xfId="10280" xr:uid="{00000000-0005-0000-0000-0000680F0000}"/>
    <cellStyle name="ItemTypeClass 2 2 4 4 11" xfId="10281" xr:uid="{00000000-0005-0000-0000-0000690F0000}"/>
    <cellStyle name="ItemTypeClass 2 2 4 4 12" xfId="10282" xr:uid="{00000000-0005-0000-0000-00006A0F0000}"/>
    <cellStyle name="ItemTypeClass 2 2 4 4 2" xfId="10283" xr:uid="{00000000-0005-0000-0000-00006B0F0000}"/>
    <cellStyle name="ItemTypeClass 2 2 4 4 2 2" xfId="10284" xr:uid="{00000000-0005-0000-0000-00006C0F0000}"/>
    <cellStyle name="ItemTypeClass 2 2 4 4 2 3" xfId="10285" xr:uid="{00000000-0005-0000-0000-00006D0F0000}"/>
    <cellStyle name="ItemTypeClass 2 2 4 4 2 4" xfId="10286" xr:uid="{00000000-0005-0000-0000-00006E0F0000}"/>
    <cellStyle name="ItemTypeClass 2 2 4 4 2 5" xfId="10287" xr:uid="{00000000-0005-0000-0000-00006F0F0000}"/>
    <cellStyle name="ItemTypeClass 2 2 4 4 3" xfId="10288" xr:uid="{00000000-0005-0000-0000-0000700F0000}"/>
    <cellStyle name="ItemTypeClass 2 2 4 4 3 2" xfId="10289" xr:uid="{00000000-0005-0000-0000-0000710F0000}"/>
    <cellStyle name="ItemTypeClass 2 2 4 4 3 3" xfId="10290" xr:uid="{00000000-0005-0000-0000-0000720F0000}"/>
    <cellStyle name="ItemTypeClass 2 2 4 4 3 4" xfId="10291" xr:uid="{00000000-0005-0000-0000-0000730F0000}"/>
    <cellStyle name="ItemTypeClass 2 2 4 4 3 5" xfId="10292" xr:uid="{00000000-0005-0000-0000-0000740F0000}"/>
    <cellStyle name="ItemTypeClass 2 2 4 4 3 6" xfId="10293" xr:uid="{00000000-0005-0000-0000-0000750F0000}"/>
    <cellStyle name="ItemTypeClass 2 2 4 4 4" xfId="10294" xr:uid="{00000000-0005-0000-0000-0000760F0000}"/>
    <cellStyle name="ItemTypeClass 2 2 4 4 4 2" xfId="10295" xr:uid="{00000000-0005-0000-0000-0000770F0000}"/>
    <cellStyle name="ItemTypeClass 2 2 4 4 4 3" xfId="10296" xr:uid="{00000000-0005-0000-0000-0000780F0000}"/>
    <cellStyle name="ItemTypeClass 2 2 4 4 4 4" xfId="10297" xr:uid="{00000000-0005-0000-0000-0000790F0000}"/>
    <cellStyle name="ItemTypeClass 2 2 4 4 4 5" xfId="10298" xr:uid="{00000000-0005-0000-0000-00007A0F0000}"/>
    <cellStyle name="ItemTypeClass 2 2 4 4 4 6" xfId="10299" xr:uid="{00000000-0005-0000-0000-00007B0F0000}"/>
    <cellStyle name="ItemTypeClass 2 2 4 4 5" xfId="10300" xr:uid="{00000000-0005-0000-0000-00007C0F0000}"/>
    <cellStyle name="ItemTypeClass 2 2 4 4 6" xfId="10301" xr:uid="{00000000-0005-0000-0000-00007D0F0000}"/>
    <cellStyle name="ItemTypeClass 2 2 4 4 7" xfId="10302" xr:uid="{00000000-0005-0000-0000-00007E0F0000}"/>
    <cellStyle name="ItemTypeClass 2 2 4 4 8" xfId="10303" xr:uid="{00000000-0005-0000-0000-00007F0F0000}"/>
    <cellStyle name="ItemTypeClass 2 2 4 4 9" xfId="10304" xr:uid="{00000000-0005-0000-0000-0000800F0000}"/>
    <cellStyle name="ItemTypeClass 2 2 4 5" xfId="10305" xr:uid="{00000000-0005-0000-0000-0000810F0000}"/>
    <cellStyle name="ItemTypeClass 2 2 4 5 2" xfId="10306" xr:uid="{00000000-0005-0000-0000-0000820F0000}"/>
    <cellStyle name="ItemTypeClass 2 2 4 5 3" xfId="10307" xr:uid="{00000000-0005-0000-0000-0000830F0000}"/>
    <cellStyle name="ItemTypeClass 2 2 4 5 4" xfId="10308" xr:uid="{00000000-0005-0000-0000-0000840F0000}"/>
    <cellStyle name="ItemTypeClass 2 2 4 5 5" xfId="10309" xr:uid="{00000000-0005-0000-0000-0000850F0000}"/>
    <cellStyle name="ItemTypeClass 2 2 4 6" xfId="10310" xr:uid="{00000000-0005-0000-0000-0000860F0000}"/>
    <cellStyle name="ItemTypeClass 2 2 4 6 2" xfId="10311" xr:uid="{00000000-0005-0000-0000-0000870F0000}"/>
    <cellStyle name="ItemTypeClass 2 2 4 6 3" xfId="10312" xr:uid="{00000000-0005-0000-0000-0000880F0000}"/>
    <cellStyle name="ItemTypeClass 2 2 4 6 4" xfId="10313" xr:uid="{00000000-0005-0000-0000-0000890F0000}"/>
    <cellStyle name="ItemTypeClass 2 2 4 6 5" xfId="10314" xr:uid="{00000000-0005-0000-0000-00008A0F0000}"/>
    <cellStyle name="ItemTypeClass 2 2 4 6 6" xfId="10315" xr:uid="{00000000-0005-0000-0000-00008B0F0000}"/>
    <cellStyle name="ItemTypeClass 2 2 4 7" xfId="10316" xr:uid="{00000000-0005-0000-0000-00008C0F0000}"/>
    <cellStyle name="ItemTypeClass 2 2 4 7 2" xfId="10317" xr:uid="{00000000-0005-0000-0000-00008D0F0000}"/>
    <cellStyle name="ItemTypeClass 2 2 4 7 3" xfId="10318" xr:uid="{00000000-0005-0000-0000-00008E0F0000}"/>
    <cellStyle name="ItemTypeClass 2 2 4 7 4" xfId="10319" xr:uid="{00000000-0005-0000-0000-00008F0F0000}"/>
    <cellStyle name="ItemTypeClass 2 2 4 7 5" xfId="10320" xr:uid="{00000000-0005-0000-0000-0000900F0000}"/>
    <cellStyle name="ItemTypeClass 2 2 4 7 6" xfId="10321" xr:uid="{00000000-0005-0000-0000-0000910F0000}"/>
    <cellStyle name="ItemTypeClass 2 2 4 8" xfId="10322" xr:uid="{00000000-0005-0000-0000-0000920F0000}"/>
    <cellStyle name="ItemTypeClass 2 2 4 9" xfId="10323" xr:uid="{00000000-0005-0000-0000-0000930F0000}"/>
    <cellStyle name="ItemTypeClass 2 2 5" xfId="10324" xr:uid="{00000000-0005-0000-0000-0000940F0000}"/>
    <cellStyle name="ItemTypeClass 2 2 5 10" xfId="10325" xr:uid="{00000000-0005-0000-0000-0000950F0000}"/>
    <cellStyle name="ItemTypeClass 2 2 5 11" xfId="10326" xr:uid="{00000000-0005-0000-0000-0000960F0000}"/>
    <cellStyle name="ItemTypeClass 2 2 5 12" xfId="10327" xr:uid="{00000000-0005-0000-0000-0000970F0000}"/>
    <cellStyle name="ItemTypeClass 2 2 5 2" xfId="10328" xr:uid="{00000000-0005-0000-0000-0000980F0000}"/>
    <cellStyle name="ItemTypeClass 2 2 5 2 2" xfId="10329" xr:uid="{00000000-0005-0000-0000-0000990F0000}"/>
    <cellStyle name="ItemTypeClass 2 2 5 2 3" xfId="10330" xr:uid="{00000000-0005-0000-0000-00009A0F0000}"/>
    <cellStyle name="ItemTypeClass 2 2 5 2 4" xfId="10331" xr:uid="{00000000-0005-0000-0000-00009B0F0000}"/>
    <cellStyle name="ItemTypeClass 2 2 5 2 5" xfId="10332" xr:uid="{00000000-0005-0000-0000-00009C0F0000}"/>
    <cellStyle name="ItemTypeClass 2 2 5 3" xfId="10333" xr:uid="{00000000-0005-0000-0000-00009D0F0000}"/>
    <cellStyle name="ItemTypeClass 2 2 5 3 2" xfId="10334" xr:uid="{00000000-0005-0000-0000-00009E0F0000}"/>
    <cellStyle name="ItemTypeClass 2 2 5 3 3" xfId="10335" xr:uid="{00000000-0005-0000-0000-00009F0F0000}"/>
    <cellStyle name="ItemTypeClass 2 2 5 3 4" xfId="10336" xr:uid="{00000000-0005-0000-0000-0000A00F0000}"/>
    <cellStyle name="ItemTypeClass 2 2 5 3 5" xfId="10337" xr:uid="{00000000-0005-0000-0000-0000A10F0000}"/>
    <cellStyle name="ItemTypeClass 2 2 5 3 6" xfId="10338" xr:uid="{00000000-0005-0000-0000-0000A20F0000}"/>
    <cellStyle name="ItemTypeClass 2 2 5 4" xfId="10339" xr:uid="{00000000-0005-0000-0000-0000A30F0000}"/>
    <cellStyle name="ItemTypeClass 2 2 5 4 2" xfId="10340" xr:uid="{00000000-0005-0000-0000-0000A40F0000}"/>
    <cellStyle name="ItemTypeClass 2 2 5 4 3" xfId="10341" xr:uid="{00000000-0005-0000-0000-0000A50F0000}"/>
    <cellStyle name="ItemTypeClass 2 2 5 4 4" xfId="10342" xr:uid="{00000000-0005-0000-0000-0000A60F0000}"/>
    <cellStyle name="ItemTypeClass 2 2 5 4 5" xfId="10343" xr:uid="{00000000-0005-0000-0000-0000A70F0000}"/>
    <cellStyle name="ItemTypeClass 2 2 5 4 6" xfId="10344" xr:uid="{00000000-0005-0000-0000-0000A80F0000}"/>
    <cellStyle name="ItemTypeClass 2 2 5 5" xfId="10345" xr:uid="{00000000-0005-0000-0000-0000A90F0000}"/>
    <cellStyle name="ItemTypeClass 2 2 5 6" xfId="10346" xr:uid="{00000000-0005-0000-0000-0000AA0F0000}"/>
    <cellStyle name="ItemTypeClass 2 2 5 7" xfId="10347" xr:uid="{00000000-0005-0000-0000-0000AB0F0000}"/>
    <cellStyle name="ItemTypeClass 2 2 5 8" xfId="10348" xr:uid="{00000000-0005-0000-0000-0000AC0F0000}"/>
    <cellStyle name="ItemTypeClass 2 2 5 9" xfId="10349" xr:uid="{00000000-0005-0000-0000-0000AD0F0000}"/>
    <cellStyle name="ItemTypeClass 2 2 6" xfId="10350" xr:uid="{00000000-0005-0000-0000-0000AE0F0000}"/>
    <cellStyle name="ItemTypeClass 2 2 6 10" xfId="10351" xr:uid="{00000000-0005-0000-0000-0000AF0F0000}"/>
    <cellStyle name="ItemTypeClass 2 2 6 11" xfId="10352" xr:uid="{00000000-0005-0000-0000-0000B00F0000}"/>
    <cellStyle name="ItemTypeClass 2 2 6 12" xfId="10353" xr:uid="{00000000-0005-0000-0000-0000B10F0000}"/>
    <cellStyle name="ItemTypeClass 2 2 6 2" xfId="10354" xr:uid="{00000000-0005-0000-0000-0000B20F0000}"/>
    <cellStyle name="ItemTypeClass 2 2 6 2 2" xfId="10355" xr:uid="{00000000-0005-0000-0000-0000B30F0000}"/>
    <cellStyle name="ItemTypeClass 2 2 6 2 3" xfId="10356" xr:uid="{00000000-0005-0000-0000-0000B40F0000}"/>
    <cellStyle name="ItemTypeClass 2 2 6 2 4" xfId="10357" xr:uid="{00000000-0005-0000-0000-0000B50F0000}"/>
    <cellStyle name="ItemTypeClass 2 2 6 2 5" xfId="10358" xr:uid="{00000000-0005-0000-0000-0000B60F0000}"/>
    <cellStyle name="ItemTypeClass 2 2 6 3" xfId="10359" xr:uid="{00000000-0005-0000-0000-0000B70F0000}"/>
    <cellStyle name="ItemTypeClass 2 2 6 3 2" xfId="10360" xr:uid="{00000000-0005-0000-0000-0000B80F0000}"/>
    <cellStyle name="ItemTypeClass 2 2 6 3 3" xfId="10361" xr:uid="{00000000-0005-0000-0000-0000B90F0000}"/>
    <cellStyle name="ItemTypeClass 2 2 6 3 4" xfId="10362" xr:uid="{00000000-0005-0000-0000-0000BA0F0000}"/>
    <cellStyle name="ItemTypeClass 2 2 6 3 5" xfId="10363" xr:uid="{00000000-0005-0000-0000-0000BB0F0000}"/>
    <cellStyle name="ItemTypeClass 2 2 6 3 6" xfId="10364" xr:uid="{00000000-0005-0000-0000-0000BC0F0000}"/>
    <cellStyle name="ItemTypeClass 2 2 6 4" xfId="10365" xr:uid="{00000000-0005-0000-0000-0000BD0F0000}"/>
    <cellStyle name="ItemTypeClass 2 2 6 4 2" xfId="10366" xr:uid="{00000000-0005-0000-0000-0000BE0F0000}"/>
    <cellStyle name="ItemTypeClass 2 2 6 4 3" xfId="10367" xr:uid="{00000000-0005-0000-0000-0000BF0F0000}"/>
    <cellStyle name="ItemTypeClass 2 2 6 4 4" xfId="10368" xr:uid="{00000000-0005-0000-0000-0000C00F0000}"/>
    <cellStyle name="ItemTypeClass 2 2 6 4 5" xfId="10369" xr:uid="{00000000-0005-0000-0000-0000C10F0000}"/>
    <cellStyle name="ItemTypeClass 2 2 6 4 6" xfId="10370" xr:uid="{00000000-0005-0000-0000-0000C20F0000}"/>
    <cellStyle name="ItemTypeClass 2 2 6 5" xfId="10371" xr:uid="{00000000-0005-0000-0000-0000C30F0000}"/>
    <cellStyle name="ItemTypeClass 2 2 6 6" xfId="10372" xr:uid="{00000000-0005-0000-0000-0000C40F0000}"/>
    <cellStyle name="ItemTypeClass 2 2 6 7" xfId="10373" xr:uid="{00000000-0005-0000-0000-0000C50F0000}"/>
    <cellStyle name="ItemTypeClass 2 2 6 8" xfId="10374" xr:uid="{00000000-0005-0000-0000-0000C60F0000}"/>
    <cellStyle name="ItemTypeClass 2 2 6 9" xfId="10375" xr:uid="{00000000-0005-0000-0000-0000C70F0000}"/>
    <cellStyle name="ItemTypeClass 2 2 7" xfId="10376" xr:uid="{00000000-0005-0000-0000-0000C80F0000}"/>
    <cellStyle name="ItemTypeClass 2 2 7 10" xfId="10377" xr:uid="{00000000-0005-0000-0000-0000C90F0000}"/>
    <cellStyle name="ItemTypeClass 2 2 7 11" xfId="10378" xr:uid="{00000000-0005-0000-0000-0000CA0F0000}"/>
    <cellStyle name="ItemTypeClass 2 2 7 12" xfId="10379" xr:uid="{00000000-0005-0000-0000-0000CB0F0000}"/>
    <cellStyle name="ItemTypeClass 2 2 7 2" xfId="10380" xr:uid="{00000000-0005-0000-0000-0000CC0F0000}"/>
    <cellStyle name="ItemTypeClass 2 2 7 2 2" xfId="10381" xr:uid="{00000000-0005-0000-0000-0000CD0F0000}"/>
    <cellStyle name="ItemTypeClass 2 2 7 2 3" xfId="10382" xr:uid="{00000000-0005-0000-0000-0000CE0F0000}"/>
    <cellStyle name="ItemTypeClass 2 2 7 2 4" xfId="10383" xr:uid="{00000000-0005-0000-0000-0000CF0F0000}"/>
    <cellStyle name="ItemTypeClass 2 2 7 2 5" xfId="10384" xr:uid="{00000000-0005-0000-0000-0000D00F0000}"/>
    <cellStyle name="ItemTypeClass 2 2 7 3" xfId="10385" xr:uid="{00000000-0005-0000-0000-0000D10F0000}"/>
    <cellStyle name="ItemTypeClass 2 2 7 3 2" xfId="10386" xr:uid="{00000000-0005-0000-0000-0000D20F0000}"/>
    <cellStyle name="ItemTypeClass 2 2 7 3 3" xfId="10387" xr:uid="{00000000-0005-0000-0000-0000D30F0000}"/>
    <cellStyle name="ItemTypeClass 2 2 7 3 4" xfId="10388" xr:uid="{00000000-0005-0000-0000-0000D40F0000}"/>
    <cellStyle name="ItemTypeClass 2 2 7 3 5" xfId="10389" xr:uid="{00000000-0005-0000-0000-0000D50F0000}"/>
    <cellStyle name="ItemTypeClass 2 2 7 3 6" xfId="10390" xr:uid="{00000000-0005-0000-0000-0000D60F0000}"/>
    <cellStyle name="ItemTypeClass 2 2 7 4" xfId="10391" xr:uid="{00000000-0005-0000-0000-0000D70F0000}"/>
    <cellStyle name="ItemTypeClass 2 2 7 4 2" xfId="10392" xr:uid="{00000000-0005-0000-0000-0000D80F0000}"/>
    <cellStyle name="ItemTypeClass 2 2 7 4 3" xfId="10393" xr:uid="{00000000-0005-0000-0000-0000D90F0000}"/>
    <cellStyle name="ItemTypeClass 2 2 7 4 4" xfId="10394" xr:uid="{00000000-0005-0000-0000-0000DA0F0000}"/>
    <cellStyle name="ItemTypeClass 2 2 7 4 5" xfId="10395" xr:uid="{00000000-0005-0000-0000-0000DB0F0000}"/>
    <cellStyle name="ItemTypeClass 2 2 7 4 6" xfId="10396" xr:uid="{00000000-0005-0000-0000-0000DC0F0000}"/>
    <cellStyle name="ItemTypeClass 2 2 7 5" xfId="10397" xr:uid="{00000000-0005-0000-0000-0000DD0F0000}"/>
    <cellStyle name="ItemTypeClass 2 2 7 6" xfId="10398" xr:uid="{00000000-0005-0000-0000-0000DE0F0000}"/>
    <cellStyle name="ItemTypeClass 2 2 7 7" xfId="10399" xr:uid="{00000000-0005-0000-0000-0000DF0F0000}"/>
    <cellStyle name="ItemTypeClass 2 2 7 8" xfId="10400" xr:uid="{00000000-0005-0000-0000-0000E00F0000}"/>
    <cellStyle name="ItemTypeClass 2 2 7 9" xfId="10401" xr:uid="{00000000-0005-0000-0000-0000E10F0000}"/>
    <cellStyle name="ItemTypeClass 2 2 8" xfId="10402" xr:uid="{00000000-0005-0000-0000-0000E20F0000}"/>
    <cellStyle name="ItemTypeClass 2 2 8 2" xfId="10403" xr:uid="{00000000-0005-0000-0000-0000E30F0000}"/>
    <cellStyle name="ItemTypeClass 2 2 8 3" xfId="10404" xr:uid="{00000000-0005-0000-0000-0000E40F0000}"/>
    <cellStyle name="ItemTypeClass 2 2 8 4" xfId="10405" xr:uid="{00000000-0005-0000-0000-0000E50F0000}"/>
    <cellStyle name="ItemTypeClass 2 2 8 5" xfId="10406" xr:uid="{00000000-0005-0000-0000-0000E60F0000}"/>
    <cellStyle name="ItemTypeClass 2 2 9" xfId="10407" xr:uid="{00000000-0005-0000-0000-0000E70F0000}"/>
    <cellStyle name="ItemTypeClass 2 2 9 2" xfId="10408" xr:uid="{00000000-0005-0000-0000-0000E80F0000}"/>
    <cellStyle name="ItemTypeClass 2 2 9 3" xfId="10409" xr:uid="{00000000-0005-0000-0000-0000E90F0000}"/>
    <cellStyle name="ItemTypeClass 2 2 9 4" xfId="10410" xr:uid="{00000000-0005-0000-0000-0000EA0F0000}"/>
    <cellStyle name="ItemTypeClass 2 2 9 5" xfId="10411" xr:uid="{00000000-0005-0000-0000-0000EB0F0000}"/>
    <cellStyle name="ItemTypeClass 2 2 9 6" xfId="10412" xr:uid="{00000000-0005-0000-0000-0000EC0F0000}"/>
    <cellStyle name="ItemTypeClass 2 20" xfId="10413" xr:uid="{00000000-0005-0000-0000-0000ED0F0000}"/>
    <cellStyle name="ItemTypeClass 2 21" xfId="10414" xr:uid="{00000000-0005-0000-0000-0000EE0F0000}"/>
    <cellStyle name="ItemTypeClass 2 3" xfId="10415" xr:uid="{00000000-0005-0000-0000-0000EF0F0000}"/>
    <cellStyle name="ItemTypeClass 2 3 10" xfId="10416" xr:uid="{00000000-0005-0000-0000-0000F00F0000}"/>
    <cellStyle name="ItemTypeClass 2 3 10 2" xfId="10417" xr:uid="{00000000-0005-0000-0000-0000F10F0000}"/>
    <cellStyle name="ItemTypeClass 2 3 10 3" xfId="10418" xr:uid="{00000000-0005-0000-0000-0000F20F0000}"/>
    <cellStyle name="ItemTypeClass 2 3 10 4" xfId="10419" xr:uid="{00000000-0005-0000-0000-0000F30F0000}"/>
    <cellStyle name="ItemTypeClass 2 3 10 5" xfId="10420" xr:uid="{00000000-0005-0000-0000-0000F40F0000}"/>
    <cellStyle name="ItemTypeClass 2 3 10 6" xfId="10421" xr:uid="{00000000-0005-0000-0000-0000F50F0000}"/>
    <cellStyle name="ItemTypeClass 2 3 11" xfId="10422" xr:uid="{00000000-0005-0000-0000-0000F60F0000}"/>
    <cellStyle name="ItemTypeClass 2 3 12" xfId="10423" xr:uid="{00000000-0005-0000-0000-0000F70F0000}"/>
    <cellStyle name="ItemTypeClass 2 3 13" xfId="10424" xr:uid="{00000000-0005-0000-0000-0000F80F0000}"/>
    <cellStyle name="ItemTypeClass 2 3 14" xfId="10425" xr:uid="{00000000-0005-0000-0000-0000F90F0000}"/>
    <cellStyle name="ItemTypeClass 2 3 15" xfId="10426" xr:uid="{00000000-0005-0000-0000-0000FA0F0000}"/>
    <cellStyle name="ItemTypeClass 2 3 16" xfId="10427" xr:uid="{00000000-0005-0000-0000-0000FB0F0000}"/>
    <cellStyle name="ItemTypeClass 2 3 17" xfId="10428" xr:uid="{00000000-0005-0000-0000-0000FC0F0000}"/>
    <cellStyle name="ItemTypeClass 2 3 18" xfId="10429" xr:uid="{00000000-0005-0000-0000-0000FD0F0000}"/>
    <cellStyle name="ItemTypeClass 2 3 2" xfId="10430" xr:uid="{00000000-0005-0000-0000-0000FE0F0000}"/>
    <cellStyle name="ItemTypeClass 2 3 2 10" xfId="10431" xr:uid="{00000000-0005-0000-0000-0000FF0F0000}"/>
    <cellStyle name="ItemTypeClass 2 3 2 11" xfId="10432" xr:uid="{00000000-0005-0000-0000-000000100000}"/>
    <cellStyle name="ItemTypeClass 2 3 2 12" xfId="10433" xr:uid="{00000000-0005-0000-0000-000001100000}"/>
    <cellStyle name="ItemTypeClass 2 3 2 13" xfId="10434" xr:uid="{00000000-0005-0000-0000-000002100000}"/>
    <cellStyle name="ItemTypeClass 2 3 2 14" xfId="10435" xr:uid="{00000000-0005-0000-0000-000003100000}"/>
    <cellStyle name="ItemTypeClass 2 3 2 15" xfId="10436" xr:uid="{00000000-0005-0000-0000-000004100000}"/>
    <cellStyle name="ItemTypeClass 2 3 2 2" xfId="10437" xr:uid="{00000000-0005-0000-0000-000005100000}"/>
    <cellStyle name="ItemTypeClass 2 3 2 2 10" xfId="10438" xr:uid="{00000000-0005-0000-0000-000006100000}"/>
    <cellStyle name="ItemTypeClass 2 3 2 2 11" xfId="10439" xr:uid="{00000000-0005-0000-0000-000007100000}"/>
    <cellStyle name="ItemTypeClass 2 3 2 2 12" xfId="10440" xr:uid="{00000000-0005-0000-0000-000008100000}"/>
    <cellStyle name="ItemTypeClass 2 3 2 2 2" xfId="10441" xr:uid="{00000000-0005-0000-0000-000009100000}"/>
    <cellStyle name="ItemTypeClass 2 3 2 2 2 2" xfId="10442" xr:uid="{00000000-0005-0000-0000-00000A100000}"/>
    <cellStyle name="ItemTypeClass 2 3 2 2 2 3" xfId="10443" xr:uid="{00000000-0005-0000-0000-00000B100000}"/>
    <cellStyle name="ItemTypeClass 2 3 2 2 2 4" xfId="10444" xr:uid="{00000000-0005-0000-0000-00000C100000}"/>
    <cellStyle name="ItemTypeClass 2 3 2 2 2 5" xfId="10445" xr:uid="{00000000-0005-0000-0000-00000D100000}"/>
    <cellStyle name="ItemTypeClass 2 3 2 2 3" xfId="10446" xr:uid="{00000000-0005-0000-0000-00000E100000}"/>
    <cellStyle name="ItemTypeClass 2 3 2 2 3 2" xfId="10447" xr:uid="{00000000-0005-0000-0000-00000F100000}"/>
    <cellStyle name="ItemTypeClass 2 3 2 2 3 3" xfId="10448" xr:uid="{00000000-0005-0000-0000-000010100000}"/>
    <cellStyle name="ItemTypeClass 2 3 2 2 3 4" xfId="10449" xr:uid="{00000000-0005-0000-0000-000011100000}"/>
    <cellStyle name="ItemTypeClass 2 3 2 2 3 5" xfId="10450" xr:uid="{00000000-0005-0000-0000-000012100000}"/>
    <cellStyle name="ItemTypeClass 2 3 2 2 3 6" xfId="10451" xr:uid="{00000000-0005-0000-0000-000013100000}"/>
    <cellStyle name="ItemTypeClass 2 3 2 2 4" xfId="10452" xr:uid="{00000000-0005-0000-0000-000014100000}"/>
    <cellStyle name="ItemTypeClass 2 3 2 2 4 2" xfId="10453" xr:uid="{00000000-0005-0000-0000-000015100000}"/>
    <cellStyle name="ItemTypeClass 2 3 2 2 4 3" xfId="10454" xr:uid="{00000000-0005-0000-0000-000016100000}"/>
    <cellStyle name="ItemTypeClass 2 3 2 2 4 4" xfId="10455" xr:uid="{00000000-0005-0000-0000-000017100000}"/>
    <cellStyle name="ItemTypeClass 2 3 2 2 4 5" xfId="10456" xr:uid="{00000000-0005-0000-0000-000018100000}"/>
    <cellStyle name="ItemTypeClass 2 3 2 2 4 6" xfId="10457" xr:uid="{00000000-0005-0000-0000-000019100000}"/>
    <cellStyle name="ItemTypeClass 2 3 2 2 5" xfId="10458" xr:uid="{00000000-0005-0000-0000-00001A100000}"/>
    <cellStyle name="ItemTypeClass 2 3 2 2 6" xfId="10459" xr:uid="{00000000-0005-0000-0000-00001B100000}"/>
    <cellStyle name="ItemTypeClass 2 3 2 2 7" xfId="10460" xr:uid="{00000000-0005-0000-0000-00001C100000}"/>
    <cellStyle name="ItemTypeClass 2 3 2 2 8" xfId="10461" xr:uid="{00000000-0005-0000-0000-00001D100000}"/>
    <cellStyle name="ItemTypeClass 2 3 2 2 9" xfId="10462" xr:uid="{00000000-0005-0000-0000-00001E100000}"/>
    <cellStyle name="ItemTypeClass 2 3 2 3" xfId="10463" xr:uid="{00000000-0005-0000-0000-00001F100000}"/>
    <cellStyle name="ItemTypeClass 2 3 2 3 10" xfId="10464" xr:uid="{00000000-0005-0000-0000-000020100000}"/>
    <cellStyle name="ItemTypeClass 2 3 2 3 11" xfId="10465" xr:uid="{00000000-0005-0000-0000-000021100000}"/>
    <cellStyle name="ItemTypeClass 2 3 2 3 12" xfId="10466" xr:uid="{00000000-0005-0000-0000-000022100000}"/>
    <cellStyle name="ItemTypeClass 2 3 2 3 2" xfId="10467" xr:uid="{00000000-0005-0000-0000-000023100000}"/>
    <cellStyle name="ItemTypeClass 2 3 2 3 2 2" xfId="10468" xr:uid="{00000000-0005-0000-0000-000024100000}"/>
    <cellStyle name="ItemTypeClass 2 3 2 3 2 3" xfId="10469" xr:uid="{00000000-0005-0000-0000-000025100000}"/>
    <cellStyle name="ItemTypeClass 2 3 2 3 2 4" xfId="10470" xr:uid="{00000000-0005-0000-0000-000026100000}"/>
    <cellStyle name="ItemTypeClass 2 3 2 3 2 5" xfId="10471" xr:uid="{00000000-0005-0000-0000-000027100000}"/>
    <cellStyle name="ItemTypeClass 2 3 2 3 3" xfId="10472" xr:uid="{00000000-0005-0000-0000-000028100000}"/>
    <cellStyle name="ItemTypeClass 2 3 2 3 3 2" xfId="10473" xr:uid="{00000000-0005-0000-0000-000029100000}"/>
    <cellStyle name="ItemTypeClass 2 3 2 3 3 3" xfId="10474" xr:uid="{00000000-0005-0000-0000-00002A100000}"/>
    <cellStyle name="ItemTypeClass 2 3 2 3 3 4" xfId="10475" xr:uid="{00000000-0005-0000-0000-00002B100000}"/>
    <cellStyle name="ItemTypeClass 2 3 2 3 3 5" xfId="10476" xr:uid="{00000000-0005-0000-0000-00002C100000}"/>
    <cellStyle name="ItemTypeClass 2 3 2 3 3 6" xfId="10477" xr:uid="{00000000-0005-0000-0000-00002D100000}"/>
    <cellStyle name="ItemTypeClass 2 3 2 3 4" xfId="10478" xr:uid="{00000000-0005-0000-0000-00002E100000}"/>
    <cellStyle name="ItemTypeClass 2 3 2 3 4 2" xfId="10479" xr:uid="{00000000-0005-0000-0000-00002F100000}"/>
    <cellStyle name="ItemTypeClass 2 3 2 3 4 3" xfId="10480" xr:uid="{00000000-0005-0000-0000-000030100000}"/>
    <cellStyle name="ItemTypeClass 2 3 2 3 4 4" xfId="10481" xr:uid="{00000000-0005-0000-0000-000031100000}"/>
    <cellStyle name="ItemTypeClass 2 3 2 3 4 5" xfId="10482" xr:uid="{00000000-0005-0000-0000-000032100000}"/>
    <cellStyle name="ItemTypeClass 2 3 2 3 4 6" xfId="10483" xr:uid="{00000000-0005-0000-0000-000033100000}"/>
    <cellStyle name="ItemTypeClass 2 3 2 3 5" xfId="10484" xr:uid="{00000000-0005-0000-0000-000034100000}"/>
    <cellStyle name="ItemTypeClass 2 3 2 3 6" xfId="10485" xr:uid="{00000000-0005-0000-0000-000035100000}"/>
    <cellStyle name="ItemTypeClass 2 3 2 3 7" xfId="10486" xr:uid="{00000000-0005-0000-0000-000036100000}"/>
    <cellStyle name="ItemTypeClass 2 3 2 3 8" xfId="10487" xr:uid="{00000000-0005-0000-0000-000037100000}"/>
    <cellStyle name="ItemTypeClass 2 3 2 3 9" xfId="10488" xr:uid="{00000000-0005-0000-0000-000038100000}"/>
    <cellStyle name="ItemTypeClass 2 3 2 4" xfId="10489" xr:uid="{00000000-0005-0000-0000-000039100000}"/>
    <cellStyle name="ItemTypeClass 2 3 2 4 10" xfId="10490" xr:uid="{00000000-0005-0000-0000-00003A100000}"/>
    <cellStyle name="ItemTypeClass 2 3 2 4 11" xfId="10491" xr:uid="{00000000-0005-0000-0000-00003B100000}"/>
    <cellStyle name="ItemTypeClass 2 3 2 4 12" xfId="10492" xr:uid="{00000000-0005-0000-0000-00003C100000}"/>
    <cellStyle name="ItemTypeClass 2 3 2 4 2" xfId="10493" xr:uid="{00000000-0005-0000-0000-00003D100000}"/>
    <cellStyle name="ItemTypeClass 2 3 2 4 2 2" xfId="10494" xr:uid="{00000000-0005-0000-0000-00003E100000}"/>
    <cellStyle name="ItemTypeClass 2 3 2 4 2 3" xfId="10495" xr:uid="{00000000-0005-0000-0000-00003F100000}"/>
    <cellStyle name="ItemTypeClass 2 3 2 4 2 4" xfId="10496" xr:uid="{00000000-0005-0000-0000-000040100000}"/>
    <cellStyle name="ItemTypeClass 2 3 2 4 2 5" xfId="10497" xr:uid="{00000000-0005-0000-0000-000041100000}"/>
    <cellStyle name="ItemTypeClass 2 3 2 4 3" xfId="10498" xr:uid="{00000000-0005-0000-0000-000042100000}"/>
    <cellStyle name="ItemTypeClass 2 3 2 4 3 2" xfId="10499" xr:uid="{00000000-0005-0000-0000-000043100000}"/>
    <cellStyle name="ItemTypeClass 2 3 2 4 3 3" xfId="10500" xr:uid="{00000000-0005-0000-0000-000044100000}"/>
    <cellStyle name="ItemTypeClass 2 3 2 4 3 4" xfId="10501" xr:uid="{00000000-0005-0000-0000-000045100000}"/>
    <cellStyle name="ItemTypeClass 2 3 2 4 3 5" xfId="10502" xr:uid="{00000000-0005-0000-0000-000046100000}"/>
    <cellStyle name="ItemTypeClass 2 3 2 4 3 6" xfId="10503" xr:uid="{00000000-0005-0000-0000-000047100000}"/>
    <cellStyle name="ItemTypeClass 2 3 2 4 4" xfId="10504" xr:uid="{00000000-0005-0000-0000-000048100000}"/>
    <cellStyle name="ItemTypeClass 2 3 2 4 4 2" xfId="10505" xr:uid="{00000000-0005-0000-0000-000049100000}"/>
    <cellStyle name="ItemTypeClass 2 3 2 4 4 3" xfId="10506" xr:uid="{00000000-0005-0000-0000-00004A100000}"/>
    <cellStyle name="ItemTypeClass 2 3 2 4 4 4" xfId="10507" xr:uid="{00000000-0005-0000-0000-00004B100000}"/>
    <cellStyle name="ItemTypeClass 2 3 2 4 4 5" xfId="10508" xr:uid="{00000000-0005-0000-0000-00004C100000}"/>
    <cellStyle name="ItemTypeClass 2 3 2 4 4 6" xfId="10509" xr:uid="{00000000-0005-0000-0000-00004D100000}"/>
    <cellStyle name="ItemTypeClass 2 3 2 4 5" xfId="10510" xr:uid="{00000000-0005-0000-0000-00004E100000}"/>
    <cellStyle name="ItemTypeClass 2 3 2 4 6" xfId="10511" xr:uid="{00000000-0005-0000-0000-00004F100000}"/>
    <cellStyle name="ItemTypeClass 2 3 2 4 7" xfId="10512" xr:uid="{00000000-0005-0000-0000-000050100000}"/>
    <cellStyle name="ItemTypeClass 2 3 2 4 8" xfId="10513" xr:uid="{00000000-0005-0000-0000-000051100000}"/>
    <cellStyle name="ItemTypeClass 2 3 2 4 9" xfId="10514" xr:uid="{00000000-0005-0000-0000-000052100000}"/>
    <cellStyle name="ItemTypeClass 2 3 2 5" xfId="10515" xr:uid="{00000000-0005-0000-0000-000053100000}"/>
    <cellStyle name="ItemTypeClass 2 3 2 5 2" xfId="10516" xr:uid="{00000000-0005-0000-0000-000054100000}"/>
    <cellStyle name="ItemTypeClass 2 3 2 5 3" xfId="10517" xr:uid="{00000000-0005-0000-0000-000055100000}"/>
    <cellStyle name="ItemTypeClass 2 3 2 5 4" xfId="10518" xr:uid="{00000000-0005-0000-0000-000056100000}"/>
    <cellStyle name="ItemTypeClass 2 3 2 5 5" xfId="10519" xr:uid="{00000000-0005-0000-0000-000057100000}"/>
    <cellStyle name="ItemTypeClass 2 3 2 6" xfId="10520" xr:uid="{00000000-0005-0000-0000-000058100000}"/>
    <cellStyle name="ItemTypeClass 2 3 2 6 2" xfId="10521" xr:uid="{00000000-0005-0000-0000-000059100000}"/>
    <cellStyle name="ItemTypeClass 2 3 2 6 3" xfId="10522" xr:uid="{00000000-0005-0000-0000-00005A100000}"/>
    <cellStyle name="ItemTypeClass 2 3 2 6 4" xfId="10523" xr:uid="{00000000-0005-0000-0000-00005B100000}"/>
    <cellStyle name="ItemTypeClass 2 3 2 6 5" xfId="10524" xr:uid="{00000000-0005-0000-0000-00005C100000}"/>
    <cellStyle name="ItemTypeClass 2 3 2 6 6" xfId="10525" xr:uid="{00000000-0005-0000-0000-00005D100000}"/>
    <cellStyle name="ItemTypeClass 2 3 2 7" xfId="10526" xr:uid="{00000000-0005-0000-0000-00005E100000}"/>
    <cellStyle name="ItemTypeClass 2 3 2 7 2" xfId="10527" xr:uid="{00000000-0005-0000-0000-00005F100000}"/>
    <cellStyle name="ItemTypeClass 2 3 2 7 3" xfId="10528" xr:uid="{00000000-0005-0000-0000-000060100000}"/>
    <cellStyle name="ItemTypeClass 2 3 2 7 4" xfId="10529" xr:uid="{00000000-0005-0000-0000-000061100000}"/>
    <cellStyle name="ItemTypeClass 2 3 2 7 5" xfId="10530" xr:uid="{00000000-0005-0000-0000-000062100000}"/>
    <cellStyle name="ItemTypeClass 2 3 2 7 6" xfId="10531" xr:uid="{00000000-0005-0000-0000-000063100000}"/>
    <cellStyle name="ItemTypeClass 2 3 2 8" xfId="10532" xr:uid="{00000000-0005-0000-0000-000064100000}"/>
    <cellStyle name="ItemTypeClass 2 3 2 9" xfId="10533" xr:uid="{00000000-0005-0000-0000-000065100000}"/>
    <cellStyle name="ItemTypeClass 2 3 3" xfId="10534" xr:uid="{00000000-0005-0000-0000-000066100000}"/>
    <cellStyle name="ItemTypeClass 2 3 3 10" xfId="10535" xr:uid="{00000000-0005-0000-0000-000067100000}"/>
    <cellStyle name="ItemTypeClass 2 3 3 11" xfId="10536" xr:uid="{00000000-0005-0000-0000-000068100000}"/>
    <cellStyle name="ItemTypeClass 2 3 3 12" xfId="10537" xr:uid="{00000000-0005-0000-0000-000069100000}"/>
    <cellStyle name="ItemTypeClass 2 3 3 13" xfId="10538" xr:uid="{00000000-0005-0000-0000-00006A100000}"/>
    <cellStyle name="ItemTypeClass 2 3 3 14" xfId="10539" xr:uid="{00000000-0005-0000-0000-00006B100000}"/>
    <cellStyle name="ItemTypeClass 2 3 3 15" xfId="10540" xr:uid="{00000000-0005-0000-0000-00006C100000}"/>
    <cellStyle name="ItemTypeClass 2 3 3 2" xfId="10541" xr:uid="{00000000-0005-0000-0000-00006D100000}"/>
    <cellStyle name="ItemTypeClass 2 3 3 2 10" xfId="10542" xr:uid="{00000000-0005-0000-0000-00006E100000}"/>
    <cellStyle name="ItemTypeClass 2 3 3 2 11" xfId="10543" xr:uid="{00000000-0005-0000-0000-00006F100000}"/>
    <cellStyle name="ItemTypeClass 2 3 3 2 12" xfId="10544" xr:uid="{00000000-0005-0000-0000-000070100000}"/>
    <cellStyle name="ItemTypeClass 2 3 3 2 2" xfId="10545" xr:uid="{00000000-0005-0000-0000-000071100000}"/>
    <cellStyle name="ItemTypeClass 2 3 3 2 2 2" xfId="10546" xr:uid="{00000000-0005-0000-0000-000072100000}"/>
    <cellStyle name="ItemTypeClass 2 3 3 2 2 3" xfId="10547" xr:uid="{00000000-0005-0000-0000-000073100000}"/>
    <cellStyle name="ItemTypeClass 2 3 3 2 2 4" xfId="10548" xr:uid="{00000000-0005-0000-0000-000074100000}"/>
    <cellStyle name="ItemTypeClass 2 3 3 2 2 5" xfId="10549" xr:uid="{00000000-0005-0000-0000-000075100000}"/>
    <cellStyle name="ItemTypeClass 2 3 3 2 3" xfId="10550" xr:uid="{00000000-0005-0000-0000-000076100000}"/>
    <cellStyle name="ItemTypeClass 2 3 3 2 3 2" xfId="10551" xr:uid="{00000000-0005-0000-0000-000077100000}"/>
    <cellStyle name="ItemTypeClass 2 3 3 2 3 3" xfId="10552" xr:uid="{00000000-0005-0000-0000-000078100000}"/>
    <cellStyle name="ItemTypeClass 2 3 3 2 3 4" xfId="10553" xr:uid="{00000000-0005-0000-0000-000079100000}"/>
    <cellStyle name="ItemTypeClass 2 3 3 2 3 5" xfId="10554" xr:uid="{00000000-0005-0000-0000-00007A100000}"/>
    <cellStyle name="ItemTypeClass 2 3 3 2 3 6" xfId="10555" xr:uid="{00000000-0005-0000-0000-00007B100000}"/>
    <cellStyle name="ItemTypeClass 2 3 3 2 4" xfId="10556" xr:uid="{00000000-0005-0000-0000-00007C100000}"/>
    <cellStyle name="ItemTypeClass 2 3 3 2 4 2" xfId="10557" xr:uid="{00000000-0005-0000-0000-00007D100000}"/>
    <cellStyle name="ItemTypeClass 2 3 3 2 4 3" xfId="10558" xr:uid="{00000000-0005-0000-0000-00007E100000}"/>
    <cellStyle name="ItemTypeClass 2 3 3 2 4 4" xfId="10559" xr:uid="{00000000-0005-0000-0000-00007F100000}"/>
    <cellStyle name="ItemTypeClass 2 3 3 2 4 5" xfId="10560" xr:uid="{00000000-0005-0000-0000-000080100000}"/>
    <cellStyle name="ItemTypeClass 2 3 3 2 4 6" xfId="10561" xr:uid="{00000000-0005-0000-0000-000081100000}"/>
    <cellStyle name="ItemTypeClass 2 3 3 2 5" xfId="10562" xr:uid="{00000000-0005-0000-0000-000082100000}"/>
    <cellStyle name="ItemTypeClass 2 3 3 2 6" xfId="10563" xr:uid="{00000000-0005-0000-0000-000083100000}"/>
    <cellStyle name="ItemTypeClass 2 3 3 2 7" xfId="10564" xr:uid="{00000000-0005-0000-0000-000084100000}"/>
    <cellStyle name="ItemTypeClass 2 3 3 2 8" xfId="10565" xr:uid="{00000000-0005-0000-0000-000085100000}"/>
    <cellStyle name="ItemTypeClass 2 3 3 2 9" xfId="10566" xr:uid="{00000000-0005-0000-0000-000086100000}"/>
    <cellStyle name="ItemTypeClass 2 3 3 3" xfId="10567" xr:uid="{00000000-0005-0000-0000-000087100000}"/>
    <cellStyle name="ItemTypeClass 2 3 3 3 10" xfId="10568" xr:uid="{00000000-0005-0000-0000-000088100000}"/>
    <cellStyle name="ItemTypeClass 2 3 3 3 11" xfId="10569" xr:uid="{00000000-0005-0000-0000-000089100000}"/>
    <cellStyle name="ItemTypeClass 2 3 3 3 12" xfId="10570" xr:uid="{00000000-0005-0000-0000-00008A100000}"/>
    <cellStyle name="ItemTypeClass 2 3 3 3 2" xfId="10571" xr:uid="{00000000-0005-0000-0000-00008B100000}"/>
    <cellStyle name="ItemTypeClass 2 3 3 3 2 2" xfId="10572" xr:uid="{00000000-0005-0000-0000-00008C100000}"/>
    <cellStyle name="ItemTypeClass 2 3 3 3 2 3" xfId="10573" xr:uid="{00000000-0005-0000-0000-00008D100000}"/>
    <cellStyle name="ItemTypeClass 2 3 3 3 2 4" xfId="10574" xr:uid="{00000000-0005-0000-0000-00008E100000}"/>
    <cellStyle name="ItemTypeClass 2 3 3 3 2 5" xfId="10575" xr:uid="{00000000-0005-0000-0000-00008F100000}"/>
    <cellStyle name="ItemTypeClass 2 3 3 3 3" xfId="10576" xr:uid="{00000000-0005-0000-0000-000090100000}"/>
    <cellStyle name="ItemTypeClass 2 3 3 3 3 2" xfId="10577" xr:uid="{00000000-0005-0000-0000-000091100000}"/>
    <cellStyle name="ItemTypeClass 2 3 3 3 3 3" xfId="10578" xr:uid="{00000000-0005-0000-0000-000092100000}"/>
    <cellStyle name="ItemTypeClass 2 3 3 3 3 4" xfId="10579" xr:uid="{00000000-0005-0000-0000-000093100000}"/>
    <cellStyle name="ItemTypeClass 2 3 3 3 3 5" xfId="10580" xr:uid="{00000000-0005-0000-0000-000094100000}"/>
    <cellStyle name="ItemTypeClass 2 3 3 3 3 6" xfId="10581" xr:uid="{00000000-0005-0000-0000-000095100000}"/>
    <cellStyle name="ItemTypeClass 2 3 3 3 4" xfId="10582" xr:uid="{00000000-0005-0000-0000-000096100000}"/>
    <cellStyle name="ItemTypeClass 2 3 3 3 4 2" xfId="10583" xr:uid="{00000000-0005-0000-0000-000097100000}"/>
    <cellStyle name="ItemTypeClass 2 3 3 3 4 3" xfId="10584" xr:uid="{00000000-0005-0000-0000-000098100000}"/>
    <cellStyle name="ItemTypeClass 2 3 3 3 4 4" xfId="10585" xr:uid="{00000000-0005-0000-0000-000099100000}"/>
    <cellStyle name="ItemTypeClass 2 3 3 3 4 5" xfId="10586" xr:uid="{00000000-0005-0000-0000-00009A100000}"/>
    <cellStyle name="ItemTypeClass 2 3 3 3 4 6" xfId="10587" xr:uid="{00000000-0005-0000-0000-00009B100000}"/>
    <cellStyle name="ItemTypeClass 2 3 3 3 5" xfId="10588" xr:uid="{00000000-0005-0000-0000-00009C100000}"/>
    <cellStyle name="ItemTypeClass 2 3 3 3 6" xfId="10589" xr:uid="{00000000-0005-0000-0000-00009D100000}"/>
    <cellStyle name="ItemTypeClass 2 3 3 3 7" xfId="10590" xr:uid="{00000000-0005-0000-0000-00009E100000}"/>
    <cellStyle name="ItemTypeClass 2 3 3 3 8" xfId="10591" xr:uid="{00000000-0005-0000-0000-00009F100000}"/>
    <cellStyle name="ItemTypeClass 2 3 3 3 9" xfId="10592" xr:uid="{00000000-0005-0000-0000-0000A0100000}"/>
    <cellStyle name="ItemTypeClass 2 3 3 4" xfId="10593" xr:uid="{00000000-0005-0000-0000-0000A1100000}"/>
    <cellStyle name="ItemTypeClass 2 3 3 4 10" xfId="10594" xr:uid="{00000000-0005-0000-0000-0000A2100000}"/>
    <cellStyle name="ItemTypeClass 2 3 3 4 11" xfId="10595" xr:uid="{00000000-0005-0000-0000-0000A3100000}"/>
    <cellStyle name="ItemTypeClass 2 3 3 4 12" xfId="10596" xr:uid="{00000000-0005-0000-0000-0000A4100000}"/>
    <cellStyle name="ItemTypeClass 2 3 3 4 2" xfId="10597" xr:uid="{00000000-0005-0000-0000-0000A5100000}"/>
    <cellStyle name="ItemTypeClass 2 3 3 4 2 2" xfId="10598" xr:uid="{00000000-0005-0000-0000-0000A6100000}"/>
    <cellStyle name="ItemTypeClass 2 3 3 4 2 3" xfId="10599" xr:uid="{00000000-0005-0000-0000-0000A7100000}"/>
    <cellStyle name="ItemTypeClass 2 3 3 4 2 4" xfId="10600" xr:uid="{00000000-0005-0000-0000-0000A8100000}"/>
    <cellStyle name="ItemTypeClass 2 3 3 4 2 5" xfId="10601" xr:uid="{00000000-0005-0000-0000-0000A9100000}"/>
    <cellStyle name="ItemTypeClass 2 3 3 4 3" xfId="10602" xr:uid="{00000000-0005-0000-0000-0000AA100000}"/>
    <cellStyle name="ItemTypeClass 2 3 3 4 3 2" xfId="10603" xr:uid="{00000000-0005-0000-0000-0000AB100000}"/>
    <cellStyle name="ItemTypeClass 2 3 3 4 3 3" xfId="10604" xr:uid="{00000000-0005-0000-0000-0000AC100000}"/>
    <cellStyle name="ItemTypeClass 2 3 3 4 3 4" xfId="10605" xr:uid="{00000000-0005-0000-0000-0000AD100000}"/>
    <cellStyle name="ItemTypeClass 2 3 3 4 3 5" xfId="10606" xr:uid="{00000000-0005-0000-0000-0000AE100000}"/>
    <cellStyle name="ItemTypeClass 2 3 3 4 3 6" xfId="10607" xr:uid="{00000000-0005-0000-0000-0000AF100000}"/>
    <cellStyle name="ItemTypeClass 2 3 3 4 4" xfId="10608" xr:uid="{00000000-0005-0000-0000-0000B0100000}"/>
    <cellStyle name="ItemTypeClass 2 3 3 4 4 2" xfId="10609" xr:uid="{00000000-0005-0000-0000-0000B1100000}"/>
    <cellStyle name="ItemTypeClass 2 3 3 4 4 3" xfId="10610" xr:uid="{00000000-0005-0000-0000-0000B2100000}"/>
    <cellStyle name="ItemTypeClass 2 3 3 4 4 4" xfId="10611" xr:uid="{00000000-0005-0000-0000-0000B3100000}"/>
    <cellStyle name="ItemTypeClass 2 3 3 4 4 5" xfId="10612" xr:uid="{00000000-0005-0000-0000-0000B4100000}"/>
    <cellStyle name="ItemTypeClass 2 3 3 4 4 6" xfId="10613" xr:uid="{00000000-0005-0000-0000-0000B5100000}"/>
    <cellStyle name="ItemTypeClass 2 3 3 4 5" xfId="10614" xr:uid="{00000000-0005-0000-0000-0000B6100000}"/>
    <cellStyle name="ItemTypeClass 2 3 3 4 6" xfId="10615" xr:uid="{00000000-0005-0000-0000-0000B7100000}"/>
    <cellStyle name="ItemTypeClass 2 3 3 4 7" xfId="10616" xr:uid="{00000000-0005-0000-0000-0000B8100000}"/>
    <cellStyle name="ItemTypeClass 2 3 3 4 8" xfId="10617" xr:uid="{00000000-0005-0000-0000-0000B9100000}"/>
    <cellStyle name="ItemTypeClass 2 3 3 4 9" xfId="10618" xr:uid="{00000000-0005-0000-0000-0000BA100000}"/>
    <cellStyle name="ItemTypeClass 2 3 3 5" xfId="10619" xr:uid="{00000000-0005-0000-0000-0000BB100000}"/>
    <cellStyle name="ItemTypeClass 2 3 3 5 2" xfId="10620" xr:uid="{00000000-0005-0000-0000-0000BC100000}"/>
    <cellStyle name="ItemTypeClass 2 3 3 5 3" xfId="10621" xr:uid="{00000000-0005-0000-0000-0000BD100000}"/>
    <cellStyle name="ItemTypeClass 2 3 3 5 4" xfId="10622" xr:uid="{00000000-0005-0000-0000-0000BE100000}"/>
    <cellStyle name="ItemTypeClass 2 3 3 5 5" xfId="10623" xr:uid="{00000000-0005-0000-0000-0000BF100000}"/>
    <cellStyle name="ItemTypeClass 2 3 3 6" xfId="10624" xr:uid="{00000000-0005-0000-0000-0000C0100000}"/>
    <cellStyle name="ItemTypeClass 2 3 3 6 2" xfId="10625" xr:uid="{00000000-0005-0000-0000-0000C1100000}"/>
    <cellStyle name="ItemTypeClass 2 3 3 6 3" xfId="10626" xr:uid="{00000000-0005-0000-0000-0000C2100000}"/>
    <cellStyle name="ItemTypeClass 2 3 3 6 4" xfId="10627" xr:uid="{00000000-0005-0000-0000-0000C3100000}"/>
    <cellStyle name="ItemTypeClass 2 3 3 6 5" xfId="10628" xr:uid="{00000000-0005-0000-0000-0000C4100000}"/>
    <cellStyle name="ItemTypeClass 2 3 3 6 6" xfId="10629" xr:uid="{00000000-0005-0000-0000-0000C5100000}"/>
    <cellStyle name="ItemTypeClass 2 3 3 7" xfId="10630" xr:uid="{00000000-0005-0000-0000-0000C6100000}"/>
    <cellStyle name="ItemTypeClass 2 3 3 7 2" xfId="10631" xr:uid="{00000000-0005-0000-0000-0000C7100000}"/>
    <cellStyle name="ItemTypeClass 2 3 3 7 3" xfId="10632" xr:uid="{00000000-0005-0000-0000-0000C8100000}"/>
    <cellStyle name="ItemTypeClass 2 3 3 7 4" xfId="10633" xr:uid="{00000000-0005-0000-0000-0000C9100000}"/>
    <cellStyle name="ItemTypeClass 2 3 3 7 5" xfId="10634" xr:uid="{00000000-0005-0000-0000-0000CA100000}"/>
    <cellStyle name="ItemTypeClass 2 3 3 7 6" xfId="10635" xr:uid="{00000000-0005-0000-0000-0000CB100000}"/>
    <cellStyle name="ItemTypeClass 2 3 3 8" xfId="10636" xr:uid="{00000000-0005-0000-0000-0000CC100000}"/>
    <cellStyle name="ItemTypeClass 2 3 3 9" xfId="10637" xr:uid="{00000000-0005-0000-0000-0000CD100000}"/>
    <cellStyle name="ItemTypeClass 2 3 4" xfId="10638" xr:uid="{00000000-0005-0000-0000-0000CE100000}"/>
    <cellStyle name="ItemTypeClass 2 3 4 10" xfId="10639" xr:uid="{00000000-0005-0000-0000-0000CF100000}"/>
    <cellStyle name="ItemTypeClass 2 3 4 11" xfId="10640" xr:uid="{00000000-0005-0000-0000-0000D0100000}"/>
    <cellStyle name="ItemTypeClass 2 3 4 12" xfId="10641" xr:uid="{00000000-0005-0000-0000-0000D1100000}"/>
    <cellStyle name="ItemTypeClass 2 3 4 13" xfId="10642" xr:uid="{00000000-0005-0000-0000-0000D2100000}"/>
    <cellStyle name="ItemTypeClass 2 3 4 14" xfId="10643" xr:uid="{00000000-0005-0000-0000-0000D3100000}"/>
    <cellStyle name="ItemTypeClass 2 3 4 15" xfId="10644" xr:uid="{00000000-0005-0000-0000-0000D4100000}"/>
    <cellStyle name="ItemTypeClass 2 3 4 2" xfId="10645" xr:uid="{00000000-0005-0000-0000-0000D5100000}"/>
    <cellStyle name="ItemTypeClass 2 3 4 2 10" xfId="10646" xr:uid="{00000000-0005-0000-0000-0000D6100000}"/>
    <cellStyle name="ItemTypeClass 2 3 4 2 11" xfId="10647" xr:uid="{00000000-0005-0000-0000-0000D7100000}"/>
    <cellStyle name="ItemTypeClass 2 3 4 2 12" xfId="10648" xr:uid="{00000000-0005-0000-0000-0000D8100000}"/>
    <cellStyle name="ItemTypeClass 2 3 4 2 2" xfId="10649" xr:uid="{00000000-0005-0000-0000-0000D9100000}"/>
    <cellStyle name="ItemTypeClass 2 3 4 2 2 2" xfId="10650" xr:uid="{00000000-0005-0000-0000-0000DA100000}"/>
    <cellStyle name="ItemTypeClass 2 3 4 2 2 3" xfId="10651" xr:uid="{00000000-0005-0000-0000-0000DB100000}"/>
    <cellStyle name="ItemTypeClass 2 3 4 2 2 4" xfId="10652" xr:uid="{00000000-0005-0000-0000-0000DC100000}"/>
    <cellStyle name="ItemTypeClass 2 3 4 2 2 5" xfId="10653" xr:uid="{00000000-0005-0000-0000-0000DD100000}"/>
    <cellStyle name="ItemTypeClass 2 3 4 2 3" xfId="10654" xr:uid="{00000000-0005-0000-0000-0000DE100000}"/>
    <cellStyle name="ItemTypeClass 2 3 4 2 3 2" xfId="10655" xr:uid="{00000000-0005-0000-0000-0000DF100000}"/>
    <cellStyle name="ItemTypeClass 2 3 4 2 3 3" xfId="10656" xr:uid="{00000000-0005-0000-0000-0000E0100000}"/>
    <cellStyle name="ItemTypeClass 2 3 4 2 3 4" xfId="10657" xr:uid="{00000000-0005-0000-0000-0000E1100000}"/>
    <cellStyle name="ItemTypeClass 2 3 4 2 3 5" xfId="10658" xr:uid="{00000000-0005-0000-0000-0000E2100000}"/>
    <cellStyle name="ItemTypeClass 2 3 4 2 3 6" xfId="10659" xr:uid="{00000000-0005-0000-0000-0000E3100000}"/>
    <cellStyle name="ItemTypeClass 2 3 4 2 4" xfId="10660" xr:uid="{00000000-0005-0000-0000-0000E4100000}"/>
    <cellStyle name="ItemTypeClass 2 3 4 2 4 2" xfId="10661" xr:uid="{00000000-0005-0000-0000-0000E5100000}"/>
    <cellStyle name="ItemTypeClass 2 3 4 2 4 3" xfId="10662" xr:uid="{00000000-0005-0000-0000-0000E6100000}"/>
    <cellStyle name="ItemTypeClass 2 3 4 2 4 4" xfId="10663" xr:uid="{00000000-0005-0000-0000-0000E7100000}"/>
    <cellStyle name="ItemTypeClass 2 3 4 2 4 5" xfId="10664" xr:uid="{00000000-0005-0000-0000-0000E8100000}"/>
    <cellStyle name="ItemTypeClass 2 3 4 2 4 6" xfId="10665" xr:uid="{00000000-0005-0000-0000-0000E9100000}"/>
    <cellStyle name="ItemTypeClass 2 3 4 2 5" xfId="10666" xr:uid="{00000000-0005-0000-0000-0000EA100000}"/>
    <cellStyle name="ItemTypeClass 2 3 4 2 6" xfId="10667" xr:uid="{00000000-0005-0000-0000-0000EB100000}"/>
    <cellStyle name="ItemTypeClass 2 3 4 2 7" xfId="10668" xr:uid="{00000000-0005-0000-0000-0000EC100000}"/>
    <cellStyle name="ItemTypeClass 2 3 4 2 8" xfId="10669" xr:uid="{00000000-0005-0000-0000-0000ED100000}"/>
    <cellStyle name="ItemTypeClass 2 3 4 2 9" xfId="10670" xr:uid="{00000000-0005-0000-0000-0000EE100000}"/>
    <cellStyle name="ItemTypeClass 2 3 4 3" xfId="10671" xr:uid="{00000000-0005-0000-0000-0000EF100000}"/>
    <cellStyle name="ItemTypeClass 2 3 4 3 10" xfId="10672" xr:uid="{00000000-0005-0000-0000-0000F0100000}"/>
    <cellStyle name="ItemTypeClass 2 3 4 3 11" xfId="10673" xr:uid="{00000000-0005-0000-0000-0000F1100000}"/>
    <cellStyle name="ItemTypeClass 2 3 4 3 12" xfId="10674" xr:uid="{00000000-0005-0000-0000-0000F2100000}"/>
    <cellStyle name="ItemTypeClass 2 3 4 3 2" xfId="10675" xr:uid="{00000000-0005-0000-0000-0000F3100000}"/>
    <cellStyle name="ItemTypeClass 2 3 4 3 2 2" xfId="10676" xr:uid="{00000000-0005-0000-0000-0000F4100000}"/>
    <cellStyle name="ItemTypeClass 2 3 4 3 2 3" xfId="10677" xr:uid="{00000000-0005-0000-0000-0000F5100000}"/>
    <cellStyle name="ItemTypeClass 2 3 4 3 2 4" xfId="10678" xr:uid="{00000000-0005-0000-0000-0000F6100000}"/>
    <cellStyle name="ItemTypeClass 2 3 4 3 2 5" xfId="10679" xr:uid="{00000000-0005-0000-0000-0000F7100000}"/>
    <cellStyle name="ItemTypeClass 2 3 4 3 3" xfId="10680" xr:uid="{00000000-0005-0000-0000-0000F8100000}"/>
    <cellStyle name="ItemTypeClass 2 3 4 3 3 2" xfId="10681" xr:uid="{00000000-0005-0000-0000-0000F9100000}"/>
    <cellStyle name="ItemTypeClass 2 3 4 3 3 3" xfId="10682" xr:uid="{00000000-0005-0000-0000-0000FA100000}"/>
    <cellStyle name="ItemTypeClass 2 3 4 3 3 4" xfId="10683" xr:uid="{00000000-0005-0000-0000-0000FB100000}"/>
    <cellStyle name="ItemTypeClass 2 3 4 3 3 5" xfId="10684" xr:uid="{00000000-0005-0000-0000-0000FC100000}"/>
    <cellStyle name="ItemTypeClass 2 3 4 3 3 6" xfId="10685" xr:uid="{00000000-0005-0000-0000-0000FD100000}"/>
    <cellStyle name="ItemTypeClass 2 3 4 3 4" xfId="10686" xr:uid="{00000000-0005-0000-0000-0000FE100000}"/>
    <cellStyle name="ItemTypeClass 2 3 4 3 4 2" xfId="10687" xr:uid="{00000000-0005-0000-0000-0000FF100000}"/>
    <cellStyle name="ItemTypeClass 2 3 4 3 4 3" xfId="10688" xr:uid="{00000000-0005-0000-0000-000000110000}"/>
    <cellStyle name="ItemTypeClass 2 3 4 3 4 4" xfId="10689" xr:uid="{00000000-0005-0000-0000-000001110000}"/>
    <cellStyle name="ItemTypeClass 2 3 4 3 4 5" xfId="10690" xr:uid="{00000000-0005-0000-0000-000002110000}"/>
    <cellStyle name="ItemTypeClass 2 3 4 3 4 6" xfId="10691" xr:uid="{00000000-0005-0000-0000-000003110000}"/>
    <cellStyle name="ItemTypeClass 2 3 4 3 5" xfId="10692" xr:uid="{00000000-0005-0000-0000-000004110000}"/>
    <cellStyle name="ItemTypeClass 2 3 4 3 6" xfId="10693" xr:uid="{00000000-0005-0000-0000-000005110000}"/>
    <cellStyle name="ItemTypeClass 2 3 4 3 7" xfId="10694" xr:uid="{00000000-0005-0000-0000-000006110000}"/>
    <cellStyle name="ItemTypeClass 2 3 4 3 8" xfId="10695" xr:uid="{00000000-0005-0000-0000-000007110000}"/>
    <cellStyle name="ItemTypeClass 2 3 4 3 9" xfId="10696" xr:uid="{00000000-0005-0000-0000-000008110000}"/>
    <cellStyle name="ItemTypeClass 2 3 4 4" xfId="10697" xr:uid="{00000000-0005-0000-0000-000009110000}"/>
    <cellStyle name="ItemTypeClass 2 3 4 4 10" xfId="10698" xr:uid="{00000000-0005-0000-0000-00000A110000}"/>
    <cellStyle name="ItemTypeClass 2 3 4 4 11" xfId="10699" xr:uid="{00000000-0005-0000-0000-00000B110000}"/>
    <cellStyle name="ItemTypeClass 2 3 4 4 12" xfId="10700" xr:uid="{00000000-0005-0000-0000-00000C110000}"/>
    <cellStyle name="ItemTypeClass 2 3 4 4 2" xfId="10701" xr:uid="{00000000-0005-0000-0000-00000D110000}"/>
    <cellStyle name="ItemTypeClass 2 3 4 4 2 2" xfId="10702" xr:uid="{00000000-0005-0000-0000-00000E110000}"/>
    <cellStyle name="ItemTypeClass 2 3 4 4 2 3" xfId="10703" xr:uid="{00000000-0005-0000-0000-00000F110000}"/>
    <cellStyle name="ItemTypeClass 2 3 4 4 2 4" xfId="10704" xr:uid="{00000000-0005-0000-0000-000010110000}"/>
    <cellStyle name="ItemTypeClass 2 3 4 4 2 5" xfId="10705" xr:uid="{00000000-0005-0000-0000-000011110000}"/>
    <cellStyle name="ItemTypeClass 2 3 4 4 3" xfId="10706" xr:uid="{00000000-0005-0000-0000-000012110000}"/>
    <cellStyle name="ItemTypeClass 2 3 4 4 3 2" xfId="10707" xr:uid="{00000000-0005-0000-0000-000013110000}"/>
    <cellStyle name="ItemTypeClass 2 3 4 4 3 3" xfId="10708" xr:uid="{00000000-0005-0000-0000-000014110000}"/>
    <cellStyle name="ItemTypeClass 2 3 4 4 3 4" xfId="10709" xr:uid="{00000000-0005-0000-0000-000015110000}"/>
    <cellStyle name="ItemTypeClass 2 3 4 4 3 5" xfId="10710" xr:uid="{00000000-0005-0000-0000-000016110000}"/>
    <cellStyle name="ItemTypeClass 2 3 4 4 3 6" xfId="10711" xr:uid="{00000000-0005-0000-0000-000017110000}"/>
    <cellStyle name="ItemTypeClass 2 3 4 4 4" xfId="10712" xr:uid="{00000000-0005-0000-0000-000018110000}"/>
    <cellStyle name="ItemTypeClass 2 3 4 4 4 2" xfId="10713" xr:uid="{00000000-0005-0000-0000-000019110000}"/>
    <cellStyle name="ItemTypeClass 2 3 4 4 4 3" xfId="10714" xr:uid="{00000000-0005-0000-0000-00001A110000}"/>
    <cellStyle name="ItemTypeClass 2 3 4 4 4 4" xfId="10715" xr:uid="{00000000-0005-0000-0000-00001B110000}"/>
    <cellStyle name="ItemTypeClass 2 3 4 4 4 5" xfId="10716" xr:uid="{00000000-0005-0000-0000-00001C110000}"/>
    <cellStyle name="ItemTypeClass 2 3 4 4 4 6" xfId="10717" xr:uid="{00000000-0005-0000-0000-00001D110000}"/>
    <cellStyle name="ItemTypeClass 2 3 4 4 5" xfId="10718" xr:uid="{00000000-0005-0000-0000-00001E110000}"/>
    <cellStyle name="ItemTypeClass 2 3 4 4 6" xfId="10719" xr:uid="{00000000-0005-0000-0000-00001F110000}"/>
    <cellStyle name="ItemTypeClass 2 3 4 4 7" xfId="10720" xr:uid="{00000000-0005-0000-0000-000020110000}"/>
    <cellStyle name="ItemTypeClass 2 3 4 4 8" xfId="10721" xr:uid="{00000000-0005-0000-0000-000021110000}"/>
    <cellStyle name="ItemTypeClass 2 3 4 4 9" xfId="10722" xr:uid="{00000000-0005-0000-0000-000022110000}"/>
    <cellStyle name="ItemTypeClass 2 3 4 5" xfId="10723" xr:uid="{00000000-0005-0000-0000-000023110000}"/>
    <cellStyle name="ItemTypeClass 2 3 4 5 2" xfId="10724" xr:uid="{00000000-0005-0000-0000-000024110000}"/>
    <cellStyle name="ItemTypeClass 2 3 4 5 3" xfId="10725" xr:uid="{00000000-0005-0000-0000-000025110000}"/>
    <cellStyle name="ItemTypeClass 2 3 4 5 4" xfId="10726" xr:uid="{00000000-0005-0000-0000-000026110000}"/>
    <cellStyle name="ItemTypeClass 2 3 4 5 5" xfId="10727" xr:uid="{00000000-0005-0000-0000-000027110000}"/>
    <cellStyle name="ItemTypeClass 2 3 4 6" xfId="10728" xr:uid="{00000000-0005-0000-0000-000028110000}"/>
    <cellStyle name="ItemTypeClass 2 3 4 6 2" xfId="10729" xr:uid="{00000000-0005-0000-0000-000029110000}"/>
    <cellStyle name="ItemTypeClass 2 3 4 6 3" xfId="10730" xr:uid="{00000000-0005-0000-0000-00002A110000}"/>
    <cellStyle name="ItemTypeClass 2 3 4 6 4" xfId="10731" xr:uid="{00000000-0005-0000-0000-00002B110000}"/>
    <cellStyle name="ItemTypeClass 2 3 4 6 5" xfId="10732" xr:uid="{00000000-0005-0000-0000-00002C110000}"/>
    <cellStyle name="ItemTypeClass 2 3 4 6 6" xfId="10733" xr:uid="{00000000-0005-0000-0000-00002D110000}"/>
    <cellStyle name="ItemTypeClass 2 3 4 7" xfId="10734" xr:uid="{00000000-0005-0000-0000-00002E110000}"/>
    <cellStyle name="ItemTypeClass 2 3 4 7 2" xfId="10735" xr:uid="{00000000-0005-0000-0000-00002F110000}"/>
    <cellStyle name="ItemTypeClass 2 3 4 7 3" xfId="10736" xr:uid="{00000000-0005-0000-0000-000030110000}"/>
    <cellStyle name="ItemTypeClass 2 3 4 7 4" xfId="10737" xr:uid="{00000000-0005-0000-0000-000031110000}"/>
    <cellStyle name="ItemTypeClass 2 3 4 7 5" xfId="10738" xr:uid="{00000000-0005-0000-0000-000032110000}"/>
    <cellStyle name="ItemTypeClass 2 3 4 7 6" xfId="10739" xr:uid="{00000000-0005-0000-0000-000033110000}"/>
    <cellStyle name="ItemTypeClass 2 3 4 8" xfId="10740" xr:uid="{00000000-0005-0000-0000-000034110000}"/>
    <cellStyle name="ItemTypeClass 2 3 4 9" xfId="10741" xr:uid="{00000000-0005-0000-0000-000035110000}"/>
    <cellStyle name="ItemTypeClass 2 3 5" xfId="10742" xr:uid="{00000000-0005-0000-0000-000036110000}"/>
    <cellStyle name="ItemTypeClass 2 3 5 10" xfId="10743" xr:uid="{00000000-0005-0000-0000-000037110000}"/>
    <cellStyle name="ItemTypeClass 2 3 5 11" xfId="10744" xr:uid="{00000000-0005-0000-0000-000038110000}"/>
    <cellStyle name="ItemTypeClass 2 3 5 12" xfId="10745" xr:uid="{00000000-0005-0000-0000-000039110000}"/>
    <cellStyle name="ItemTypeClass 2 3 5 2" xfId="10746" xr:uid="{00000000-0005-0000-0000-00003A110000}"/>
    <cellStyle name="ItemTypeClass 2 3 5 2 2" xfId="10747" xr:uid="{00000000-0005-0000-0000-00003B110000}"/>
    <cellStyle name="ItemTypeClass 2 3 5 2 3" xfId="10748" xr:uid="{00000000-0005-0000-0000-00003C110000}"/>
    <cellStyle name="ItemTypeClass 2 3 5 2 4" xfId="10749" xr:uid="{00000000-0005-0000-0000-00003D110000}"/>
    <cellStyle name="ItemTypeClass 2 3 5 2 5" xfId="10750" xr:uid="{00000000-0005-0000-0000-00003E110000}"/>
    <cellStyle name="ItemTypeClass 2 3 5 3" xfId="10751" xr:uid="{00000000-0005-0000-0000-00003F110000}"/>
    <cellStyle name="ItemTypeClass 2 3 5 3 2" xfId="10752" xr:uid="{00000000-0005-0000-0000-000040110000}"/>
    <cellStyle name="ItemTypeClass 2 3 5 3 3" xfId="10753" xr:uid="{00000000-0005-0000-0000-000041110000}"/>
    <cellStyle name="ItemTypeClass 2 3 5 3 4" xfId="10754" xr:uid="{00000000-0005-0000-0000-000042110000}"/>
    <cellStyle name="ItemTypeClass 2 3 5 3 5" xfId="10755" xr:uid="{00000000-0005-0000-0000-000043110000}"/>
    <cellStyle name="ItemTypeClass 2 3 5 3 6" xfId="10756" xr:uid="{00000000-0005-0000-0000-000044110000}"/>
    <cellStyle name="ItemTypeClass 2 3 5 4" xfId="10757" xr:uid="{00000000-0005-0000-0000-000045110000}"/>
    <cellStyle name="ItemTypeClass 2 3 5 4 2" xfId="10758" xr:uid="{00000000-0005-0000-0000-000046110000}"/>
    <cellStyle name="ItemTypeClass 2 3 5 4 3" xfId="10759" xr:uid="{00000000-0005-0000-0000-000047110000}"/>
    <cellStyle name="ItemTypeClass 2 3 5 4 4" xfId="10760" xr:uid="{00000000-0005-0000-0000-000048110000}"/>
    <cellStyle name="ItemTypeClass 2 3 5 4 5" xfId="10761" xr:uid="{00000000-0005-0000-0000-000049110000}"/>
    <cellStyle name="ItemTypeClass 2 3 5 4 6" xfId="10762" xr:uid="{00000000-0005-0000-0000-00004A110000}"/>
    <cellStyle name="ItemTypeClass 2 3 5 5" xfId="10763" xr:uid="{00000000-0005-0000-0000-00004B110000}"/>
    <cellStyle name="ItemTypeClass 2 3 5 6" xfId="10764" xr:uid="{00000000-0005-0000-0000-00004C110000}"/>
    <cellStyle name="ItemTypeClass 2 3 5 7" xfId="10765" xr:uid="{00000000-0005-0000-0000-00004D110000}"/>
    <cellStyle name="ItemTypeClass 2 3 5 8" xfId="10766" xr:uid="{00000000-0005-0000-0000-00004E110000}"/>
    <cellStyle name="ItemTypeClass 2 3 5 9" xfId="10767" xr:uid="{00000000-0005-0000-0000-00004F110000}"/>
    <cellStyle name="ItemTypeClass 2 3 6" xfId="10768" xr:uid="{00000000-0005-0000-0000-000050110000}"/>
    <cellStyle name="ItemTypeClass 2 3 6 10" xfId="10769" xr:uid="{00000000-0005-0000-0000-000051110000}"/>
    <cellStyle name="ItemTypeClass 2 3 6 11" xfId="10770" xr:uid="{00000000-0005-0000-0000-000052110000}"/>
    <cellStyle name="ItemTypeClass 2 3 6 12" xfId="10771" xr:uid="{00000000-0005-0000-0000-000053110000}"/>
    <cellStyle name="ItemTypeClass 2 3 6 2" xfId="10772" xr:uid="{00000000-0005-0000-0000-000054110000}"/>
    <cellStyle name="ItemTypeClass 2 3 6 2 2" xfId="10773" xr:uid="{00000000-0005-0000-0000-000055110000}"/>
    <cellStyle name="ItemTypeClass 2 3 6 2 3" xfId="10774" xr:uid="{00000000-0005-0000-0000-000056110000}"/>
    <cellStyle name="ItemTypeClass 2 3 6 2 4" xfId="10775" xr:uid="{00000000-0005-0000-0000-000057110000}"/>
    <cellStyle name="ItemTypeClass 2 3 6 2 5" xfId="10776" xr:uid="{00000000-0005-0000-0000-000058110000}"/>
    <cellStyle name="ItemTypeClass 2 3 6 3" xfId="10777" xr:uid="{00000000-0005-0000-0000-000059110000}"/>
    <cellStyle name="ItemTypeClass 2 3 6 3 2" xfId="10778" xr:uid="{00000000-0005-0000-0000-00005A110000}"/>
    <cellStyle name="ItemTypeClass 2 3 6 3 3" xfId="10779" xr:uid="{00000000-0005-0000-0000-00005B110000}"/>
    <cellStyle name="ItemTypeClass 2 3 6 3 4" xfId="10780" xr:uid="{00000000-0005-0000-0000-00005C110000}"/>
    <cellStyle name="ItemTypeClass 2 3 6 3 5" xfId="10781" xr:uid="{00000000-0005-0000-0000-00005D110000}"/>
    <cellStyle name="ItemTypeClass 2 3 6 3 6" xfId="10782" xr:uid="{00000000-0005-0000-0000-00005E110000}"/>
    <cellStyle name="ItemTypeClass 2 3 6 4" xfId="10783" xr:uid="{00000000-0005-0000-0000-00005F110000}"/>
    <cellStyle name="ItemTypeClass 2 3 6 4 2" xfId="10784" xr:uid="{00000000-0005-0000-0000-000060110000}"/>
    <cellStyle name="ItemTypeClass 2 3 6 4 3" xfId="10785" xr:uid="{00000000-0005-0000-0000-000061110000}"/>
    <cellStyle name="ItemTypeClass 2 3 6 4 4" xfId="10786" xr:uid="{00000000-0005-0000-0000-000062110000}"/>
    <cellStyle name="ItemTypeClass 2 3 6 4 5" xfId="10787" xr:uid="{00000000-0005-0000-0000-000063110000}"/>
    <cellStyle name="ItemTypeClass 2 3 6 4 6" xfId="10788" xr:uid="{00000000-0005-0000-0000-000064110000}"/>
    <cellStyle name="ItemTypeClass 2 3 6 5" xfId="10789" xr:uid="{00000000-0005-0000-0000-000065110000}"/>
    <cellStyle name="ItemTypeClass 2 3 6 6" xfId="10790" xr:uid="{00000000-0005-0000-0000-000066110000}"/>
    <cellStyle name="ItemTypeClass 2 3 6 7" xfId="10791" xr:uid="{00000000-0005-0000-0000-000067110000}"/>
    <cellStyle name="ItemTypeClass 2 3 6 8" xfId="10792" xr:uid="{00000000-0005-0000-0000-000068110000}"/>
    <cellStyle name="ItemTypeClass 2 3 6 9" xfId="10793" xr:uid="{00000000-0005-0000-0000-000069110000}"/>
    <cellStyle name="ItemTypeClass 2 3 7" xfId="10794" xr:uid="{00000000-0005-0000-0000-00006A110000}"/>
    <cellStyle name="ItemTypeClass 2 3 7 10" xfId="10795" xr:uid="{00000000-0005-0000-0000-00006B110000}"/>
    <cellStyle name="ItemTypeClass 2 3 7 11" xfId="10796" xr:uid="{00000000-0005-0000-0000-00006C110000}"/>
    <cellStyle name="ItemTypeClass 2 3 7 12" xfId="10797" xr:uid="{00000000-0005-0000-0000-00006D110000}"/>
    <cellStyle name="ItemTypeClass 2 3 7 2" xfId="10798" xr:uid="{00000000-0005-0000-0000-00006E110000}"/>
    <cellStyle name="ItemTypeClass 2 3 7 2 2" xfId="10799" xr:uid="{00000000-0005-0000-0000-00006F110000}"/>
    <cellStyle name="ItemTypeClass 2 3 7 2 3" xfId="10800" xr:uid="{00000000-0005-0000-0000-000070110000}"/>
    <cellStyle name="ItemTypeClass 2 3 7 2 4" xfId="10801" xr:uid="{00000000-0005-0000-0000-000071110000}"/>
    <cellStyle name="ItemTypeClass 2 3 7 2 5" xfId="10802" xr:uid="{00000000-0005-0000-0000-000072110000}"/>
    <cellStyle name="ItemTypeClass 2 3 7 3" xfId="10803" xr:uid="{00000000-0005-0000-0000-000073110000}"/>
    <cellStyle name="ItemTypeClass 2 3 7 3 2" xfId="10804" xr:uid="{00000000-0005-0000-0000-000074110000}"/>
    <cellStyle name="ItemTypeClass 2 3 7 3 3" xfId="10805" xr:uid="{00000000-0005-0000-0000-000075110000}"/>
    <cellStyle name="ItemTypeClass 2 3 7 3 4" xfId="10806" xr:uid="{00000000-0005-0000-0000-000076110000}"/>
    <cellStyle name="ItemTypeClass 2 3 7 3 5" xfId="10807" xr:uid="{00000000-0005-0000-0000-000077110000}"/>
    <cellStyle name="ItemTypeClass 2 3 7 3 6" xfId="10808" xr:uid="{00000000-0005-0000-0000-000078110000}"/>
    <cellStyle name="ItemTypeClass 2 3 7 4" xfId="10809" xr:uid="{00000000-0005-0000-0000-000079110000}"/>
    <cellStyle name="ItemTypeClass 2 3 7 4 2" xfId="10810" xr:uid="{00000000-0005-0000-0000-00007A110000}"/>
    <cellStyle name="ItemTypeClass 2 3 7 4 3" xfId="10811" xr:uid="{00000000-0005-0000-0000-00007B110000}"/>
    <cellStyle name="ItemTypeClass 2 3 7 4 4" xfId="10812" xr:uid="{00000000-0005-0000-0000-00007C110000}"/>
    <cellStyle name="ItemTypeClass 2 3 7 4 5" xfId="10813" xr:uid="{00000000-0005-0000-0000-00007D110000}"/>
    <cellStyle name="ItemTypeClass 2 3 7 4 6" xfId="10814" xr:uid="{00000000-0005-0000-0000-00007E110000}"/>
    <cellStyle name="ItemTypeClass 2 3 7 5" xfId="10815" xr:uid="{00000000-0005-0000-0000-00007F110000}"/>
    <cellStyle name="ItemTypeClass 2 3 7 6" xfId="10816" xr:uid="{00000000-0005-0000-0000-000080110000}"/>
    <cellStyle name="ItemTypeClass 2 3 7 7" xfId="10817" xr:uid="{00000000-0005-0000-0000-000081110000}"/>
    <cellStyle name="ItemTypeClass 2 3 7 8" xfId="10818" xr:uid="{00000000-0005-0000-0000-000082110000}"/>
    <cellStyle name="ItemTypeClass 2 3 7 9" xfId="10819" xr:uid="{00000000-0005-0000-0000-000083110000}"/>
    <cellStyle name="ItemTypeClass 2 3 8" xfId="10820" xr:uid="{00000000-0005-0000-0000-000084110000}"/>
    <cellStyle name="ItemTypeClass 2 3 8 2" xfId="10821" xr:uid="{00000000-0005-0000-0000-000085110000}"/>
    <cellStyle name="ItemTypeClass 2 3 8 3" xfId="10822" xr:uid="{00000000-0005-0000-0000-000086110000}"/>
    <cellStyle name="ItemTypeClass 2 3 8 4" xfId="10823" xr:uid="{00000000-0005-0000-0000-000087110000}"/>
    <cellStyle name="ItemTypeClass 2 3 8 5" xfId="10824" xr:uid="{00000000-0005-0000-0000-000088110000}"/>
    <cellStyle name="ItemTypeClass 2 3 9" xfId="10825" xr:uid="{00000000-0005-0000-0000-000089110000}"/>
    <cellStyle name="ItemTypeClass 2 3 9 2" xfId="10826" xr:uid="{00000000-0005-0000-0000-00008A110000}"/>
    <cellStyle name="ItemTypeClass 2 3 9 3" xfId="10827" xr:uid="{00000000-0005-0000-0000-00008B110000}"/>
    <cellStyle name="ItemTypeClass 2 3 9 4" xfId="10828" xr:uid="{00000000-0005-0000-0000-00008C110000}"/>
    <cellStyle name="ItemTypeClass 2 3 9 5" xfId="10829" xr:uid="{00000000-0005-0000-0000-00008D110000}"/>
    <cellStyle name="ItemTypeClass 2 3 9 6" xfId="10830" xr:uid="{00000000-0005-0000-0000-00008E110000}"/>
    <cellStyle name="ItemTypeClass 2 4" xfId="10831" xr:uid="{00000000-0005-0000-0000-00008F110000}"/>
    <cellStyle name="ItemTypeClass 2 4 10" xfId="10832" xr:uid="{00000000-0005-0000-0000-000090110000}"/>
    <cellStyle name="ItemTypeClass 2 4 11" xfId="10833" xr:uid="{00000000-0005-0000-0000-000091110000}"/>
    <cellStyle name="ItemTypeClass 2 4 12" xfId="10834" xr:uid="{00000000-0005-0000-0000-000092110000}"/>
    <cellStyle name="ItemTypeClass 2 4 13" xfId="10835" xr:uid="{00000000-0005-0000-0000-000093110000}"/>
    <cellStyle name="ItemTypeClass 2 4 14" xfId="10836" xr:uid="{00000000-0005-0000-0000-000094110000}"/>
    <cellStyle name="ItemTypeClass 2 4 15" xfId="10837" xr:uid="{00000000-0005-0000-0000-000095110000}"/>
    <cellStyle name="ItemTypeClass 2 4 16" xfId="10838" xr:uid="{00000000-0005-0000-0000-000096110000}"/>
    <cellStyle name="ItemTypeClass 2 4 17" xfId="10839" xr:uid="{00000000-0005-0000-0000-000097110000}"/>
    <cellStyle name="ItemTypeClass 2 4 2" xfId="10840" xr:uid="{00000000-0005-0000-0000-000098110000}"/>
    <cellStyle name="ItemTypeClass 2 4 2 10" xfId="10841" xr:uid="{00000000-0005-0000-0000-000099110000}"/>
    <cellStyle name="ItemTypeClass 2 4 2 11" xfId="10842" xr:uid="{00000000-0005-0000-0000-00009A110000}"/>
    <cellStyle name="ItemTypeClass 2 4 2 12" xfId="10843" xr:uid="{00000000-0005-0000-0000-00009B110000}"/>
    <cellStyle name="ItemTypeClass 2 4 2 13" xfId="10844" xr:uid="{00000000-0005-0000-0000-00009C110000}"/>
    <cellStyle name="ItemTypeClass 2 4 2 14" xfId="10845" xr:uid="{00000000-0005-0000-0000-00009D110000}"/>
    <cellStyle name="ItemTypeClass 2 4 2 15" xfId="10846" xr:uid="{00000000-0005-0000-0000-00009E110000}"/>
    <cellStyle name="ItemTypeClass 2 4 2 2" xfId="10847" xr:uid="{00000000-0005-0000-0000-00009F110000}"/>
    <cellStyle name="ItemTypeClass 2 4 2 2 10" xfId="10848" xr:uid="{00000000-0005-0000-0000-0000A0110000}"/>
    <cellStyle name="ItemTypeClass 2 4 2 2 11" xfId="10849" xr:uid="{00000000-0005-0000-0000-0000A1110000}"/>
    <cellStyle name="ItemTypeClass 2 4 2 2 12" xfId="10850" xr:uid="{00000000-0005-0000-0000-0000A2110000}"/>
    <cellStyle name="ItemTypeClass 2 4 2 2 2" xfId="10851" xr:uid="{00000000-0005-0000-0000-0000A3110000}"/>
    <cellStyle name="ItemTypeClass 2 4 2 2 2 2" xfId="10852" xr:uid="{00000000-0005-0000-0000-0000A4110000}"/>
    <cellStyle name="ItemTypeClass 2 4 2 2 2 3" xfId="10853" xr:uid="{00000000-0005-0000-0000-0000A5110000}"/>
    <cellStyle name="ItemTypeClass 2 4 2 2 2 4" xfId="10854" xr:uid="{00000000-0005-0000-0000-0000A6110000}"/>
    <cellStyle name="ItemTypeClass 2 4 2 2 2 5" xfId="10855" xr:uid="{00000000-0005-0000-0000-0000A7110000}"/>
    <cellStyle name="ItemTypeClass 2 4 2 2 3" xfId="10856" xr:uid="{00000000-0005-0000-0000-0000A8110000}"/>
    <cellStyle name="ItemTypeClass 2 4 2 2 3 2" xfId="10857" xr:uid="{00000000-0005-0000-0000-0000A9110000}"/>
    <cellStyle name="ItemTypeClass 2 4 2 2 3 3" xfId="10858" xr:uid="{00000000-0005-0000-0000-0000AA110000}"/>
    <cellStyle name="ItemTypeClass 2 4 2 2 3 4" xfId="10859" xr:uid="{00000000-0005-0000-0000-0000AB110000}"/>
    <cellStyle name="ItemTypeClass 2 4 2 2 3 5" xfId="10860" xr:uid="{00000000-0005-0000-0000-0000AC110000}"/>
    <cellStyle name="ItemTypeClass 2 4 2 2 3 6" xfId="10861" xr:uid="{00000000-0005-0000-0000-0000AD110000}"/>
    <cellStyle name="ItemTypeClass 2 4 2 2 4" xfId="10862" xr:uid="{00000000-0005-0000-0000-0000AE110000}"/>
    <cellStyle name="ItemTypeClass 2 4 2 2 4 2" xfId="10863" xr:uid="{00000000-0005-0000-0000-0000AF110000}"/>
    <cellStyle name="ItemTypeClass 2 4 2 2 4 3" xfId="10864" xr:uid="{00000000-0005-0000-0000-0000B0110000}"/>
    <cellStyle name="ItemTypeClass 2 4 2 2 4 4" xfId="10865" xr:uid="{00000000-0005-0000-0000-0000B1110000}"/>
    <cellStyle name="ItemTypeClass 2 4 2 2 4 5" xfId="10866" xr:uid="{00000000-0005-0000-0000-0000B2110000}"/>
    <cellStyle name="ItemTypeClass 2 4 2 2 4 6" xfId="10867" xr:uid="{00000000-0005-0000-0000-0000B3110000}"/>
    <cellStyle name="ItemTypeClass 2 4 2 2 5" xfId="10868" xr:uid="{00000000-0005-0000-0000-0000B4110000}"/>
    <cellStyle name="ItemTypeClass 2 4 2 2 6" xfId="10869" xr:uid="{00000000-0005-0000-0000-0000B5110000}"/>
    <cellStyle name="ItemTypeClass 2 4 2 2 7" xfId="10870" xr:uid="{00000000-0005-0000-0000-0000B6110000}"/>
    <cellStyle name="ItemTypeClass 2 4 2 2 8" xfId="10871" xr:uid="{00000000-0005-0000-0000-0000B7110000}"/>
    <cellStyle name="ItemTypeClass 2 4 2 2 9" xfId="10872" xr:uid="{00000000-0005-0000-0000-0000B8110000}"/>
    <cellStyle name="ItemTypeClass 2 4 2 3" xfId="10873" xr:uid="{00000000-0005-0000-0000-0000B9110000}"/>
    <cellStyle name="ItemTypeClass 2 4 2 3 10" xfId="10874" xr:uid="{00000000-0005-0000-0000-0000BA110000}"/>
    <cellStyle name="ItemTypeClass 2 4 2 3 11" xfId="10875" xr:uid="{00000000-0005-0000-0000-0000BB110000}"/>
    <cellStyle name="ItemTypeClass 2 4 2 3 12" xfId="10876" xr:uid="{00000000-0005-0000-0000-0000BC110000}"/>
    <cellStyle name="ItemTypeClass 2 4 2 3 2" xfId="10877" xr:uid="{00000000-0005-0000-0000-0000BD110000}"/>
    <cellStyle name="ItemTypeClass 2 4 2 3 2 2" xfId="10878" xr:uid="{00000000-0005-0000-0000-0000BE110000}"/>
    <cellStyle name="ItemTypeClass 2 4 2 3 2 3" xfId="10879" xr:uid="{00000000-0005-0000-0000-0000BF110000}"/>
    <cellStyle name="ItemTypeClass 2 4 2 3 2 4" xfId="10880" xr:uid="{00000000-0005-0000-0000-0000C0110000}"/>
    <cellStyle name="ItemTypeClass 2 4 2 3 2 5" xfId="10881" xr:uid="{00000000-0005-0000-0000-0000C1110000}"/>
    <cellStyle name="ItemTypeClass 2 4 2 3 3" xfId="10882" xr:uid="{00000000-0005-0000-0000-0000C2110000}"/>
    <cellStyle name="ItemTypeClass 2 4 2 3 3 2" xfId="10883" xr:uid="{00000000-0005-0000-0000-0000C3110000}"/>
    <cellStyle name="ItemTypeClass 2 4 2 3 3 3" xfId="10884" xr:uid="{00000000-0005-0000-0000-0000C4110000}"/>
    <cellStyle name="ItemTypeClass 2 4 2 3 3 4" xfId="10885" xr:uid="{00000000-0005-0000-0000-0000C5110000}"/>
    <cellStyle name="ItemTypeClass 2 4 2 3 3 5" xfId="10886" xr:uid="{00000000-0005-0000-0000-0000C6110000}"/>
    <cellStyle name="ItemTypeClass 2 4 2 3 3 6" xfId="10887" xr:uid="{00000000-0005-0000-0000-0000C7110000}"/>
    <cellStyle name="ItemTypeClass 2 4 2 3 4" xfId="10888" xr:uid="{00000000-0005-0000-0000-0000C8110000}"/>
    <cellStyle name="ItemTypeClass 2 4 2 3 4 2" xfId="10889" xr:uid="{00000000-0005-0000-0000-0000C9110000}"/>
    <cellStyle name="ItemTypeClass 2 4 2 3 4 3" xfId="10890" xr:uid="{00000000-0005-0000-0000-0000CA110000}"/>
    <cellStyle name="ItemTypeClass 2 4 2 3 4 4" xfId="10891" xr:uid="{00000000-0005-0000-0000-0000CB110000}"/>
    <cellStyle name="ItemTypeClass 2 4 2 3 4 5" xfId="10892" xr:uid="{00000000-0005-0000-0000-0000CC110000}"/>
    <cellStyle name="ItemTypeClass 2 4 2 3 4 6" xfId="10893" xr:uid="{00000000-0005-0000-0000-0000CD110000}"/>
    <cellStyle name="ItemTypeClass 2 4 2 3 5" xfId="10894" xr:uid="{00000000-0005-0000-0000-0000CE110000}"/>
    <cellStyle name="ItemTypeClass 2 4 2 3 6" xfId="10895" xr:uid="{00000000-0005-0000-0000-0000CF110000}"/>
    <cellStyle name="ItemTypeClass 2 4 2 3 7" xfId="10896" xr:uid="{00000000-0005-0000-0000-0000D0110000}"/>
    <cellStyle name="ItemTypeClass 2 4 2 3 8" xfId="10897" xr:uid="{00000000-0005-0000-0000-0000D1110000}"/>
    <cellStyle name="ItemTypeClass 2 4 2 3 9" xfId="10898" xr:uid="{00000000-0005-0000-0000-0000D2110000}"/>
    <cellStyle name="ItemTypeClass 2 4 2 4" xfId="10899" xr:uid="{00000000-0005-0000-0000-0000D3110000}"/>
    <cellStyle name="ItemTypeClass 2 4 2 4 10" xfId="10900" xr:uid="{00000000-0005-0000-0000-0000D4110000}"/>
    <cellStyle name="ItemTypeClass 2 4 2 4 11" xfId="10901" xr:uid="{00000000-0005-0000-0000-0000D5110000}"/>
    <cellStyle name="ItemTypeClass 2 4 2 4 12" xfId="10902" xr:uid="{00000000-0005-0000-0000-0000D6110000}"/>
    <cellStyle name="ItemTypeClass 2 4 2 4 2" xfId="10903" xr:uid="{00000000-0005-0000-0000-0000D7110000}"/>
    <cellStyle name="ItemTypeClass 2 4 2 4 2 2" xfId="10904" xr:uid="{00000000-0005-0000-0000-0000D8110000}"/>
    <cellStyle name="ItemTypeClass 2 4 2 4 2 3" xfId="10905" xr:uid="{00000000-0005-0000-0000-0000D9110000}"/>
    <cellStyle name="ItemTypeClass 2 4 2 4 2 4" xfId="10906" xr:uid="{00000000-0005-0000-0000-0000DA110000}"/>
    <cellStyle name="ItemTypeClass 2 4 2 4 2 5" xfId="10907" xr:uid="{00000000-0005-0000-0000-0000DB110000}"/>
    <cellStyle name="ItemTypeClass 2 4 2 4 3" xfId="10908" xr:uid="{00000000-0005-0000-0000-0000DC110000}"/>
    <cellStyle name="ItemTypeClass 2 4 2 4 3 2" xfId="10909" xr:uid="{00000000-0005-0000-0000-0000DD110000}"/>
    <cellStyle name="ItemTypeClass 2 4 2 4 3 3" xfId="10910" xr:uid="{00000000-0005-0000-0000-0000DE110000}"/>
    <cellStyle name="ItemTypeClass 2 4 2 4 3 4" xfId="10911" xr:uid="{00000000-0005-0000-0000-0000DF110000}"/>
    <cellStyle name="ItemTypeClass 2 4 2 4 3 5" xfId="10912" xr:uid="{00000000-0005-0000-0000-0000E0110000}"/>
    <cellStyle name="ItemTypeClass 2 4 2 4 3 6" xfId="10913" xr:uid="{00000000-0005-0000-0000-0000E1110000}"/>
    <cellStyle name="ItemTypeClass 2 4 2 4 4" xfId="10914" xr:uid="{00000000-0005-0000-0000-0000E2110000}"/>
    <cellStyle name="ItemTypeClass 2 4 2 4 4 2" xfId="10915" xr:uid="{00000000-0005-0000-0000-0000E3110000}"/>
    <cellStyle name="ItemTypeClass 2 4 2 4 4 3" xfId="10916" xr:uid="{00000000-0005-0000-0000-0000E4110000}"/>
    <cellStyle name="ItemTypeClass 2 4 2 4 4 4" xfId="10917" xr:uid="{00000000-0005-0000-0000-0000E5110000}"/>
    <cellStyle name="ItemTypeClass 2 4 2 4 4 5" xfId="10918" xr:uid="{00000000-0005-0000-0000-0000E6110000}"/>
    <cellStyle name="ItemTypeClass 2 4 2 4 4 6" xfId="10919" xr:uid="{00000000-0005-0000-0000-0000E7110000}"/>
    <cellStyle name="ItemTypeClass 2 4 2 4 5" xfId="10920" xr:uid="{00000000-0005-0000-0000-0000E8110000}"/>
    <cellStyle name="ItemTypeClass 2 4 2 4 6" xfId="10921" xr:uid="{00000000-0005-0000-0000-0000E9110000}"/>
    <cellStyle name="ItemTypeClass 2 4 2 4 7" xfId="10922" xr:uid="{00000000-0005-0000-0000-0000EA110000}"/>
    <cellStyle name="ItemTypeClass 2 4 2 4 8" xfId="10923" xr:uid="{00000000-0005-0000-0000-0000EB110000}"/>
    <cellStyle name="ItemTypeClass 2 4 2 4 9" xfId="10924" xr:uid="{00000000-0005-0000-0000-0000EC110000}"/>
    <cellStyle name="ItemTypeClass 2 4 2 5" xfId="10925" xr:uid="{00000000-0005-0000-0000-0000ED110000}"/>
    <cellStyle name="ItemTypeClass 2 4 2 5 2" xfId="10926" xr:uid="{00000000-0005-0000-0000-0000EE110000}"/>
    <cellStyle name="ItemTypeClass 2 4 2 5 3" xfId="10927" xr:uid="{00000000-0005-0000-0000-0000EF110000}"/>
    <cellStyle name="ItemTypeClass 2 4 2 5 4" xfId="10928" xr:uid="{00000000-0005-0000-0000-0000F0110000}"/>
    <cellStyle name="ItemTypeClass 2 4 2 5 5" xfId="10929" xr:uid="{00000000-0005-0000-0000-0000F1110000}"/>
    <cellStyle name="ItemTypeClass 2 4 2 6" xfId="10930" xr:uid="{00000000-0005-0000-0000-0000F2110000}"/>
    <cellStyle name="ItemTypeClass 2 4 2 6 2" xfId="10931" xr:uid="{00000000-0005-0000-0000-0000F3110000}"/>
    <cellStyle name="ItemTypeClass 2 4 2 6 3" xfId="10932" xr:uid="{00000000-0005-0000-0000-0000F4110000}"/>
    <cellStyle name="ItemTypeClass 2 4 2 6 4" xfId="10933" xr:uid="{00000000-0005-0000-0000-0000F5110000}"/>
    <cellStyle name="ItemTypeClass 2 4 2 6 5" xfId="10934" xr:uid="{00000000-0005-0000-0000-0000F6110000}"/>
    <cellStyle name="ItemTypeClass 2 4 2 6 6" xfId="10935" xr:uid="{00000000-0005-0000-0000-0000F7110000}"/>
    <cellStyle name="ItemTypeClass 2 4 2 7" xfId="10936" xr:uid="{00000000-0005-0000-0000-0000F8110000}"/>
    <cellStyle name="ItemTypeClass 2 4 2 7 2" xfId="10937" xr:uid="{00000000-0005-0000-0000-0000F9110000}"/>
    <cellStyle name="ItemTypeClass 2 4 2 7 3" xfId="10938" xr:uid="{00000000-0005-0000-0000-0000FA110000}"/>
    <cellStyle name="ItemTypeClass 2 4 2 7 4" xfId="10939" xr:uid="{00000000-0005-0000-0000-0000FB110000}"/>
    <cellStyle name="ItemTypeClass 2 4 2 7 5" xfId="10940" xr:uid="{00000000-0005-0000-0000-0000FC110000}"/>
    <cellStyle name="ItemTypeClass 2 4 2 7 6" xfId="10941" xr:uid="{00000000-0005-0000-0000-0000FD110000}"/>
    <cellStyle name="ItemTypeClass 2 4 2 8" xfId="10942" xr:uid="{00000000-0005-0000-0000-0000FE110000}"/>
    <cellStyle name="ItemTypeClass 2 4 2 9" xfId="10943" xr:uid="{00000000-0005-0000-0000-0000FF110000}"/>
    <cellStyle name="ItemTypeClass 2 4 3" xfId="10944" xr:uid="{00000000-0005-0000-0000-000000120000}"/>
    <cellStyle name="ItemTypeClass 2 4 3 10" xfId="10945" xr:uid="{00000000-0005-0000-0000-000001120000}"/>
    <cellStyle name="ItemTypeClass 2 4 3 11" xfId="10946" xr:uid="{00000000-0005-0000-0000-000002120000}"/>
    <cellStyle name="ItemTypeClass 2 4 3 12" xfId="10947" xr:uid="{00000000-0005-0000-0000-000003120000}"/>
    <cellStyle name="ItemTypeClass 2 4 3 13" xfId="10948" xr:uid="{00000000-0005-0000-0000-000004120000}"/>
    <cellStyle name="ItemTypeClass 2 4 3 14" xfId="10949" xr:uid="{00000000-0005-0000-0000-000005120000}"/>
    <cellStyle name="ItemTypeClass 2 4 3 15" xfId="10950" xr:uid="{00000000-0005-0000-0000-000006120000}"/>
    <cellStyle name="ItemTypeClass 2 4 3 2" xfId="10951" xr:uid="{00000000-0005-0000-0000-000007120000}"/>
    <cellStyle name="ItemTypeClass 2 4 3 2 10" xfId="10952" xr:uid="{00000000-0005-0000-0000-000008120000}"/>
    <cellStyle name="ItemTypeClass 2 4 3 2 11" xfId="10953" xr:uid="{00000000-0005-0000-0000-000009120000}"/>
    <cellStyle name="ItemTypeClass 2 4 3 2 12" xfId="10954" xr:uid="{00000000-0005-0000-0000-00000A120000}"/>
    <cellStyle name="ItemTypeClass 2 4 3 2 2" xfId="10955" xr:uid="{00000000-0005-0000-0000-00000B120000}"/>
    <cellStyle name="ItemTypeClass 2 4 3 2 2 2" xfId="10956" xr:uid="{00000000-0005-0000-0000-00000C120000}"/>
    <cellStyle name="ItemTypeClass 2 4 3 2 2 3" xfId="10957" xr:uid="{00000000-0005-0000-0000-00000D120000}"/>
    <cellStyle name="ItemTypeClass 2 4 3 2 2 4" xfId="10958" xr:uid="{00000000-0005-0000-0000-00000E120000}"/>
    <cellStyle name="ItemTypeClass 2 4 3 2 2 5" xfId="10959" xr:uid="{00000000-0005-0000-0000-00000F120000}"/>
    <cellStyle name="ItemTypeClass 2 4 3 2 3" xfId="10960" xr:uid="{00000000-0005-0000-0000-000010120000}"/>
    <cellStyle name="ItemTypeClass 2 4 3 2 3 2" xfId="10961" xr:uid="{00000000-0005-0000-0000-000011120000}"/>
    <cellStyle name="ItemTypeClass 2 4 3 2 3 3" xfId="10962" xr:uid="{00000000-0005-0000-0000-000012120000}"/>
    <cellStyle name="ItemTypeClass 2 4 3 2 3 4" xfId="10963" xr:uid="{00000000-0005-0000-0000-000013120000}"/>
    <cellStyle name="ItemTypeClass 2 4 3 2 3 5" xfId="10964" xr:uid="{00000000-0005-0000-0000-000014120000}"/>
    <cellStyle name="ItemTypeClass 2 4 3 2 3 6" xfId="10965" xr:uid="{00000000-0005-0000-0000-000015120000}"/>
    <cellStyle name="ItemTypeClass 2 4 3 2 4" xfId="10966" xr:uid="{00000000-0005-0000-0000-000016120000}"/>
    <cellStyle name="ItemTypeClass 2 4 3 2 4 2" xfId="10967" xr:uid="{00000000-0005-0000-0000-000017120000}"/>
    <cellStyle name="ItemTypeClass 2 4 3 2 4 3" xfId="10968" xr:uid="{00000000-0005-0000-0000-000018120000}"/>
    <cellStyle name="ItemTypeClass 2 4 3 2 4 4" xfId="10969" xr:uid="{00000000-0005-0000-0000-000019120000}"/>
    <cellStyle name="ItemTypeClass 2 4 3 2 4 5" xfId="10970" xr:uid="{00000000-0005-0000-0000-00001A120000}"/>
    <cellStyle name="ItemTypeClass 2 4 3 2 4 6" xfId="10971" xr:uid="{00000000-0005-0000-0000-00001B120000}"/>
    <cellStyle name="ItemTypeClass 2 4 3 2 5" xfId="10972" xr:uid="{00000000-0005-0000-0000-00001C120000}"/>
    <cellStyle name="ItemTypeClass 2 4 3 2 6" xfId="10973" xr:uid="{00000000-0005-0000-0000-00001D120000}"/>
    <cellStyle name="ItemTypeClass 2 4 3 2 7" xfId="10974" xr:uid="{00000000-0005-0000-0000-00001E120000}"/>
    <cellStyle name="ItemTypeClass 2 4 3 2 8" xfId="10975" xr:uid="{00000000-0005-0000-0000-00001F120000}"/>
    <cellStyle name="ItemTypeClass 2 4 3 2 9" xfId="10976" xr:uid="{00000000-0005-0000-0000-000020120000}"/>
    <cellStyle name="ItemTypeClass 2 4 3 3" xfId="10977" xr:uid="{00000000-0005-0000-0000-000021120000}"/>
    <cellStyle name="ItemTypeClass 2 4 3 3 10" xfId="10978" xr:uid="{00000000-0005-0000-0000-000022120000}"/>
    <cellStyle name="ItemTypeClass 2 4 3 3 11" xfId="10979" xr:uid="{00000000-0005-0000-0000-000023120000}"/>
    <cellStyle name="ItemTypeClass 2 4 3 3 12" xfId="10980" xr:uid="{00000000-0005-0000-0000-000024120000}"/>
    <cellStyle name="ItemTypeClass 2 4 3 3 2" xfId="10981" xr:uid="{00000000-0005-0000-0000-000025120000}"/>
    <cellStyle name="ItemTypeClass 2 4 3 3 2 2" xfId="10982" xr:uid="{00000000-0005-0000-0000-000026120000}"/>
    <cellStyle name="ItemTypeClass 2 4 3 3 2 3" xfId="10983" xr:uid="{00000000-0005-0000-0000-000027120000}"/>
    <cellStyle name="ItemTypeClass 2 4 3 3 2 4" xfId="10984" xr:uid="{00000000-0005-0000-0000-000028120000}"/>
    <cellStyle name="ItemTypeClass 2 4 3 3 2 5" xfId="10985" xr:uid="{00000000-0005-0000-0000-000029120000}"/>
    <cellStyle name="ItemTypeClass 2 4 3 3 3" xfId="10986" xr:uid="{00000000-0005-0000-0000-00002A120000}"/>
    <cellStyle name="ItemTypeClass 2 4 3 3 3 2" xfId="10987" xr:uid="{00000000-0005-0000-0000-00002B120000}"/>
    <cellStyle name="ItemTypeClass 2 4 3 3 3 3" xfId="10988" xr:uid="{00000000-0005-0000-0000-00002C120000}"/>
    <cellStyle name="ItemTypeClass 2 4 3 3 3 4" xfId="10989" xr:uid="{00000000-0005-0000-0000-00002D120000}"/>
    <cellStyle name="ItemTypeClass 2 4 3 3 3 5" xfId="10990" xr:uid="{00000000-0005-0000-0000-00002E120000}"/>
    <cellStyle name="ItemTypeClass 2 4 3 3 3 6" xfId="10991" xr:uid="{00000000-0005-0000-0000-00002F120000}"/>
    <cellStyle name="ItemTypeClass 2 4 3 3 4" xfId="10992" xr:uid="{00000000-0005-0000-0000-000030120000}"/>
    <cellStyle name="ItemTypeClass 2 4 3 3 4 2" xfId="10993" xr:uid="{00000000-0005-0000-0000-000031120000}"/>
    <cellStyle name="ItemTypeClass 2 4 3 3 4 3" xfId="10994" xr:uid="{00000000-0005-0000-0000-000032120000}"/>
    <cellStyle name="ItemTypeClass 2 4 3 3 4 4" xfId="10995" xr:uid="{00000000-0005-0000-0000-000033120000}"/>
    <cellStyle name="ItemTypeClass 2 4 3 3 4 5" xfId="10996" xr:uid="{00000000-0005-0000-0000-000034120000}"/>
    <cellStyle name="ItemTypeClass 2 4 3 3 4 6" xfId="10997" xr:uid="{00000000-0005-0000-0000-000035120000}"/>
    <cellStyle name="ItemTypeClass 2 4 3 3 5" xfId="10998" xr:uid="{00000000-0005-0000-0000-000036120000}"/>
    <cellStyle name="ItemTypeClass 2 4 3 3 6" xfId="10999" xr:uid="{00000000-0005-0000-0000-000037120000}"/>
    <cellStyle name="ItemTypeClass 2 4 3 3 7" xfId="11000" xr:uid="{00000000-0005-0000-0000-000038120000}"/>
    <cellStyle name="ItemTypeClass 2 4 3 3 8" xfId="11001" xr:uid="{00000000-0005-0000-0000-000039120000}"/>
    <cellStyle name="ItemTypeClass 2 4 3 3 9" xfId="11002" xr:uid="{00000000-0005-0000-0000-00003A120000}"/>
    <cellStyle name="ItemTypeClass 2 4 3 4" xfId="11003" xr:uid="{00000000-0005-0000-0000-00003B120000}"/>
    <cellStyle name="ItemTypeClass 2 4 3 4 10" xfId="11004" xr:uid="{00000000-0005-0000-0000-00003C120000}"/>
    <cellStyle name="ItemTypeClass 2 4 3 4 11" xfId="11005" xr:uid="{00000000-0005-0000-0000-00003D120000}"/>
    <cellStyle name="ItemTypeClass 2 4 3 4 12" xfId="11006" xr:uid="{00000000-0005-0000-0000-00003E120000}"/>
    <cellStyle name="ItemTypeClass 2 4 3 4 2" xfId="11007" xr:uid="{00000000-0005-0000-0000-00003F120000}"/>
    <cellStyle name="ItemTypeClass 2 4 3 4 2 2" xfId="11008" xr:uid="{00000000-0005-0000-0000-000040120000}"/>
    <cellStyle name="ItemTypeClass 2 4 3 4 2 3" xfId="11009" xr:uid="{00000000-0005-0000-0000-000041120000}"/>
    <cellStyle name="ItemTypeClass 2 4 3 4 2 4" xfId="11010" xr:uid="{00000000-0005-0000-0000-000042120000}"/>
    <cellStyle name="ItemTypeClass 2 4 3 4 2 5" xfId="11011" xr:uid="{00000000-0005-0000-0000-000043120000}"/>
    <cellStyle name="ItemTypeClass 2 4 3 4 3" xfId="11012" xr:uid="{00000000-0005-0000-0000-000044120000}"/>
    <cellStyle name="ItemTypeClass 2 4 3 4 3 2" xfId="11013" xr:uid="{00000000-0005-0000-0000-000045120000}"/>
    <cellStyle name="ItemTypeClass 2 4 3 4 3 3" xfId="11014" xr:uid="{00000000-0005-0000-0000-000046120000}"/>
    <cellStyle name="ItemTypeClass 2 4 3 4 3 4" xfId="11015" xr:uid="{00000000-0005-0000-0000-000047120000}"/>
    <cellStyle name="ItemTypeClass 2 4 3 4 3 5" xfId="11016" xr:uid="{00000000-0005-0000-0000-000048120000}"/>
    <cellStyle name="ItemTypeClass 2 4 3 4 3 6" xfId="11017" xr:uid="{00000000-0005-0000-0000-000049120000}"/>
    <cellStyle name="ItemTypeClass 2 4 3 4 4" xfId="11018" xr:uid="{00000000-0005-0000-0000-00004A120000}"/>
    <cellStyle name="ItemTypeClass 2 4 3 4 4 2" xfId="11019" xr:uid="{00000000-0005-0000-0000-00004B120000}"/>
    <cellStyle name="ItemTypeClass 2 4 3 4 4 3" xfId="11020" xr:uid="{00000000-0005-0000-0000-00004C120000}"/>
    <cellStyle name="ItemTypeClass 2 4 3 4 4 4" xfId="11021" xr:uid="{00000000-0005-0000-0000-00004D120000}"/>
    <cellStyle name="ItemTypeClass 2 4 3 4 4 5" xfId="11022" xr:uid="{00000000-0005-0000-0000-00004E120000}"/>
    <cellStyle name="ItemTypeClass 2 4 3 4 4 6" xfId="11023" xr:uid="{00000000-0005-0000-0000-00004F120000}"/>
    <cellStyle name="ItemTypeClass 2 4 3 4 5" xfId="11024" xr:uid="{00000000-0005-0000-0000-000050120000}"/>
    <cellStyle name="ItemTypeClass 2 4 3 4 6" xfId="11025" xr:uid="{00000000-0005-0000-0000-000051120000}"/>
    <cellStyle name="ItemTypeClass 2 4 3 4 7" xfId="11026" xr:uid="{00000000-0005-0000-0000-000052120000}"/>
    <cellStyle name="ItemTypeClass 2 4 3 4 8" xfId="11027" xr:uid="{00000000-0005-0000-0000-000053120000}"/>
    <cellStyle name="ItemTypeClass 2 4 3 4 9" xfId="11028" xr:uid="{00000000-0005-0000-0000-000054120000}"/>
    <cellStyle name="ItemTypeClass 2 4 3 5" xfId="11029" xr:uid="{00000000-0005-0000-0000-000055120000}"/>
    <cellStyle name="ItemTypeClass 2 4 3 5 2" xfId="11030" xr:uid="{00000000-0005-0000-0000-000056120000}"/>
    <cellStyle name="ItemTypeClass 2 4 3 5 3" xfId="11031" xr:uid="{00000000-0005-0000-0000-000057120000}"/>
    <cellStyle name="ItemTypeClass 2 4 3 5 4" xfId="11032" xr:uid="{00000000-0005-0000-0000-000058120000}"/>
    <cellStyle name="ItemTypeClass 2 4 3 5 5" xfId="11033" xr:uid="{00000000-0005-0000-0000-000059120000}"/>
    <cellStyle name="ItemTypeClass 2 4 3 6" xfId="11034" xr:uid="{00000000-0005-0000-0000-00005A120000}"/>
    <cellStyle name="ItemTypeClass 2 4 3 6 2" xfId="11035" xr:uid="{00000000-0005-0000-0000-00005B120000}"/>
    <cellStyle name="ItemTypeClass 2 4 3 6 3" xfId="11036" xr:uid="{00000000-0005-0000-0000-00005C120000}"/>
    <cellStyle name="ItemTypeClass 2 4 3 6 4" xfId="11037" xr:uid="{00000000-0005-0000-0000-00005D120000}"/>
    <cellStyle name="ItemTypeClass 2 4 3 6 5" xfId="11038" xr:uid="{00000000-0005-0000-0000-00005E120000}"/>
    <cellStyle name="ItemTypeClass 2 4 3 6 6" xfId="11039" xr:uid="{00000000-0005-0000-0000-00005F120000}"/>
    <cellStyle name="ItemTypeClass 2 4 3 7" xfId="11040" xr:uid="{00000000-0005-0000-0000-000060120000}"/>
    <cellStyle name="ItemTypeClass 2 4 3 7 2" xfId="11041" xr:uid="{00000000-0005-0000-0000-000061120000}"/>
    <cellStyle name="ItemTypeClass 2 4 3 7 3" xfId="11042" xr:uid="{00000000-0005-0000-0000-000062120000}"/>
    <cellStyle name="ItemTypeClass 2 4 3 7 4" xfId="11043" xr:uid="{00000000-0005-0000-0000-000063120000}"/>
    <cellStyle name="ItemTypeClass 2 4 3 7 5" xfId="11044" xr:uid="{00000000-0005-0000-0000-000064120000}"/>
    <cellStyle name="ItemTypeClass 2 4 3 7 6" xfId="11045" xr:uid="{00000000-0005-0000-0000-000065120000}"/>
    <cellStyle name="ItemTypeClass 2 4 3 8" xfId="11046" xr:uid="{00000000-0005-0000-0000-000066120000}"/>
    <cellStyle name="ItemTypeClass 2 4 3 9" xfId="11047" xr:uid="{00000000-0005-0000-0000-000067120000}"/>
    <cellStyle name="ItemTypeClass 2 4 4" xfId="11048" xr:uid="{00000000-0005-0000-0000-000068120000}"/>
    <cellStyle name="ItemTypeClass 2 4 4 10" xfId="11049" xr:uid="{00000000-0005-0000-0000-000069120000}"/>
    <cellStyle name="ItemTypeClass 2 4 4 11" xfId="11050" xr:uid="{00000000-0005-0000-0000-00006A120000}"/>
    <cellStyle name="ItemTypeClass 2 4 4 12" xfId="11051" xr:uid="{00000000-0005-0000-0000-00006B120000}"/>
    <cellStyle name="ItemTypeClass 2 4 4 2" xfId="11052" xr:uid="{00000000-0005-0000-0000-00006C120000}"/>
    <cellStyle name="ItemTypeClass 2 4 4 2 2" xfId="11053" xr:uid="{00000000-0005-0000-0000-00006D120000}"/>
    <cellStyle name="ItemTypeClass 2 4 4 2 3" xfId="11054" xr:uid="{00000000-0005-0000-0000-00006E120000}"/>
    <cellStyle name="ItemTypeClass 2 4 4 2 4" xfId="11055" xr:uid="{00000000-0005-0000-0000-00006F120000}"/>
    <cellStyle name="ItemTypeClass 2 4 4 2 5" xfId="11056" xr:uid="{00000000-0005-0000-0000-000070120000}"/>
    <cellStyle name="ItemTypeClass 2 4 4 3" xfId="11057" xr:uid="{00000000-0005-0000-0000-000071120000}"/>
    <cellStyle name="ItemTypeClass 2 4 4 3 2" xfId="11058" xr:uid="{00000000-0005-0000-0000-000072120000}"/>
    <cellStyle name="ItemTypeClass 2 4 4 3 3" xfId="11059" xr:uid="{00000000-0005-0000-0000-000073120000}"/>
    <cellStyle name="ItemTypeClass 2 4 4 3 4" xfId="11060" xr:uid="{00000000-0005-0000-0000-000074120000}"/>
    <cellStyle name="ItemTypeClass 2 4 4 3 5" xfId="11061" xr:uid="{00000000-0005-0000-0000-000075120000}"/>
    <cellStyle name="ItemTypeClass 2 4 4 3 6" xfId="11062" xr:uid="{00000000-0005-0000-0000-000076120000}"/>
    <cellStyle name="ItemTypeClass 2 4 4 4" xfId="11063" xr:uid="{00000000-0005-0000-0000-000077120000}"/>
    <cellStyle name="ItemTypeClass 2 4 4 4 2" xfId="11064" xr:uid="{00000000-0005-0000-0000-000078120000}"/>
    <cellStyle name="ItemTypeClass 2 4 4 4 3" xfId="11065" xr:uid="{00000000-0005-0000-0000-000079120000}"/>
    <cellStyle name="ItemTypeClass 2 4 4 4 4" xfId="11066" xr:uid="{00000000-0005-0000-0000-00007A120000}"/>
    <cellStyle name="ItemTypeClass 2 4 4 4 5" xfId="11067" xr:uid="{00000000-0005-0000-0000-00007B120000}"/>
    <cellStyle name="ItemTypeClass 2 4 4 4 6" xfId="11068" xr:uid="{00000000-0005-0000-0000-00007C120000}"/>
    <cellStyle name="ItemTypeClass 2 4 4 5" xfId="11069" xr:uid="{00000000-0005-0000-0000-00007D120000}"/>
    <cellStyle name="ItemTypeClass 2 4 4 6" xfId="11070" xr:uid="{00000000-0005-0000-0000-00007E120000}"/>
    <cellStyle name="ItemTypeClass 2 4 4 7" xfId="11071" xr:uid="{00000000-0005-0000-0000-00007F120000}"/>
    <cellStyle name="ItemTypeClass 2 4 4 8" xfId="11072" xr:uid="{00000000-0005-0000-0000-000080120000}"/>
    <cellStyle name="ItemTypeClass 2 4 4 9" xfId="11073" xr:uid="{00000000-0005-0000-0000-000081120000}"/>
    <cellStyle name="ItemTypeClass 2 4 5" xfId="11074" xr:uid="{00000000-0005-0000-0000-000082120000}"/>
    <cellStyle name="ItemTypeClass 2 4 5 10" xfId="11075" xr:uid="{00000000-0005-0000-0000-000083120000}"/>
    <cellStyle name="ItemTypeClass 2 4 5 11" xfId="11076" xr:uid="{00000000-0005-0000-0000-000084120000}"/>
    <cellStyle name="ItemTypeClass 2 4 5 12" xfId="11077" xr:uid="{00000000-0005-0000-0000-000085120000}"/>
    <cellStyle name="ItemTypeClass 2 4 5 2" xfId="11078" xr:uid="{00000000-0005-0000-0000-000086120000}"/>
    <cellStyle name="ItemTypeClass 2 4 5 2 2" xfId="11079" xr:uid="{00000000-0005-0000-0000-000087120000}"/>
    <cellStyle name="ItemTypeClass 2 4 5 2 3" xfId="11080" xr:uid="{00000000-0005-0000-0000-000088120000}"/>
    <cellStyle name="ItemTypeClass 2 4 5 2 4" xfId="11081" xr:uid="{00000000-0005-0000-0000-000089120000}"/>
    <cellStyle name="ItemTypeClass 2 4 5 2 5" xfId="11082" xr:uid="{00000000-0005-0000-0000-00008A120000}"/>
    <cellStyle name="ItemTypeClass 2 4 5 3" xfId="11083" xr:uid="{00000000-0005-0000-0000-00008B120000}"/>
    <cellStyle name="ItemTypeClass 2 4 5 3 2" xfId="11084" xr:uid="{00000000-0005-0000-0000-00008C120000}"/>
    <cellStyle name="ItemTypeClass 2 4 5 3 3" xfId="11085" xr:uid="{00000000-0005-0000-0000-00008D120000}"/>
    <cellStyle name="ItemTypeClass 2 4 5 3 4" xfId="11086" xr:uid="{00000000-0005-0000-0000-00008E120000}"/>
    <cellStyle name="ItemTypeClass 2 4 5 3 5" xfId="11087" xr:uid="{00000000-0005-0000-0000-00008F120000}"/>
    <cellStyle name="ItemTypeClass 2 4 5 3 6" xfId="11088" xr:uid="{00000000-0005-0000-0000-000090120000}"/>
    <cellStyle name="ItemTypeClass 2 4 5 4" xfId="11089" xr:uid="{00000000-0005-0000-0000-000091120000}"/>
    <cellStyle name="ItemTypeClass 2 4 5 4 2" xfId="11090" xr:uid="{00000000-0005-0000-0000-000092120000}"/>
    <cellStyle name="ItemTypeClass 2 4 5 4 3" xfId="11091" xr:uid="{00000000-0005-0000-0000-000093120000}"/>
    <cellStyle name="ItemTypeClass 2 4 5 4 4" xfId="11092" xr:uid="{00000000-0005-0000-0000-000094120000}"/>
    <cellStyle name="ItemTypeClass 2 4 5 4 5" xfId="11093" xr:uid="{00000000-0005-0000-0000-000095120000}"/>
    <cellStyle name="ItemTypeClass 2 4 5 4 6" xfId="11094" xr:uid="{00000000-0005-0000-0000-000096120000}"/>
    <cellStyle name="ItemTypeClass 2 4 5 5" xfId="11095" xr:uid="{00000000-0005-0000-0000-000097120000}"/>
    <cellStyle name="ItemTypeClass 2 4 5 6" xfId="11096" xr:uid="{00000000-0005-0000-0000-000098120000}"/>
    <cellStyle name="ItemTypeClass 2 4 5 7" xfId="11097" xr:uid="{00000000-0005-0000-0000-000099120000}"/>
    <cellStyle name="ItemTypeClass 2 4 5 8" xfId="11098" xr:uid="{00000000-0005-0000-0000-00009A120000}"/>
    <cellStyle name="ItemTypeClass 2 4 5 9" xfId="11099" xr:uid="{00000000-0005-0000-0000-00009B120000}"/>
    <cellStyle name="ItemTypeClass 2 4 6" xfId="11100" xr:uid="{00000000-0005-0000-0000-00009C120000}"/>
    <cellStyle name="ItemTypeClass 2 4 6 10" xfId="11101" xr:uid="{00000000-0005-0000-0000-00009D120000}"/>
    <cellStyle name="ItemTypeClass 2 4 6 11" xfId="11102" xr:uid="{00000000-0005-0000-0000-00009E120000}"/>
    <cellStyle name="ItemTypeClass 2 4 6 12" xfId="11103" xr:uid="{00000000-0005-0000-0000-00009F120000}"/>
    <cellStyle name="ItemTypeClass 2 4 6 2" xfId="11104" xr:uid="{00000000-0005-0000-0000-0000A0120000}"/>
    <cellStyle name="ItemTypeClass 2 4 6 2 2" xfId="11105" xr:uid="{00000000-0005-0000-0000-0000A1120000}"/>
    <cellStyle name="ItemTypeClass 2 4 6 2 3" xfId="11106" xr:uid="{00000000-0005-0000-0000-0000A2120000}"/>
    <cellStyle name="ItemTypeClass 2 4 6 2 4" xfId="11107" xr:uid="{00000000-0005-0000-0000-0000A3120000}"/>
    <cellStyle name="ItemTypeClass 2 4 6 2 5" xfId="11108" xr:uid="{00000000-0005-0000-0000-0000A4120000}"/>
    <cellStyle name="ItemTypeClass 2 4 6 3" xfId="11109" xr:uid="{00000000-0005-0000-0000-0000A5120000}"/>
    <cellStyle name="ItemTypeClass 2 4 6 3 2" xfId="11110" xr:uid="{00000000-0005-0000-0000-0000A6120000}"/>
    <cellStyle name="ItemTypeClass 2 4 6 3 3" xfId="11111" xr:uid="{00000000-0005-0000-0000-0000A7120000}"/>
    <cellStyle name="ItemTypeClass 2 4 6 3 4" xfId="11112" xr:uid="{00000000-0005-0000-0000-0000A8120000}"/>
    <cellStyle name="ItemTypeClass 2 4 6 3 5" xfId="11113" xr:uid="{00000000-0005-0000-0000-0000A9120000}"/>
    <cellStyle name="ItemTypeClass 2 4 6 3 6" xfId="11114" xr:uid="{00000000-0005-0000-0000-0000AA120000}"/>
    <cellStyle name="ItemTypeClass 2 4 6 4" xfId="11115" xr:uid="{00000000-0005-0000-0000-0000AB120000}"/>
    <cellStyle name="ItemTypeClass 2 4 6 4 2" xfId="11116" xr:uid="{00000000-0005-0000-0000-0000AC120000}"/>
    <cellStyle name="ItemTypeClass 2 4 6 4 3" xfId="11117" xr:uid="{00000000-0005-0000-0000-0000AD120000}"/>
    <cellStyle name="ItemTypeClass 2 4 6 4 4" xfId="11118" xr:uid="{00000000-0005-0000-0000-0000AE120000}"/>
    <cellStyle name="ItemTypeClass 2 4 6 4 5" xfId="11119" xr:uid="{00000000-0005-0000-0000-0000AF120000}"/>
    <cellStyle name="ItemTypeClass 2 4 6 4 6" xfId="11120" xr:uid="{00000000-0005-0000-0000-0000B0120000}"/>
    <cellStyle name="ItemTypeClass 2 4 6 5" xfId="11121" xr:uid="{00000000-0005-0000-0000-0000B1120000}"/>
    <cellStyle name="ItemTypeClass 2 4 6 6" xfId="11122" xr:uid="{00000000-0005-0000-0000-0000B2120000}"/>
    <cellStyle name="ItemTypeClass 2 4 6 7" xfId="11123" xr:uid="{00000000-0005-0000-0000-0000B3120000}"/>
    <cellStyle name="ItemTypeClass 2 4 6 8" xfId="11124" xr:uid="{00000000-0005-0000-0000-0000B4120000}"/>
    <cellStyle name="ItemTypeClass 2 4 6 9" xfId="11125" xr:uid="{00000000-0005-0000-0000-0000B5120000}"/>
    <cellStyle name="ItemTypeClass 2 4 7" xfId="11126" xr:uid="{00000000-0005-0000-0000-0000B6120000}"/>
    <cellStyle name="ItemTypeClass 2 4 7 2" xfId="11127" xr:uid="{00000000-0005-0000-0000-0000B7120000}"/>
    <cellStyle name="ItemTypeClass 2 4 7 3" xfId="11128" xr:uid="{00000000-0005-0000-0000-0000B8120000}"/>
    <cellStyle name="ItemTypeClass 2 4 7 4" xfId="11129" xr:uid="{00000000-0005-0000-0000-0000B9120000}"/>
    <cellStyle name="ItemTypeClass 2 4 7 5" xfId="11130" xr:uid="{00000000-0005-0000-0000-0000BA120000}"/>
    <cellStyle name="ItemTypeClass 2 4 8" xfId="11131" xr:uid="{00000000-0005-0000-0000-0000BB120000}"/>
    <cellStyle name="ItemTypeClass 2 4 8 2" xfId="11132" xr:uid="{00000000-0005-0000-0000-0000BC120000}"/>
    <cellStyle name="ItemTypeClass 2 4 8 3" xfId="11133" xr:uid="{00000000-0005-0000-0000-0000BD120000}"/>
    <cellStyle name="ItemTypeClass 2 4 8 4" xfId="11134" xr:uid="{00000000-0005-0000-0000-0000BE120000}"/>
    <cellStyle name="ItemTypeClass 2 4 8 5" xfId="11135" xr:uid="{00000000-0005-0000-0000-0000BF120000}"/>
    <cellStyle name="ItemTypeClass 2 4 8 6" xfId="11136" xr:uid="{00000000-0005-0000-0000-0000C0120000}"/>
    <cellStyle name="ItemTypeClass 2 4 9" xfId="11137" xr:uid="{00000000-0005-0000-0000-0000C1120000}"/>
    <cellStyle name="ItemTypeClass 2 4 9 2" xfId="11138" xr:uid="{00000000-0005-0000-0000-0000C2120000}"/>
    <cellStyle name="ItemTypeClass 2 4 9 3" xfId="11139" xr:uid="{00000000-0005-0000-0000-0000C3120000}"/>
    <cellStyle name="ItemTypeClass 2 4 9 4" xfId="11140" xr:uid="{00000000-0005-0000-0000-0000C4120000}"/>
    <cellStyle name="ItemTypeClass 2 4 9 5" xfId="11141" xr:uid="{00000000-0005-0000-0000-0000C5120000}"/>
    <cellStyle name="ItemTypeClass 2 4 9 6" xfId="11142" xr:uid="{00000000-0005-0000-0000-0000C6120000}"/>
    <cellStyle name="ItemTypeClass 2 5" xfId="11143" xr:uid="{00000000-0005-0000-0000-0000C7120000}"/>
    <cellStyle name="ItemTypeClass 2 5 10" xfId="11144" xr:uid="{00000000-0005-0000-0000-0000C8120000}"/>
    <cellStyle name="ItemTypeClass 2 5 11" xfId="11145" xr:uid="{00000000-0005-0000-0000-0000C9120000}"/>
    <cellStyle name="ItemTypeClass 2 5 12" xfId="11146" xr:uid="{00000000-0005-0000-0000-0000CA120000}"/>
    <cellStyle name="ItemTypeClass 2 5 13" xfId="11147" xr:uid="{00000000-0005-0000-0000-0000CB120000}"/>
    <cellStyle name="ItemTypeClass 2 5 14" xfId="11148" xr:uid="{00000000-0005-0000-0000-0000CC120000}"/>
    <cellStyle name="ItemTypeClass 2 5 15" xfId="11149" xr:uid="{00000000-0005-0000-0000-0000CD120000}"/>
    <cellStyle name="ItemTypeClass 2 5 2" xfId="11150" xr:uid="{00000000-0005-0000-0000-0000CE120000}"/>
    <cellStyle name="ItemTypeClass 2 5 2 10" xfId="11151" xr:uid="{00000000-0005-0000-0000-0000CF120000}"/>
    <cellStyle name="ItemTypeClass 2 5 2 11" xfId="11152" xr:uid="{00000000-0005-0000-0000-0000D0120000}"/>
    <cellStyle name="ItemTypeClass 2 5 2 12" xfId="11153" xr:uid="{00000000-0005-0000-0000-0000D1120000}"/>
    <cellStyle name="ItemTypeClass 2 5 2 2" xfId="11154" xr:uid="{00000000-0005-0000-0000-0000D2120000}"/>
    <cellStyle name="ItemTypeClass 2 5 2 2 2" xfId="11155" xr:uid="{00000000-0005-0000-0000-0000D3120000}"/>
    <cellStyle name="ItemTypeClass 2 5 2 2 3" xfId="11156" xr:uid="{00000000-0005-0000-0000-0000D4120000}"/>
    <cellStyle name="ItemTypeClass 2 5 2 2 4" xfId="11157" xr:uid="{00000000-0005-0000-0000-0000D5120000}"/>
    <cellStyle name="ItemTypeClass 2 5 2 2 5" xfId="11158" xr:uid="{00000000-0005-0000-0000-0000D6120000}"/>
    <cellStyle name="ItemTypeClass 2 5 2 3" xfId="11159" xr:uid="{00000000-0005-0000-0000-0000D7120000}"/>
    <cellStyle name="ItemTypeClass 2 5 2 3 2" xfId="11160" xr:uid="{00000000-0005-0000-0000-0000D8120000}"/>
    <cellStyle name="ItemTypeClass 2 5 2 3 3" xfId="11161" xr:uid="{00000000-0005-0000-0000-0000D9120000}"/>
    <cellStyle name="ItemTypeClass 2 5 2 3 4" xfId="11162" xr:uid="{00000000-0005-0000-0000-0000DA120000}"/>
    <cellStyle name="ItemTypeClass 2 5 2 3 5" xfId="11163" xr:uid="{00000000-0005-0000-0000-0000DB120000}"/>
    <cellStyle name="ItemTypeClass 2 5 2 3 6" xfId="11164" xr:uid="{00000000-0005-0000-0000-0000DC120000}"/>
    <cellStyle name="ItemTypeClass 2 5 2 4" xfId="11165" xr:uid="{00000000-0005-0000-0000-0000DD120000}"/>
    <cellStyle name="ItemTypeClass 2 5 2 4 2" xfId="11166" xr:uid="{00000000-0005-0000-0000-0000DE120000}"/>
    <cellStyle name="ItemTypeClass 2 5 2 4 3" xfId="11167" xr:uid="{00000000-0005-0000-0000-0000DF120000}"/>
    <cellStyle name="ItemTypeClass 2 5 2 4 4" xfId="11168" xr:uid="{00000000-0005-0000-0000-0000E0120000}"/>
    <cellStyle name="ItemTypeClass 2 5 2 4 5" xfId="11169" xr:uid="{00000000-0005-0000-0000-0000E1120000}"/>
    <cellStyle name="ItemTypeClass 2 5 2 4 6" xfId="11170" xr:uid="{00000000-0005-0000-0000-0000E2120000}"/>
    <cellStyle name="ItemTypeClass 2 5 2 5" xfId="11171" xr:uid="{00000000-0005-0000-0000-0000E3120000}"/>
    <cellStyle name="ItemTypeClass 2 5 2 6" xfId="11172" xr:uid="{00000000-0005-0000-0000-0000E4120000}"/>
    <cellStyle name="ItemTypeClass 2 5 2 7" xfId="11173" xr:uid="{00000000-0005-0000-0000-0000E5120000}"/>
    <cellStyle name="ItemTypeClass 2 5 2 8" xfId="11174" xr:uid="{00000000-0005-0000-0000-0000E6120000}"/>
    <cellStyle name="ItemTypeClass 2 5 2 9" xfId="11175" xr:uid="{00000000-0005-0000-0000-0000E7120000}"/>
    <cellStyle name="ItemTypeClass 2 5 3" xfId="11176" xr:uid="{00000000-0005-0000-0000-0000E8120000}"/>
    <cellStyle name="ItemTypeClass 2 5 3 10" xfId="11177" xr:uid="{00000000-0005-0000-0000-0000E9120000}"/>
    <cellStyle name="ItemTypeClass 2 5 3 11" xfId="11178" xr:uid="{00000000-0005-0000-0000-0000EA120000}"/>
    <cellStyle name="ItemTypeClass 2 5 3 12" xfId="11179" xr:uid="{00000000-0005-0000-0000-0000EB120000}"/>
    <cellStyle name="ItemTypeClass 2 5 3 2" xfId="11180" xr:uid="{00000000-0005-0000-0000-0000EC120000}"/>
    <cellStyle name="ItemTypeClass 2 5 3 2 2" xfId="11181" xr:uid="{00000000-0005-0000-0000-0000ED120000}"/>
    <cellStyle name="ItemTypeClass 2 5 3 2 3" xfId="11182" xr:uid="{00000000-0005-0000-0000-0000EE120000}"/>
    <cellStyle name="ItemTypeClass 2 5 3 2 4" xfId="11183" xr:uid="{00000000-0005-0000-0000-0000EF120000}"/>
    <cellStyle name="ItemTypeClass 2 5 3 2 5" xfId="11184" xr:uid="{00000000-0005-0000-0000-0000F0120000}"/>
    <cellStyle name="ItemTypeClass 2 5 3 3" xfId="11185" xr:uid="{00000000-0005-0000-0000-0000F1120000}"/>
    <cellStyle name="ItemTypeClass 2 5 3 3 2" xfId="11186" xr:uid="{00000000-0005-0000-0000-0000F2120000}"/>
    <cellStyle name="ItemTypeClass 2 5 3 3 3" xfId="11187" xr:uid="{00000000-0005-0000-0000-0000F3120000}"/>
    <cellStyle name="ItemTypeClass 2 5 3 3 4" xfId="11188" xr:uid="{00000000-0005-0000-0000-0000F4120000}"/>
    <cellStyle name="ItemTypeClass 2 5 3 3 5" xfId="11189" xr:uid="{00000000-0005-0000-0000-0000F5120000}"/>
    <cellStyle name="ItemTypeClass 2 5 3 3 6" xfId="11190" xr:uid="{00000000-0005-0000-0000-0000F6120000}"/>
    <cellStyle name="ItemTypeClass 2 5 3 4" xfId="11191" xr:uid="{00000000-0005-0000-0000-0000F7120000}"/>
    <cellStyle name="ItemTypeClass 2 5 3 4 2" xfId="11192" xr:uid="{00000000-0005-0000-0000-0000F8120000}"/>
    <cellStyle name="ItemTypeClass 2 5 3 4 3" xfId="11193" xr:uid="{00000000-0005-0000-0000-0000F9120000}"/>
    <cellStyle name="ItemTypeClass 2 5 3 4 4" xfId="11194" xr:uid="{00000000-0005-0000-0000-0000FA120000}"/>
    <cellStyle name="ItemTypeClass 2 5 3 4 5" xfId="11195" xr:uid="{00000000-0005-0000-0000-0000FB120000}"/>
    <cellStyle name="ItemTypeClass 2 5 3 4 6" xfId="11196" xr:uid="{00000000-0005-0000-0000-0000FC120000}"/>
    <cellStyle name="ItemTypeClass 2 5 3 5" xfId="11197" xr:uid="{00000000-0005-0000-0000-0000FD120000}"/>
    <cellStyle name="ItemTypeClass 2 5 3 6" xfId="11198" xr:uid="{00000000-0005-0000-0000-0000FE120000}"/>
    <cellStyle name="ItemTypeClass 2 5 3 7" xfId="11199" xr:uid="{00000000-0005-0000-0000-0000FF120000}"/>
    <cellStyle name="ItemTypeClass 2 5 3 8" xfId="11200" xr:uid="{00000000-0005-0000-0000-000000130000}"/>
    <cellStyle name="ItemTypeClass 2 5 3 9" xfId="11201" xr:uid="{00000000-0005-0000-0000-000001130000}"/>
    <cellStyle name="ItemTypeClass 2 5 4" xfId="11202" xr:uid="{00000000-0005-0000-0000-000002130000}"/>
    <cellStyle name="ItemTypeClass 2 5 4 10" xfId="11203" xr:uid="{00000000-0005-0000-0000-000003130000}"/>
    <cellStyle name="ItemTypeClass 2 5 4 11" xfId="11204" xr:uid="{00000000-0005-0000-0000-000004130000}"/>
    <cellStyle name="ItemTypeClass 2 5 4 12" xfId="11205" xr:uid="{00000000-0005-0000-0000-000005130000}"/>
    <cellStyle name="ItemTypeClass 2 5 4 2" xfId="11206" xr:uid="{00000000-0005-0000-0000-000006130000}"/>
    <cellStyle name="ItemTypeClass 2 5 4 2 2" xfId="11207" xr:uid="{00000000-0005-0000-0000-000007130000}"/>
    <cellStyle name="ItemTypeClass 2 5 4 2 3" xfId="11208" xr:uid="{00000000-0005-0000-0000-000008130000}"/>
    <cellStyle name="ItemTypeClass 2 5 4 2 4" xfId="11209" xr:uid="{00000000-0005-0000-0000-000009130000}"/>
    <cellStyle name="ItemTypeClass 2 5 4 2 5" xfId="11210" xr:uid="{00000000-0005-0000-0000-00000A130000}"/>
    <cellStyle name="ItemTypeClass 2 5 4 3" xfId="11211" xr:uid="{00000000-0005-0000-0000-00000B130000}"/>
    <cellStyle name="ItemTypeClass 2 5 4 3 2" xfId="11212" xr:uid="{00000000-0005-0000-0000-00000C130000}"/>
    <cellStyle name="ItemTypeClass 2 5 4 3 3" xfId="11213" xr:uid="{00000000-0005-0000-0000-00000D130000}"/>
    <cellStyle name="ItemTypeClass 2 5 4 3 4" xfId="11214" xr:uid="{00000000-0005-0000-0000-00000E130000}"/>
    <cellStyle name="ItemTypeClass 2 5 4 3 5" xfId="11215" xr:uid="{00000000-0005-0000-0000-00000F130000}"/>
    <cellStyle name="ItemTypeClass 2 5 4 3 6" xfId="11216" xr:uid="{00000000-0005-0000-0000-000010130000}"/>
    <cellStyle name="ItemTypeClass 2 5 4 4" xfId="11217" xr:uid="{00000000-0005-0000-0000-000011130000}"/>
    <cellStyle name="ItemTypeClass 2 5 4 4 2" xfId="11218" xr:uid="{00000000-0005-0000-0000-000012130000}"/>
    <cellStyle name="ItemTypeClass 2 5 4 4 3" xfId="11219" xr:uid="{00000000-0005-0000-0000-000013130000}"/>
    <cellStyle name="ItemTypeClass 2 5 4 4 4" xfId="11220" xr:uid="{00000000-0005-0000-0000-000014130000}"/>
    <cellStyle name="ItemTypeClass 2 5 4 4 5" xfId="11221" xr:uid="{00000000-0005-0000-0000-000015130000}"/>
    <cellStyle name="ItemTypeClass 2 5 4 4 6" xfId="11222" xr:uid="{00000000-0005-0000-0000-000016130000}"/>
    <cellStyle name="ItemTypeClass 2 5 4 5" xfId="11223" xr:uid="{00000000-0005-0000-0000-000017130000}"/>
    <cellStyle name="ItemTypeClass 2 5 4 6" xfId="11224" xr:uid="{00000000-0005-0000-0000-000018130000}"/>
    <cellStyle name="ItemTypeClass 2 5 4 7" xfId="11225" xr:uid="{00000000-0005-0000-0000-000019130000}"/>
    <cellStyle name="ItemTypeClass 2 5 4 8" xfId="11226" xr:uid="{00000000-0005-0000-0000-00001A130000}"/>
    <cellStyle name="ItemTypeClass 2 5 4 9" xfId="11227" xr:uid="{00000000-0005-0000-0000-00001B130000}"/>
    <cellStyle name="ItemTypeClass 2 5 5" xfId="11228" xr:uid="{00000000-0005-0000-0000-00001C130000}"/>
    <cellStyle name="ItemTypeClass 2 5 5 2" xfId="11229" xr:uid="{00000000-0005-0000-0000-00001D130000}"/>
    <cellStyle name="ItemTypeClass 2 5 5 3" xfId="11230" xr:uid="{00000000-0005-0000-0000-00001E130000}"/>
    <cellStyle name="ItemTypeClass 2 5 5 4" xfId="11231" xr:uid="{00000000-0005-0000-0000-00001F130000}"/>
    <cellStyle name="ItemTypeClass 2 5 5 5" xfId="11232" xr:uid="{00000000-0005-0000-0000-000020130000}"/>
    <cellStyle name="ItemTypeClass 2 5 6" xfId="11233" xr:uid="{00000000-0005-0000-0000-000021130000}"/>
    <cellStyle name="ItemTypeClass 2 5 6 2" xfId="11234" xr:uid="{00000000-0005-0000-0000-000022130000}"/>
    <cellStyle name="ItemTypeClass 2 5 6 3" xfId="11235" xr:uid="{00000000-0005-0000-0000-000023130000}"/>
    <cellStyle name="ItemTypeClass 2 5 6 4" xfId="11236" xr:uid="{00000000-0005-0000-0000-000024130000}"/>
    <cellStyle name="ItemTypeClass 2 5 6 5" xfId="11237" xr:uid="{00000000-0005-0000-0000-000025130000}"/>
    <cellStyle name="ItemTypeClass 2 5 6 6" xfId="11238" xr:uid="{00000000-0005-0000-0000-000026130000}"/>
    <cellStyle name="ItemTypeClass 2 5 7" xfId="11239" xr:uid="{00000000-0005-0000-0000-000027130000}"/>
    <cellStyle name="ItemTypeClass 2 5 7 2" xfId="11240" xr:uid="{00000000-0005-0000-0000-000028130000}"/>
    <cellStyle name="ItemTypeClass 2 5 7 3" xfId="11241" xr:uid="{00000000-0005-0000-0000-000029130000}"/>
    <cellStyle name="ItemTypeClass 2 5 7 4" xfId="11242" xr:uid="{00000000-0005-0000-0000-00002A130000}"/>
    <cellStyle name="ItemTypeClass 2 5 7 5" xfId="11243" xr:uid="{00000000-0005-0000-0000-00002B130000}"/>
    <cellStyle name="ItemTypeClass 2 5 7 6" xfId="11244" xr:uid="{00000000-0005-0000-0000-00002C130000}"/>
    <cellStyle name="ItemTypeClass 2 5 8" xfId="11245" xr:uid="{00000000-0005-0000-0000-00002D130000}"/>
    <cellStyle name="ItemTypeClass 2 5 9" xfId="11246" xr:uid="{00000000-0005-0000-0000-00002E130000}"/>
    <cellStyle name="ItemTypeClass 2 6" xfId="11247" xr:uid="{00000000-0005-0000-0000-00002F130000}"/>
    <cellStyle name="ItemTypeClass 2 6 10" xfId="11248" xr:uid="{00000000-0005-0000-0000-000030130000}"/>
    <cellStyle name="ItemTypeClass 2 6 11" xfId="11249" xr:uid="{00000000-0005-0000-0000-000031130000}"/>
    <cellStyle name="ItemTypeClass 2 6 12" xfId="11250" xr:uid="{00000000-0005-0000-0000-000032130000}"/>
    <cellStyle name="ItemTypeClass 2 6 13" xfId="11251" xr:uid="{00000000-0005-0000-0000-000033130000}"/>
    <cellStyle name="ItemTypeClass 2 6 14" xfId="11252" xr:uid="{00000000-0005-0000-0000-000034130000}"/>
    <cellStyle name="ItemTypeClass 2 6 15" xfId="11253" xr:uid="{00000000-0005-0000-0000-000035130000}"/>
    <cellStyle name="ItemTypeClass 2 6 2" xfId="11254" xr:uid="{00000000-0005-0000-0000-000036130000}"/>
    <cellStyle name="ItemTypeClass 2 6 2 10" xfId="11255" xr:uid="{00000000-0005-0000-0000-000037130000}"/>
    <cellStyle name="ItemTypeClass 2 6 2 11" xfId="11256" xr:uid="{00000000-0005-0000-0000-000038130000}"/>
    <cellStyle name="ItemTypeClass 2 6 2 12" xfId="11257" xr:uid="{00000000-0005-0000-0000-000039130000}"/>
    <cellStyle name="ItemTypeClass 2 6 2 2" xfId="11258" xr:uid="{00000000-0005-0000-0000-00003A130000}"/>
    <cellStyle name="ItemTypeClass 2 6 2 2 2" xfId="11259" xr:uid="{00000000-0005-0000-0000-00003B130000}"/>
    <cellStyle name="ItemTypeClass 2 6 2 2 3" xfId="11260" xr:uid="{00000000-0005-0000-0000-00003C130000}"/>
    <cellStyle name="ItemTypeClass 2 6 2 2 4" xfId="11261" xr:uid="{00000000-0005-0000-0000-00003D130000}"/>
    <cellStyle name="ItemTypeClass 2 6 2 2 5" xfId="11262" xr:uid="{00000000-0005-0000-0000-00003E130000}"/>
    <cellStyle name="ItemTypeClass 2 6 2 3" xfId="11263" xr:uid="{00000000-0005-0000-0000-00003F130000}"/>
    <cellStyle name="ItemTypeClass 2 6 2 3 2" xfId="11264" xr:uid="{00000000-0005-0000-0000-000040130000}"/>
    <cellStyle name="ItemTypeClass 2 6 2 3 3" xfId="11265" xr:uid="{00000000-0005-0000-0000-000041130000}"/>
    <cellStyle name="ItemTypeClass 2 6 2 3 4" xfId="11266" xr:uid="{00000000-0005-0000-0000-000042130000}"/>
    <cellStyle name="ItemTypeClass 2 6 2 3 5" xfId="11267" xr:uid="{00000000-0005-0000-0000-000043130000}"/>
    <cellStyle name="ItemTypeClass 2 6 2 3 6" xfId="11268" xr:uid="{00000000-0005-0000-0000-000044130000}"/>
    <cellStyle name="ItemTypeClass 2 6 2 4" xfId="11269" xr:uid="{00000000-0005-0000-0000-000045130000}"/>
    <cellStyle name="ItemTypeClass 2 6 2 4 2" xfId="11270" xr:uid="{00000000-0005-0000-0000-000046130000}"/>
    <cellStyle name="ItemTypeClass 2 6 2 4 3" xfId="11271" xr:uid="{00000000-0005-0000-0000-000047130000}"/>
    <cellStyle name="ItemTypeClass 2 6 2 4 4" xfId="11272" xr:uid="{00000000-0005-0000-0000-000048130000}"/>
    <cellStyle name="ItemTypeClass 2 6 2 4 5" xfId="11273" xr:uid="{00000000-0005-0000-0000-000049130000}"/>
    <cellStyle name="ItemTypeClass 2 6 2 4 6" xfId="11274" xr:uid="{00000000-0005-0000-0000-00004A130000}"/>
    <cellStyle name="ItemTypeClass 2 6 2 5" xfId="11275" xr:uid="{00000000-0005-0000-0000-00004B130000}"/>
    <cellStyle name="ItemTypeClass 2 6 2 6" xfId="11276" xr:uid="{00000000-0005-0000-0000-00004C130000}"/>
    <cellStyle name="ItemTypeClass 2 6 2 7" xfId="11277" xr:uid="{00000000-0005-0000-0000-00004D130000}"/>
    <cellStyle name="ItemTypeClass 2 6 2 8" xfId="11278" xr:uid="{00000000-0005-0000-0000-00004E130000}"/>
    <cellStyle name="ItemTypeClass 2 6 2 9" xfId="11279" xr:uid="{00000000-0005-0000-0000-00004F130000}"/>
    <cellStyle name="ItemTypeClass 2 6 3" xfId="11280" xr:uid="{00000000-0005-0000-0000-000050130000}"/>
    <cellStyle name="ItemTypeClass 2 6 3 10" xfId="11281" xr:uid="{00000000-0005-0000-0000-000051130000}"/>
    <cellStyle name="ItemTypeClass 2 6 3 11" xfId="11282" xr:uid="{00000000-0005-0000-0000-000052130000}"/>
    <cellStyle name="ItemTypeClass 2 6 3 12" xfId="11283" xr:uid="{00000000-0005-0000-0000-000053130000}"/>
    <cellStyle name="ItemTypeClass 2 6 3 2" xfId="11284" xr:uid="{00000000-0005-0000-0000-000054130000}"/>
    <cellStyle name="ItemTypeClass 2 6 3 2 2" xfId="11285" xr:uid="{00000000-0005-0000-0000-000055130000}"/>
    <cellStyle name="ItemTypeClass 2 6 3 2 3" xfId="11286" xr:uid="{00000000-0005-0000-0000-000056130000}"/>
    <cellStyle name="ItemTypeClass 2 6 3 2 4" xfId="11287" xr:uid="{00000000-0005-0000-0000-000057130000}"/>
    <cellStyle name="ItemTypeClass 2 6 3 2 5" xfId="11288" xr:uid="{00000000-0005-0000-0000-000058130000}"/>
    <cellStyle name="ItemTypeClass 2 6 3 3" xfId="11289" xr:uid="{00000000-0005-0000-0000-000059130000}"/>
    <cellStyle name="ItemTypeClass 2 6 3 3 2" xfId="11290" xr:uid="{00000000-0005-0000-0000-00005A130000}"/>
    <cellStyle name="ItemTypeClass 2 6 3 3 3" xfId="11291" xr:uid="{00000000-0005-0000-0000-00005B130000}"/>
    <cellStyle name="ItemTypeClass 2 6 3 3 4" xfId="11292" xr:uid="{00000000-0005-0000-0000-00005C130000}"/>
    <cellStyle name="ItemTypeClass 2 6 3 3 5" xfId="11293" xr:uid="{00000000-0005-0000-0000-00005D130000}"/>
    <cellStyle name="ItemTypeClass 2 6 3 3 6" xfId="11294" xr:uid="{00000000-0005-0000-0000-00005E130000}"/>
    <cellStyle name="ItemTypeClass 2 6 3 4" xfId="11295" xr:uid="{00000000-0005-0000-0000-00005F130000}"/>
    <cellStyle name="ItemTypeClass 2 6 3 4 2" xfId="11296" xr:uid="{00000000-0005-0000-0000-000060130000}"/>
    <cellStyle name="ItemTypeClass 2 6 3 4 3" xfId="11297" xr:uid="{00000000-0005-0000-0000-000061130000}"/>
    <cellStyle name="ItemTypeClass 2 6 3 4 4" xfId="11298" xr:uid="{00000000-0005-0000-0000-000062130000}"/>
    <cellStyle name="ItemTypeClass 2 6 3 4 5" xfId="11299" xr:uid="{00000000-0005-0000-0000-000063130000}"/>
    <cellStyle name="ItemTypeClass 2 6 3 4 6" xfId="11300" xr:uid="{00000000-0005-0000-0000-000064130000}"/>
    <cellStyle name="ItemTypeClass 2 6 3 5" xfId="11301" xr:uid="{00000000-0005-0000-0000-000065130000}"/>
    <cellStyle name="ItemTypeClass 2 6 3 6" xfId="11302" xr:uid="{00000000-0005-0000-0000-000066130000}"/>
    <cellStyle name="ItemTypeClass 2 6 3 7" xfId="11303" xr:uid="{00000000-0005-0000-0000-000067130000}"/>
    <cellStyle name="ItemTypeClass 2 6 3 8" xfId="11304" xr:uid="{00000000-0005-0000-0000-000068130000}"/>
    <cellStyle name="ItemTypeClass 2 6 3 9" xfId="11305" xr:uid="{00000000-0005-0000-0000-000069130000}"/>
    <cellStyle name="ItemTypeClass 2 6 4" xfId="11306" xr:uid="{00000000-0005-0000-0000-00006A130000}"/>
    <cellStyle name="ItemTypeClass 2 6 4 10" xfId="11307" xr:uid="{00000000-0005-0000-0000-00006B130000}"/>
    <cellStyle name="ItemTypeClass 2 6 4 11" xfId="11308" xr:uid="{00000000-0005-0000-0000-00006C130000}"/>
    <cellStyle name="ItemTypeClass 2 6 4 12" xfId="11309" xr:uid="{00000000-0005-0000-0000-00006D130000}"/>
    <cellStyle name="ItemTypeClass 2 6 4 2" xfId="11310" xr:uid="{00000000-0005-0000-0000-00006E130000}"/>
    <cellStyle name="ItemTypeClass 2 6 4 2 2" xfId="11311" xr:uid="{00000000-0005-0000-0000-00006F130000}"/>
    <cellStyle name="ItemTypeClass 2 6 4 2 3" xfId="11312" xr:uid="{00000000-0005-0000-0000-000070130000}"/>
    <cellStyle name="ItemTypeClass 2 6 4 2 4" xfId="11313" xr:uid="{00000000-0005-0000-0000-000071130000}"/>
    <cellStyle name="ItemTypeClass 2 6 4 2 5" xfId="11314" xr:uid="{00000000-0005-0000-0000-000072130000}"/>
    <cellStyle name="ItemTypeClass 2 6 4 3" xfId="11315" xr:uid="{00000000-0005-0000-0000-000073130000}"/>
    <cellStyle name="ItemTypeClass 2 6 4 3 2" xfId="11316" xr:uid="{00000000-0005-0000-0000-000074130000}"/>
    <cellStyle name="ItemTypeClass 2 6 4 3 3" xfId="11317" xr:uid="{00000000-0005-0000-0000-000075130000}"/>
    <cellStyle name="ItemTypeClass 2 6 4 3 4" xfId="11318" xr:uid="{00000000-0005-0000-0000-000076130000}"/>
    <cellStyle name="ItemTypeClass 2 6 4 3 5" xfId="11319" xr:uid="{00000000-0005-0000-0000-000077130000}"/>
    <cellStyle name="ItemTypeClass 2 6 4 3 6" xfId="11320" xr:uid="{00000000-0005-0000-0000-000078130000}"/>
    <cellStyle name="ItemTypeClass 2 6 4 4" xfId="11321" xr:uid="{00000000-0005-0000-0000-000079130000}"/>
    <cellStyle name="ItemTypeClass 2 6 4 4 2" xfId="11322" xr:uid="{00000000-0005-0000-0000-00007A130000}"/>
    <cellStyle name="ItemTypeClass 2 6 4 4 3" xfId="11323" xr:uid="{00000000-0005-0000-0000-00007B130000}"/>
    <cellStyle name="ItemTypeClass 2 6 4 4 4" xfId="11324" xr:uid="{00000000-0005-0000-0000-00007C130000}"/>
    <cellStyle name="ItemTypeClass 2 6 4 4 5" xfId="11325" xr:uid="{00000000-0005-0000-0000-00007D130000}"/>
    <cellStyle name="ItemTypeClass 2 6 4 4 6" xfId="11326" xr:uid="{00000000-0005-0000-0000-00007E130000}"/>
    <cellStyle name="ItemTypeClass 2 6 4 5" xfId="11327" xr:uid="{00000000-0005-0000-0000-00007F130000}"/>
    <cellStyle name="ItemTypeClass 2 6 4 6" xfId="11328" xr:uid="{00000000-0005-0000-0000-000080130000}"/>
    <cellStyle name="ItemTypeClass 2 6 4 7" xfId="11329" xr:uid="{00000000-0005-0000-0000-000081130000}"/>
    <cellStyle name="ItemTypeClass 2 6 4 8" xfId="11330" xr:uid="{00000000-0005-0000-0000-000082130000}"/>
    <cellStyle name="ItemTypeClass 2 6 4 9" xfId="11331" xr:uid="{00000000-0005-0000-0000-000083130000}"/>
    <cellStyle name="ItemTypeClass 2 6 5" xfId="11332" xr:uid="{00000000-0005-0000-0000-000084130000}"/>
    <cellStyle name="ItemTypeClass 2 6 5 2" xfId="11333" xr:uid="{00000000-0005-0000-0000-000085130000}"/>
    <cellStyle name="ItemTypeClass 2 6 5 3" xfId="11334" xr:uid="{00000000-0005-0000-0000-000086130000}"/>
    <cellStyle name="ItemTypeClass 2 6 5 4" xfId="11335" xr:uid="{00000000-0005-0000-0000-000087130000}"/>
    <cellStyle name="ItemTypeClass 2 6 5 5" xfId="11336" xr:uid="{00000000-0005-0000-0000-000088130000}"/>
    <cellStyle name="ItemTypeClass 2 6 6" xfId="11337" xr:uid="{00000000-0005-0000-0000-000089130000}"/>
    <cellStyle name="ItemTypeClass 2 6 6 2" xfId="11338" xr:uid="{00000000-0005-0000-0000-00008A130000}"/>
    <cellStyle name="ItemTypeClass 2 6 6 3" xfId="11339" xr:uid="{00000000-0005-0000-0000-00008B130000}"/>
    <cellStyle name="ItemTypeClass 2 6 6 4" xfId="11340" xr:uid="{00000000-0005-0000-0000-00008C130000}"/>
    <cellStyle name="ItemTypeClass 2 6 6 5" xfId="11341" xr:uid="{00000000-0005-0000-0000-00008D130000}"/>
    <cellStyle name="ItemTypeClass 2 6 6 6" xfId="11342" xr:uid="{00000000-0005-0000-0000-00008E130000}"/>
    <cellStyle name="ItemTypeClass 2 6 7" xfId="11343" xr:uid="{00000000-0005-0000-0000-00008F130000}"/>
    <cellStyle name="ItemTypeClass 2 6 7 2" xfId="11344" xr:uid="{00000000-0005-0000-0000-000090130000}"/>
    <cellStyle name="ItemTypeClass 2 6 7 3" xfId="11345" xr:uid="{00000000-0005-0000-0000-000091130000}"/>
    <cellStyle name="ItemTypeClass 2 6 7 4" xfId="11346" xr:uid="{00000000-0005-0000-0000-000092130000}"/>
    <cellStyle name="ItemTypeClass 2 6 7 5" xfId="11347" xr:uid="{00000000-0005-0000-0000-000093130000}"/>
    <cellStyle name="ItemTypeClass 2 6 7 6" xfId="11348" xr:uid="{00000000-0005-0000-0000-000094130000}"/>
    <cellStyle name="ItemTypeClass 2 6 8" xfId="11349" xr:uid="{00000000-0005-0000-0000-000095130000}"/>
    <cellStyle name="ItemTypeClass 2 6 9" xfId="11350" xr:uid="{00000000-0005-0000-0000-000096130000}"/>
    <cellStyle name="ItemTypeClass 2 7" xfId="11351" xr:uid="{00000000-0005-0000-0000-000097130000}"/>
    <cellStyle name="ItemTypeClass 2 7 10" xfId="11352" xr:uid="{00000000-0005-0000-0000-000098130000}"/>
    <cellStyle name="ItemTypeClass 2 7 11" xfId="11353" xr:uid="{00000000-0005-0000-0000-000099130000}"/>
    <cellStyle name="ItemTypeClass 2 7 12" xfId="11354" xr:uid="{00000000-0005-0000-0000-00009A130000}"/>
    <cellStyle name="ItemTypeClass 2 7 13" xfId="11355" xr:uid="{00000000-0005-0000-0000-00009B130000}"/>
    <cellStyle name="ItemTypeClass 2 7 14" xfId="11356" xr:uid="{00000000-0005-0000-0000-00009C130000}"/>
    <cellStyle name="ItemTypeClass 2 7 15" xfId="11357" xr:uid="{00000000-0005-0000-0000-00009D130000}"/>
    <cellStyle name="ItemTypeClass 2 7 2" xfId="11358" xr:uid="{00000000-0005-0000-0000-00009E130000}"/>
    <cellStyle name="ItemTypeClass 2 7 2 10" xfId="11359" xr:uid="{00000000-0005-0000-0000-00009F130000}"/>
    <cellStyle name="ItemTypeClass 2 7 2 11" xfId="11360" xr:uid="{00000000-0005-0000-0000-0000A0130000}"/>
    <cellStyle name="ItemTypeClass 2 7 2 12" xfId="11361" xr:uid="{00000000-0005-0000-0000-0000A1130000}"/>
    <cellStyle name="ItemTypeClass 2 7 2 2" xfId="11362" xr:uid="{00000000-0005-0000-0000-0000A2130000}"/>
    <cellStyle name="ItemTypeClass 2 7 2 2 2" xfId="11363" xr:uid="{00000000-0005-0000-0000-0000A3130000}"/>
    <cellStyle name="ItemTypeClass 2 7 2 2 3" xfId="11364" xr:uid="{00000000-0005-0000-0000-0000A4130000}"/>
    <cellStyle name="ItemTypeClass 2 7 2 2 4" xfId="11365" xr:uid="{00000000-0005-0000-0000-0000A5130000}"/>
    <cellStyle name="ItemTypeClass 2 7 2 2 5" xfId="11366" xr:uid="{00000000-0005-0000-0000-0000A6130000}"/>
    <cellStyle name="ItemTypeClass 2 7 2 3" xfId="11367" xr:uid="{00000000-0005-0000-0000-0000A7130000}"/>
    <cellStyle name="ItemTypeClass 2 7 2 3 2" xfId="11368" xr:uid="{00000000-0005-0000-0000-0000A8130000}"/>
    <cellStyle name="ItemTypeClass 2 7 2 3 3" xfId="11369" xr:uid="{00000000-0005-0000-0000-0000A9130000}"/>
    <cellStyle name="ItemTypeClass 2 7 2 3 4" xfId="11370" xr:uid="{00000000-0005-0000-0000-0000AA130000}"/>
    <cellStyle name="ItemTypeClass 2 7 2 3 5" xfId="11371" xr:uid="{00000000-0005-0000-0000-0000AB130000}"/>
    <cellStyle name="ItemTypeClass 2 7 2 3 6" xfId="11372" xr:uid="{00000000-0005-0000-0000-0000AC130000}"/>
    <cellStyle name="ItemTypeClass 2 7 2 4" xfId="11373" xr:uid="{00000000-0005-0000-0000-0000AD130000}"/>
    <cellStyle name="ItemTypeClass 2 7 2 4 2" xfId="11374" xr:uid="{00000000-0005-0000-0000-0000AE130000}"/>
    <cellStyle name="ItemTypeClass 2 7 2 4 3" xfId="11375" xr:uid="{00000000-0005-0000-0000-0000AF130000}"/>
    <cellStyle name="ItemTypeClass 2 7 2 4 4" xfId="11376" xr:uid="{00000000-0005-0000-0000-0000B0130000}"/>
    <cellStyle name="ItemTypeClass 2 7 2 4 5" xfId="11377" xr:uid="{00000000-0005-0000-0000-0000B1130000}"/>
    <cellStyle name="ItemTypeClass 2 7 2 4 6" xfId="11378" xr:uid="{00000000-0005-0000-0000-0000B2130000}"/>
    <cellStyle name="ItemTypeClass 2 7 2 5" xfId="11379" xr:uid="{00000000-0005-0000-0000-0000B3130000}"/>
    <cellStyle name="ItemTypeClass 2 7 2 6" xfId="11380" xr:uid="{00000000-0005-0000-0000-0000B4130000}"/>
    <cellStyle name="ItemTypeClass 2 7 2 7" xfId="11381" xr:uid="{00000000-0005-0000-0000-0000B5130000}"/>
    <cellStyle name="ItemTypeClass 2 7 2 8" xfId="11382" xr:uid="{00000000-0005-0000-0000-0000B6130000}"/>
    <cellStyle name="ItemTypeClass 2 7 2 9" xfId="11383" xr:uid="{00000000-0005-0000-0000-0000B7130000}"/>
    <cellStyle name="ItemTypeClass 2 7 3" xfId="11384" xr:uid="{00000000-0005-0000-0000-0000B8130000}"/>
    <cellStyle name="ItemTypeClass 2 7 3 10" xfId="11385" xr:uid="{00000000-0005-0000-0000-0000B9130000}"/>
    <cellStyle name="ItemTypeClass 2 7 3 11" xfId="11386" xr:uid="{00000000-0005-0000-0000-0000BA130000}"/>
    <cellStyle name="ItemTypeClass 2 7 3 12" xfId="11387" xr:uid="{00000000-0005-0000-0000-0000BB130000}"/>
    <cellStyle name="ItemTypeClass 2 7 3 2" xfId="11388" xr:uid="{00000000-0005-0000-0000-0000BC130000}"/>
    <cellStyle name="ItemTypeClass 2 7 3 2 2" xfId="11389" xr:uid="{00000000-0005-0000-0000-0000BD130000}"/>
    <cellStyle name="ItemTypeClass 2 7 3 2 3" xfId="11390" xr:uid="{00000000-0005-0000-0000-0000BE130000}"/>
    <cellStyle name="ItemTypeClass 2 7 3 2 4" xfId="11391" xr:uid="{00000000-0005-0000-0000-0000BF130000}"/>
    <cellStyle name="ItemTypeClass 2 7 3 2 5" xfId="11392" xr:uid="{00000000-0005-0000-0000-0000C0130000}"/>
    <cellStyle name="ItemTypeClass 2 7 3 3" xfId="11393" xr:uid="{00000000-0005-0000-0000-0000C1130000}"/>
    <cellStyle name="ItemTypeClass 2 7 3 3 2" xfId="11394" xr:uid="{00000000-0005-0000-0000-0000C2130000}"/>
    <cellStyle name="ItemTypeClass 2 7 3 3 3" xfId="11395" xr:uid="{00000000-0005-0000-0000-0000C3130000}"/>
    <cellStyle name="ItemTypeClass 2 7 3 3 4" xfId="11396" xr:uid="{00000000-0005-0000-0000-0000C4130000}"/>
    <cellStyle name="ItemTypeClass 2 7 3 3 5" xfId="11397" xr:uid="{00000000-0005-0000-0000-0000C5130000}"/>
    <cellStyle name="ItemTypeClass 2 7 3 3 6" xfId="11398" xr:uid="{00000000-0005-0000-0000-0000C6130000}"/>
    <cellStyle name="ItemTypeClass 2 7 3 4" xfId="11399" xr:uid="{00000000-0005-0000-0000-0000C7130000}"/>
    <cellStyle name="ItemTypeClass 2 7 3 4 2" xfId="11400" xr:uid="{00000000-0005-0000-0000-0000C8130000}"/>
    <cellStyle name="ItemTypeClass 2 7 3 4 3" xfId="11401" xr:uid="{00000000-0005-0000-0000-0000C9130000}"/>
    <cellStyle name="ItemTypeClass 2 7 3 4 4" xfId="11402" xr:uid="{00000000-0005-0000-0000-0000CA130000}"/>
    <cellStyle name="ItemTypeClass 2 7 3 4 5" xfId="11403" xr:uid="{00000000-0005-0000-0000-0000CB130000}"/>
    <cellStyle name="ItemTypeClass 2 7 3 4 6" xfId="11404" xr:uid="{00000000-0005-0000-0000-0000CC130000}"/>
    <cellStyle name="ItemTypeClass 2 7 3 5" xfId="11405" xr:uid="{00000000-0005-0000-0000-0000CD130000}"/>
    <cellStyle name="ItemTypeClass 2 7 3 6" xfId="11406" xr:uid="{00000000-0005-0000-0000-0000CE130000}"/>
    <cellStyle name="ItemTypeClass 2 7 3 7" xfId="11407" xr:uid="{00000000-0005-0000-0000-0000CF130000}"/>
    <cellStyle name="ItemTypeClass 2 7 3 8" xfId="11408" xr:uid="{00000000-0005-0000-0000-0000D0130000}"/>
    <cellStyle name="ItemTypeClass 2 7 3 9" xfId="11409" xr:uid="{00000000-0005-0000-0000-0000D1130000}"/>
    <cellStyle name="ItemTypeClass 2 7 4" xfId="11410" xr:uid="{00000000-0005-0000-0000-0000D2130000}"/>
    <cellStyle name="ItemTypeClass 2 7 4 10" xfId="11411" xr:uid="{00000000-0005-0000-0000-0000D3130000}"/>
    <cellStyle name="ItemTypeClass 2 7 4 11" xfId="11412" xr:uid="{00000000-0005-0000-0000-0000D4130000}"/>
    <cellStyle name="ItemTypeClass 2 7 4 12" xfId="11413" xr:uid="{00000000-0005-0000-0000-0000D5130000}"/>
    <cellStyle name="ItemTypeClass 2 7 4 2" xfId="11414" xr:uid="{00000000-0005-0000-0000-0000D6130000}"/>
    <cellStyle name="ItemTypeClass 2 7 4 2 2" xfId="11415" xr:uid="{00000000-0005-0000-0000-0000D7130000}"/>
    <cellStyle name="ItemTypeClass 2 7 4 2 3" xfId="11416" xr:uid="{00000000-0005-0000-0000-0000D8130000}"/>
    <cellStyle name="ItemTypeClass 2 7 4 2 4" xfId="11417" xr:uid="{00000000-0005-0000-0000-0000D9130000}"/>
    <cellStyle name="ItemTypeClass 2 7 4 2 5" xfId="11418" xr:uid="{00000000-0005-0000-0000-0000DA130000}"/>
    <cellStyle name="ItemTypeClass 2 7 4 3" xfId="11419" xr:uid="{00000000-0005-0000-0000-0000DB130000}"/>
    <cellStyle name="ItemTypeClass 2 7 4 3 2" xfId="11420" xr:uid="{00000000-0005-0000-0000-0000DC130000}"/>
    <cellStyle name="ItemTypeClass 2 7 4 3 3" xfId="11421" xr:uid="{00000000-0005-0000-0000-0000DD130000}"/>
    <cellStyle name="ItemTypeClass 2 7 4 3 4" xfId="11422" xr:uid="{00000000-0005-0000-0000-0000DE130000}"/>
    <cellStyle name="ItemTypeClass 2 7 4 3 5" xfId="11423" xr:uid="{00000000-0005-0000-0000-0000DF130000}"/>
    <cellStyle name="ItemTypeClass 2 7 4 3 6" xfId="11424" xr:uid="{00000000-0005-0000-0000-0000E0130000}"/>
    <cellStyle name="ItemTypeClass 2 7 4 4" xfId="11425" xr:uid="{00000000-0005-0000-0000-0000E1130000}"/>
    <cellStyle name="ItemTypeClass 2 7 4 4 2" xfId="11426" xr:uid="{00000000-0005-0000-0000-0000E2130000}"/>
    <cellStyle name="ItemTypeClass 2 7 4 4 3" xfId="11427" xr:uid="{00000000-0005-0000-0000-0000E3130000}"/>
    <cellStyle name="ItemTypeClass 2 7 4 4 4" xfId="11428" xr:uid="{00000000-0005-0000-0000-0000E4130000}"/>
    <cellStyle name="ItemTypeClass 2 7 4 4 5" xfId="11429" xr:uid="{00000000-0005-0000-0000-0000E5130000}"/>
    <cellStyle name="ItemTypeClass 2 7 4 4 6" xfId="11430" xr:uid="{00000000-0005-0000-0000-0000E6130000}"/>
    <cellStyle name="ItemTypeClass 2 7 4 5" xfId="11431" xr:uid="{00000000-0005-0000-0000-0000E7130000}"/>
    <cellStyle name="ItemTypeClass 2 7 4 6" xfId="11432" xr:uid="{00000000-0005-0000-0000-0000E8130000}"/>
    <cellStyle name="ItemTypeClass 2 7 4 7" xfId="11433" xr:uid="{00000000-0005-0000-0000-0000E9130000}"/>
    <cellStyle name="ItemTypeClass 2 7 4 8" xfId="11434" xr:uid="{00000000-0005-0000-0000-0000EA130000}"/>
    <cellStyle name="ItemTypeClass 2 7 4 9" xfId="11435" xr:uid="{00000000-0005-0000-0000-0000EB130000}"/>
    <cellStyle name="ItemTypeClass 2 7 5" xfId="11436" xr:uid="{00000000-0005-0000-0000-0000EC130000}"/>
    <cellStyle name="ItemTypeClass 2 7 5 2" xfId="11437" xr:uid="{00000000-0005-0000-0000-0000ED130000}"/>
    <cellStyle name="ItemTypeClass 2 7 5 3" xfId="11438" xr:uid="{00000000-0005-0000-0000-0000EE130000}"/>
    <cellStyle name="ItemTypeClass 2 7 5 4" xfId="11439" xr:uid="{00000000-0005-0000-0000-0000EF130000}"/>
    <cellStyle name="ItemTypeClass 2 7 5 5" xfId="11440" xr:uid="{00000000-0005-0000-0000-0000F0130000}"/>
    <cellStyle name="ItemTypeClass 2 7 6" xfId="11441" xr:uid="{00000000-0005-0000-0000-0000F1130000}"/>
    <cellStyle name="ItemTypeClass 2 7 6 2" xfId="11442" xr:uid="{00000000-0005-0000-0000-0000F2130000}"/>
    <cellStyle name="ItemTypeClass 2 7 6 3" xfId="11443" xr:uid="{00000000-0005-0000-0000-0000F3130000}"/>
    <cellStyle name="ItemTypeClass 2 7 6 4" xfId="11444" xr:uid="{00000000-0005-0000-0000-0000F4130000}"/>
    <cellStyle name="ItemTypeClass 2 7 6 5" xfId="11445" xr:uid="{00000000-0005-0000-0000-0000F5130000}"/>
    <cellStyle name="ItemTypeClass 2 7 6 6" xfId="11446" xr:uid="{00000000-0005-0000-0000-0000F6130000}"/>
    <cellStyle name="ItemTypeClass 2 7 7" xfId="11447" xr:uid="{00000000-0005-0000-0000-0000F7130000}"/>
    <cellStyle name="ItemTypeClass 2 7 7 2" xfId="11448" xr:uid="{00000000-0005-0000-0000-0000F8130000}"/>
    <cellStyle name="ItemTypeClass 2 7 7 3" xfId="11449" xr:uid="{00000000-0005-0000-0000-0000F9130000}"/>
    <cellStyle name="ItemTypeClass 2 7 7 4" xfId="11450" xr:uid="{00000000-0005-0000-0000-0000FA130000}"/>
    <cellStyle name="ItemTypeClass 2 7 7 5" xfId="11451" xr:uid="{00000000-0005-0000-0000-0000FB130000}"/>
    <cellStyle name="ItemTypeClass 2 7 7 6" xfId="11452" xr:uid="{00000000-0005-0000-0000-0000FC130000}"/>
    <cellStyle name="ItemTypeClass 2 7 8" xfId="11453" xr:uid="{00000000-0005-0000-0000-0000FD130000}"/>
    <cellStyle name="ItemTypeClass 2 7 9" xfId="11454" xr:uid="{00000000-0005-0000-0000-0000FE130000}"/>
    <cellStyle name="ItemTypeClass 2 8" xfId="11455" xr:uid="{00000000-0005-0000-0000-0000FF130000}"/>
    <cellStyle name="ItemTypeClass 2 8 10" xfId="11456" xr:uid="{00000000-0005-0000-0000-000000140000}"/>
    <cellStyle name="ItemTypeClass 2 8 11" xfId="11457" xr:uid="{00000000-0005-0000-0000-000001140000}"/>
    <cellStyle name="ItemTypeClass 2 8 12" xfId="11458" xr:uid="{00000000-0005-0000-0000-000002140000}"/>
    <cellStyle name="ItemTypeClass 2 8 2" xfId="11459" xr:uid="{00000000-0005-0000-0000-000003140000}"/>
    <cellStyle name="ItemTypeClass 2 8 2 2" xfId="11460" xr:uid="{00000000-0005-0000-0000-000004140000}"/>
    <cellStyle name="ItemTypeClass 2 8 2 3" xfId="11461" xr:uid="{00000000-0005-0000-0000-000005140000}"/>
    <cellStyle name="ItemTypeClass 2 8 2 4" xfId="11462" xr:uid="{00000000-0005-0000-0000-000006140000}"/>
    <cellStyle name="ItemTypeClass 2 8 2 5" xfId="11463" xr:uid="{00000000-0005-0000-0000-000007140000}"/>
    <cellStyle name="ItemTypeClass 2 8 3" xfId="11464" xr:uid="{00000000-0005-0000-0000-000008140000}"/>
    <cellStyle name="ItemTypeClass 2 8 3 2" xfId="11465" xr:uid="{00000000-0005-0000-0000-000009140000}"/>
    <cellStyle name="ItemTypeClass 2 8 3 3" xfId="11466" xr:uid="{00000000-0005-0000-0000-00000A140000}"/>
    <cellStyle name="ItemTypeClass 2 8 3 4" xfId="11467" xr:uid="{00000000-0005-0000-0000-00000B140000}"/>
    <cellStyle name="ItemTypeClass 2 8 3 5" xfId="11468" xr:uid="{00000000-0005-0000-0000-00000C140000}"/>
    <cellStyle name="ItemTypeClass 2 8 3 6" xfId="11469" xr:uid="{00000000-0005-0000-0000-00000D140000}"/>
    <cellStyle name="ItemTypeClass 2 8 4" xfId="11470" xr:uid="{00000000-0005-0000-0000-00000E140000}"/>
    <cellStyle name="ItemTypeClass 2 8 4 2" xfId="11471" xr:uid="{00000000-0005-0000-0000-00000F140000}"/>
    <cellStyle name="ItemTypeClass 2 8 4 3" xfId="11472" xr:uid="{00000000-0005-0000-0000-000010140000}"/>
    <cellStyle name="ItemTypeClass 2 8 4 4" xfId="11473" xr:uid="{00000000-0005-0000-0000-000011140000}"/>
    <cellStyle name="ItemTypeClass 2 8 4 5" xfId="11474" xr:uid="{00000000-0005-0000-0000-000012140000}"/>
    <cellStyle name="ItemTypeClass 2 8 4 6" xfId="11475" xr:uid="{00000000-0005-0000-0000-000013140000}"/>
    <cellStyle name="ItemTypeClass 2 8 5" xfId="11476" xr:uid="{00000000-0005-0000-0000-000014140000}"/>
    <cellStyle name="ItemTypeClass 2 8 6" xfId="11477" xr:uid="{00000000-0005-0000-0000-000015140000}"/>
    <cellStyle name="ItemTypeClass 2 8 7" xfId="11478" xr:uid="{00000000-0005-0000-0000-000016140000}"/>
    <cellStyle name="ItemTypeClass 2 8 8" xfId="11479" xr:uid="{00000000-0005-0000-0000-000017140000}"/>
    <cellStyle name="ItemTypeClass 2 8 9" xfId="11480" xr:uid="{00000000-0005-0000-0000-000018140000}"/>
    <cellStyle name="ItemTypeClass 2 9" xfId="11481" xr:uid="{00000000-0005-0000-0000-000019140000}"/>
    <cellStyle name="ItemTypeClass 2 9 10" xfId="11482" xr:uid="{00000000-0005-0000-0000-00001A140000}"/>
    <cellStyle name="ItemTypeClass 2 9 11" xfId="11483" xr:uid="{00000000-0005-0000-0000-00001B140000}"/>
    <cellStyle name="ItemTypeClass 2 9 12" xfId="11484" xr:uid="{00000000-0005-0000-0000-00001C140000}"/>
    <cellStyle name="ItemTypeClass 2 9 2" xfId="11485" xr:uid="{00000000-0005-0000-0000-00001D140000}"/>
    <cellStyle name="ItemTypeClass 2 9 2 2" xfId="11486" xr:uid="{00000000-0005-0000-0000-00001E140000}"/>
    <cellStyle name="ItemTypeClass 2 9 2 3" xfId="11487" xr:uid="{00000000-0005-0000-0000-00001F140000}"/>
    <cellStyle name="ItemTypeClass 2 9 2 4" xfId="11488" xr:uid="{00000000-0005-0000-0000-000020140000}"/>
    <cellStyle name="ItemTypeClass 2 9 2 5" xfId="11489" xr:uid="{00000000-0005-0000-0000-000021140000}"/>
    <cellStyle name="ItemTypeClass 2 9 3" xfId="11490" xr:uid="{00000000-0005-0000-0000-000022140000}"/>
    <cellStyle name="ItemTypeClass 2 9 3 2" xfId="11491" xr:uid="{00000000-0005-0000-0000-000023140000}"/>
    <cellStyle name="ItemTypeClass 2 9 3 3" xfId="11492" xr:uid="{00000000-0005-0000-0000-000024140000}"/>
    <cellStyle name="ItemTypeClass 2 9 3 4" xfId="11493" xr:uid="{00000000-0005-0000-0000-000025140000}"/>
    <cellStyle name="ItemTypeClass 2 9 3 5" xfId="11494" xr:uid="{00000000-0005-0000-0000-000026140000}"/>
    <cellStyle name="ItemTypeClass 2 9 3 6" xfId="11495" xr:uid="{00000000-0005-0000-0000-000027140000}"/>
    <cellStyle name="ItemTypeClass 2 9 4" xfId="11496" xr:uid="{00000000-0005-0000-0000-000028140000}"/>
    <cellStyle name="ItemTypeClass 2 9 4 2" xfId="11497" xr:uid="{00000000-0005-0000-0000-000029140000}"/>
    <cellStyle name="ItemTypeClass 2 9 4 3" xfId="11498" xr:uid="{00000000-0005-0000-0000-00002A140000}"/>
    <cellStyle name="ItemTypeClass 2 9 4 4" xfId="11499" xr:uid="{00000000-0005-0000-0000-00002B140000}"/>
    <cellStyle name="ItemTypeClass 2 9 4 5" xfId="11500" xr:uid="{00000000-0005-0000-0000-00002C140000}"/>
    <cellStyle name="ItemTypeClass 2 9 4 6" xfId="11501" xr:uid="{00000000-0005-0000-0000-00002D140000}"/>
    <cellStyle name="ItemTypeClass 2 9 5" xfId="11502" xr:uid="{00000000-0005-0000-0000-00002E140000}"/>
    <cellStyle name="ItemTypeClass 2 9 6" xfId="11503" xr:uid="{00000000-0005-0000-0000-00002F140000}"/>
    <cellStyle name="ItemTypeClass 2 9 7" xfId="11504" xr:uid="{00000000-0005-0000-0000-000030140000}"/>
    <cellStyle name="ItemTypeClass 2 9 8" xfId="11505" xr:uid="{00000000-0005-0000-0000-000031140000}"/>
    <cellStyle name="ItemTypeClass 2 9 9" xfId="11506" xr:uid="{00000000-0005-0000-0000-000032140000}"/>
    <cellStyle name="ItemTypeClass 3" xfId="11507" xr:uid="{00000000-0005-0000-0000-000033140000}"/>
    <cellStyle name="ItemTypeClass 3 10" xfId="11508" xr:uid="{00000000-0005-0000-0000-000034140000}"/>
    <cellStyle name="ItemTypeClass 3 10 2" xfId="11509" xr:uid="{00000000-0005-0000-0000-000035140000}"/>
    <cellStyle name="ItemTypeClass 3 10 3" xfId="11510" xr:uid="{00000000-0005-0000-0000-000036140000}"/>
    <cellStyle name="ItemTypeClass 3 10 4" xfId="11511" xr:uid="{00000000-0005-0000-0000-000037140000}"/>
    <cellStyle name="ItemTypeClass 3 10 5" xfId="11512" xr:uid="{00000000-0005-0000-0000-000038140000}"/>
    <cellStyle name="ItemTypeClass 3 10 6" xfId="11513" xr:uid="{00000000-0005-0000-0000-000039140000}"/>
    <cellStyle name="ItemTypeClass 3 11" xfId="11514" xr:uid="{00000000-0005-0000-0000-00003A140000}"/>
    <cellStyle name="ItemTypeClass 3 12" xfId="11515" xr:uid="{00000000-0005-0000-0000-00003B140000}"/>
    <cellStyle name="ItemTypeClass 3 13" xfId="11516" xr:uid="{00000000-0005-0000-0000-00003C140000}"/>
    <cellStyle name="ItemTypeClass 3 14" xfId="11517" xr:uid="{00000000-0005-0000-0000-00003D140000}"/>
    <cellStyle name="ItemTypeClass 3 15" xfId="11518" xr:uid="{00000000-0005-0000-0000-00003E140000}"/>
    <cellStyle name="ItemTypeClass 3 16" xfId="11519" xr:uid="{00000000-0005-0000-0000-00003F140000}"/>
    <cellStyle name="ItemTypeClass 3 17" xfId="11520" xr:uid="{00000000-0005-0000-0000-000040140000}"/>
    <cellStyle name="ItemTypeClass 3 18" xfId="11521" xr:uid="{00000000-0005-0000-0000-000041140000}"/>
    <cellStyle name="ItemTypeClass 3 2" xfId="11522" xr:uid="{00000000-0005-0000-0000-000042140000}"/>
    <cellStyle name="ItemTypeClass 3 2 10" xfId="11523" xr:uid="{00000000-0005-0000-0000-000043140000}"/>
    <cellStyle name="ItemTypeClass 3 2 11" xfId="11524" xr:uid="{00000000-0005-0000-0000-000044140000}"/>
    <cellStyle name="ItemTypeClass 3 2 12" xfId="11525" xr:uid="{00000000-0005-0000-0000-000045140000}"/>
    <cellStyle name="ItemTypeClass 3 2 13" xfId="11526" xr:uid="{00000000-0005-0000-0000-000046140000}"/>
    <cellStyle name="ItemTypeClass 3 2 14" xfId="11527" xr:uid="{00000000-0005-0000-0000-000047140000}"/>
    <cellStyle name="ItemTypeClass 3 2 15" xfId="11528" xr:uid="{00000000-0005-0000-0000-000048140000}"/>
    <cellStyle name="ItemTypeClass 3 2 2" xfId="11529" xr:uid="{00000000-0005-0000-0000-000049140000}"/>
    <cellStyle name="ItemTypeClass 3 2 2 10" xfId="11530" xr:uid="{00000000-0005-0000-0000-00004A140000}"/>
    <cellStyle name="ItemTypeClass 3 2 2 11" xfId="11531" xr:uid="{00000000-0005-0000-0000-00004B140000}"/>
    <cellStyle name="ItemTypeClass 3 2 2 12" xfId="11532" xr:uid="{00000000-0005-0000-0000-00004C140000}"/>
    <cellStyle name="ItemTypeClass 3 2 2 2" xfId="11533" xr:uid="{00000000-0005-0000-0000-00004D140000}"/>
    <cellStyle name="ItemTypeClass 3 2 2 2 2" xfId="11534" xr:uid="{00000000-0005-0000-0000-00004E140000}"/>
    <cellStyle name="ItemTypeClass 3 2 2 2 3" xfId="11535" xr:uid="{00000000-0005-0000-0000-00004F140000}"/>
    <cellStyle name="ItemTypeClass 3 2 2 2 4" xfId="11536" xr:uid="{00000000-0005-0000-0000-000050140000}"/>
    <cellStyle name="ItemTypeClass 3 2 2 2 5" xfId="11537" xr:uid="{00000000-0005-0000-0000-000051140000}"/>
    <cellStyle name="ItemTypeClass 3 2 2 3" xfId="11538" xr:uid="{00000000-0005-0000-0000-000052140000}"/>
    <cellStyle name="ItemTypeClass 3 2 2 3 2" xfId="11539" xr:uid="{00000000-0005-0000-0000-000053140000}"/>
    <cellStyle name="ItemTypeClass 3 2 2 3 3" xfId="11540" xr:uid="{00000000-0005-0000-0000-000054140000}"/>
    <cellStyle name="ItemTypeClass 3 2 2 3 4" xfId="11541" xr:uid="{00000000-0005-0000-0000-000055140000}"/>
    <cellStyle name="ItemTypeClass 3 2 2 3 5" xfId="11542" xr:uid="{00000000-0005-0000-0000-000056140000}"/>
    <cellStyle name="ItemTypeClass 3 2 2 3 6" xfId="11543" xr:uid="{00000000-0005-0000-0000-000057140000}"/>
    <cellStyle name="ItemTypeClass 3 2 2 4" xfId="11544" xr:uid="{00000000-0005-0000-0000-000058140000}"/>
    <cellStyle name="ItemTypeClass 3 2 2 4 2" xfId="11545" xr:uid="{00000000-0005-0000-0000-000059140000}"/>
    <cellStyle name="ItemTypeClass 3 2 2 4 3" xfId="11546" xr:uid="{00000000-0005-0000-0000-00005A140000}"/>
    <cellStyle name="ItemTypeClass 3 2 2 4 4" xfId="11547" xr:uid="{00000000-0005-0000-0000-00005B140000}"/>
    <cellStyle name="ItemTypeClass 3 2 2 4 5" xfId="11548" xr:uid="{00000000-0005-0000-0000-00005C140000}"/>
    <cellStyle name="ItemTypeClass 3 2 2 4 6" xfId="11549" xr:uid="{00000000-0005-0000-0000-00005D140000}"/>
    <cellStyle name="ItemTypeClass 3 2 2 5" xfId="11550" xr:uid="{00000000-0005-0000-0000-00005E140000}"/>
    <cellStyle name="ItemTypeClass 3 2 2 6" xfId="11551" xr:uid="{00000000-0005-0000-0000-00005F140000}"/>
    <cellStyle name="ItemTypeClass 3 2 2 7" xfId="11552" xr:uid="{00000000-0005-0000-0000-000060140000}"/>
    <cellStyle name="ItemTypeClass 3 2 2 8" xfId="11553" xr:uid="{00000000-0005-0000-0000-000061140000}"/>
    <cellStyle name="ItemTypeClass 3 2 2 9" xfId="11554" xr:uid="{00000000-0005-0000-0000-000062140000}"/>
    <cellStyle name="ItemTypeClass 3 2 3" xfId="11555" xr:uid="{00000000-0005-0000-0000-000063140000}"/>
    <cellStyle name="ItemTypeClass 3 2 3 10" xfId="11556" xr:uid="{00000000-0005-0000-0000-000064140000}"/>
    <cellStyle name="ItemTypeClass 3 2 3 11" xfId="11557" xr:uid="{00000000-0005-0000-0000-000065140000}"/>
    <cellStyle name="ItemTypeClass 3 2 3 12" xfId="11558" xr:uid="{00000000-0005-0000-0000-000066140000}"/>
    <cellStyle name="ItemTypeClass 3 2 3 2" xfId="11559" xr:uid="{00000000-0005-0000-0000-000067140000}"/>
    <cellStyle name="ItemTypeClass 3 2 3 2 2" xfId="11560" xr:uid="{00000000-0005-0000-0000-000068140000}"/>
    <cellStyle name="ItemTypeClass 3 2 3 2 3" xfId="11561" xr:uid="{00000000-0005-0000-0000-000069140000}"/>
    <cellStyle name="ItemTypeClass 3 2 3 2 4" xfId="11562" xr:uid="{00000000-0005-0000-0000-00006A140000}"/>
    <cellStyle name="ItemTypeClass 3 2 3 2 5" xfId="11563" xr:uid="{00000000-0005-0000-0000-00006B140000}"/>
    <cellStyle name="ItemTypeClass 3 2 3 3" xfId="11564" xr:uid="{00000000-0005-0000-0000-00006C140000}"/>
    <cellStyle name="ItemTypeClass 3 2 3 3 2" xfId="11565" xr:uid="{00000000-0005-0000-0000-00006D140000}"/>
    <cellStyle name="ItemTypeClass 3 2 3 3 3" xfId="11566" xr:uid="{00000000-0005-0000-0000-00006E140000}"/>
    <cellStyle name="ItemTypeClass 3 2 3 3 4" xfId="11567" xr:uid="{00000000-0005-0000-0000-00006F140000}"/>
    <cellStyle name="ItemTypeClass 3 2 3 3 5" xfId="11568" xr:uid="{00000000-0005-0000-0000-000070140000}"/>
    <cellStyle name="ItemTypeClass 3 2 3 3 6" xfId="11569" xr:uid="{00000000-0005-0000-0000-000071140000}"/>
    <cellStyle name="ItemTypeClass 3 2 3 4" xfId="11570" xr:uid="{00000000-0005-0000-0000-000072140000}"/>
    <cellStyle name="ItemTypeClass 3 2 3 4 2" xfId="11571" xr:uid="{00000000-0005-0000-0000-000073140000}"/>
    <cellStyle name="ItemTypeClass 3 2 3 4 3" xfId="11572" xr:uid="{00000000-0005-0000-0000-000074140000}"/>
    <cellStyle name="ItemTypeClass 3 2 3 4 4" xfId="11573" xr:uid="{00000000-0005-0000-0000-000075140000}"/>
    <cellStyle name="ItemTypeClass 3 2 3 4 5" xfId="11574" xr:uid="{00000000-0005-0000-0000-000076140000}"/>
    <cellStyle name="ItemTypeClass 3 2 3 4 6" xfId="11575" xr:uid="{00000000-0005-0000-0000-000077140000}"/>
    <cellStyle name="ItemTypeClass 3 2 3 5" xfId="11576" xr:uid="{00000000-0005-0000-0000-000078140000}"/>
    <cellStyle name="ItemTypeClass 3 2 3 6" xfId="11577" xr:uid="{00000000-0005-0000-0000-000079140000}"/>
    <cellStyle name="ItemTypeClass 3 2 3 7" xfId="11578" xr:uid="{00000000-0005-0000-0000-00007A140000}"/>
    <cellStyle name="ItemTypeClass 3 2 3 8" xfId="11579" xr:uid="{00000000-0005-0000-0000-00007B140000}"/>
    <cellStyle name="ItemTypeClass 3 2 3 9" xfId="11580" xr:uid="{00000000-0005-0000-0000-00007C140000}"/>
    <cellStyle name="ItemTypeClass 3 2 4" xfId="11581" xr:uid="{00000000-0005-0000-0000-00007D140000}"/>
    <cellStyle name="ItemTypeClass 3 2 4 10" xfId="11582" xr:uid="{00000000-0005-0000-0000-00007E140000}"/>
    <cellStyle name="ItemTypeClass 3 2 4 11" xfId="11583" xr:uid="{00000000-0005-0000-0000-00007F140000}"/>
    <cellStyle name="ItemTypeClass 3 2 4 12" xfId="11584" xr:uid="{00000000-0005-0000-0000-000080140000}"/>
    <cellStyle name="ItemTypeClass 3 2 4 2" xfId="11585" xr:uid="{00000000-0005-0000-0000-000081140000}"/>
    <cellStyle name="ItemTypeClass 3 2 4 2 2" xfId="11586" xr:uid="{00000000-0005-0000-0000-000082140000}"/>
    <cellStyle name="ItemTypeClass 3 2 4 2 3" xfId="11587" xr:uid="{00000000-0005-0000-0000-000083140000}"/>
    <cellStyle name="ItemTypeClass 3 2 4 2 4" xfId="11588" xr:uid="{00000000-0005-0000-0000-000084140000}"/>
    <cellStyle name="ItemTypeClass 3 2 4 2 5" xfId="11589" xr:uid="{00000000-0005-0000-0000-000085140000}"/>
    <cellStyle name="ItemTypeClass 3 2 4 3" xfId="11590" xr:uid="{00000000-0005-0000-0000-000086140000}"/>
    <cellStyle name="ItemTypeClass 3 2 4 3 2" xfId="11591" xr:uid="{00000000-0005-0000-0000-000087140000}"/>
    <cellStyle name="ItemTypeClass 3 2 4 3 3" xfId="11592" xr:uid="{00000000-0005-0000-0000-000088140000}"/>
    <cellStyle name="ItemTypeClass 3 2 4 3 4" xfId="11593" xr:uid="{00000000-0005-0000-0000-000089140000}"/>
    <cellStyle name="ItemTypeClass 3 2 4 3 5" xfId="11594" xr:uid="{00000000-0005-0000-0000-00008A140000}"/>
    <cellStyle name="ItemTypeClass 3 2 4 3 6" xfId="11595" xr:uid="{00000000-0005-0000-0000-00008B140000}"/>
    <cellStyle name="ItemTypeClass 3 2 4 4" xfId="11596" xr:uid="{00000000-0005-0000-0000-00008C140000}"/>
    <cellStyle name="ItemTypeClass 3 2 4 4 2" xfId="11597" xr:uid="{00000000-0005-0000-0000-00008D140000}"/>
    <cellStyle name="ItemTypeClass 3 2 4 4 3" xfId="11598" xr:uid="{00000000-0005-0000-0000-00008E140000}"/>
    <cellStyle name="ItemTypeClass 3 2 4 4 4" xfId="11599" xr:uid="{00000000-0005-0000-0000-00008F140000}"/>
    <cellStyle name="ItemTypeClass 3 2 4 4 5" xfId="11600" xr:uid="{00000000-0005-0000-0000-000090140000}"/>
    <cellStyle name="ItemTypeClass 3 2 4 4 6" xfId="11601" xr:uid="{00000000-0005-0000-0000-000091140000}"/>
    <cellStyle name="ItemTypeClass 3 2 4 5" xfId="11602" xr:uid="{00000000-0005-0000-0000-000092140000}"/>
    <cellStyle name="ItemTypeClass 3 2 4 6" xfId="11603" xr:uid="{00000000-0005-0000-0000-000093140000}"/>
    <cellStyle name="ItemTypeClass 3 2 4 7" xfId="11604" xr:uid="{00000000-0005-0000-0000-000094140000}"/>
    <cellStyle name="ItemTypeClass 3 2 4 8" xfId="11605" xr:uid="{00000000-0005-0000-0000-000095140000}"/>
    <cellStyle name="ItemTypeClass 3 2 4 9" xfId="11606" xr:uid="{00000000-0005-0000-0000-000096140000}"/>
    <cellStyle name="ItemTypeClass 3 2 5" xfId="11607" xr:uid="{00000000-0005-0000-0000-000097140000}"/>
    <cellStyle name="ItemTypeClass 3 2 5 2" xfId="11608" xr:uid="{00000000-0005-0000-0000-000098140000}"/>
    <cellStyle name="ItemTypeClass 3 2 5 3" xfId="11609" xr:uid="{00000000-0005-0000-0000-000099140000}"/>
    <cellStyle name="ItemTypeClass 3 2 5 4" xfId="11610" xr:uid="{00000000-0005-0000-0000-00009A140000}"/>
    <cellStyle name="ItemTypeClass 3 2 5 5" xfId="11611" xr:uid="{00000000-0005-0000-0000-00009B140000}"/>
    <cellStyle name="ItemTypeClass 3 2 6" xfId="11612" xr:uid="{00000000-0005-0000-0000-00009C140000}"/>
    <cellStyle name="ItemTypeClass 3 2 6 2" xfId="11613" xr:uid="{00000000-0005-0000-0000-00009D140000}"/>
    <cellStyle name="ItemTypeClass 3 2 6 3" xfId="11614" xr:uid="{00000000-0005-0000-0000-00009E140000}"/>
    <cellStyle name="ItemTypeClass 3 2 6 4" xfId="11615" xr:uid="{00000000-0005-0000-0000-00009F140000}"/>
    <cellStyle name="ItemTypeClass 3 2 6 5" xfId="11616" xr:uid="{00000000-0005-0000-0000-0000A0140000}"/>
    <cellStyle name="ItemTypeClass 3 2 6 6" xfId="11617" xr:uid="{00000000-0005-0000-0000-0000A1140000}"/>
    <cellStyle name="ItemTypeClass 3 2 7" xfId="11618" xr:uid="{00000000-0005-0000-0000-0000A2140000}"/>
    <cellStyle name="ItemTypeClass 3 2 7 2" xfId="11619" xr:uid="{00000000-0005-0000-0000-0000A3140000}"/>
    <cellStyle name="ItemTypeClass 3 2 7 3" xfId="11620" xr:uid="{00000000-0005-0000-0000-0000A4140000}"/>
    <cellStyle name="ItemTypeClass 3 2 7 4" xfId="11621" xr:uid="{00000000-0005-0000-0000-0000A5140000}"/>
    <cellStyle name="ItemTypeClass 3 2 7 5" xfId="11622" xr:uid="{00000000-0005-0000-0000-0000A6140000}"/>
    <cellStyle name="ItemTypeClass 3 2 7 6" xfId="11623" xr:uid="{00000000-0005-0000-0000-0000A7140000}"/>
    <cellStyle name="ItemTypeClass 3 2 8" xfId="11624" xr:uid="{00000000-0005-0000-0000-0000A8140000}"/>
    <cellStyle name="ItemTypeClass 3 2 9" xfId="11625" xr:uid="{00000000-0005-0000-0000-0000A9140000}"/>
    <cellStyle name="ItemTypeClass 3 3" xfId="11626" xr:uid="{00000000-0005-0000-0000-0000AA140000}"/>
    <cellStyle name="ItemTypeClass 3 3 10" xfId="11627" xr:uid="{00000000-0005-0000-0000-0000AB140000}"/>
    <cellStyle name="ItemTypeClass 3 3 11" xfId="11628" xr:uid="{00000000-0005-0000-0000-0000AC140000}"/>
    <cellStyle name="ItemTypeClass 3 3 12" xfId="11629" xr:uid="{00000000-0005-0000-0000-0000AD140000}"/>
    <cellStyle name="ItemTypeClass 3 3 13" xfId="11630" xr:uid="{00000000-0005-0000-0000-0000AE140000}"/>
    <cellStyle name="ItemTypeClass 3 3 14" xfId="11631" xr:uid="{00000000-0005-0000-0000-0000AF140000}"/>
    <cellStyle name="ItemTypeClass 3 3 15" xfId="11632" xr:uid="{00000000-0005-0000-0000-0000B0140000}"/>
    <cellStyle name="ItemTypeClass 3 3 2" xfId="11633" xr:uid="{00000000-0005-0000-0000-0000B1140000}"/>
    <cellStyle name="ItemTypeClass 3 3 2 10" xfId="11634" xr:uid="{00000000-0005-0000-0000-0000B2140000}"/>
    <cellStyle name="ItemTypeClass 3 3 2 11" xfId="11635" xr:uid="{00000000-0005-0000-0000-0000B3140000}"/>
    <cellStyle name="ItemTypeClass 3 3 2 12" xfId="11636" xr:uid="{00000000-0005-0000-0000-0000B4140000}"/>
    <cellStyle name="ItemTypeClass 3 3 2 2" xfId="11637" xr:uid="{00000000-0005-0000-0000-0000B5140000}"/>
    <cellStyle name="ItemTypeClass 3 3 2 2 2" xfId="11638" xr:uid="{00000000-0005-0000-0000-0000B6140000}"/>
    <cellStyle name="ItemTypeClass 3 3 2 2 3" xfId="11639" xr:uid="{00000000-0005-0000-0000-0000B7140000}"/>
    <cellStyle name="ItemTypeClass 3 3 2 2 4" xfId="11640" xr:uid="{00000000-0005-0000-0000-0000B8140000}"/>
    <cellStyle name="ItemTypeClass 3 3 2 2 5" xfId="11641" xr:uid="{00000000-0005-0000-0000-0000B9140000}"/>
    <cellStyle name="ItemTypeClass 3 3 2 3" xfId="11642" xr:uid="{00000000-0005-0000-0000-0000BA140000}"/>
    <cellStyle name="ItemTypeClass 3 3 2 3 2" xfId="11643" xr:uid="{00000000-0005-0000-0000-0000BB140000}"/>
    <cellStyle name="ItemTypeClass 3 3 2 3 3" xfId="11644" xr:uid="{00000000-0005-0000-0000-0000BC140000}"/>
    <cellStyle name="ItemTypeClass 3 3 2 3 4" xfId="11645" xr:uid="{00000000-0005-0000-0000-0000BD140000}"/>
    <cellStyle name="ItemTypeClass 3 3 2 3 5" xfId="11646" xr:uid="{00000000-0005-0000-0000-0000BE140000}"/>
    <cellStyle name="ItemTypeClass 3 3 2 3 6" xfId="11647" xr:uid="{00000000-0005-0000-0000-0000BF140000}"/>
    <cellStyle name="ItemTypeClass 3 3 2 4" xfId="11648" xr:uid="{00000000-0005-0000-0000-0000C0140000}"/>
    <cellStyle name="ItemTypeClass 3 3 2 4 2" xfId="11649" xr:uid="{00000000-0005-0000-0000-0000C1140000}"/>
    <cellStyle name="ItemTypeClass 3 3 2 4 3" xfId="11650" xr:uid="{00000000-0005-0000-0000-0000C2140000}"/>
    <cellStyle name="ItemTypeClass 3 3 2 4 4" xfId="11651" xr:uid="{00000000-0005-0000-0000-0000C3140000}"/>
    <cellStyle name="ItemTypeClass 3 3 2 4 5" xfId="11652" xr:uid="{00000000-0005-0000-0000-0000C4140000}"/>
    <cellStyle name="ItemTypeClass 3 3 2 4 6" xfId="11653" xr:uid="{00000000-0005-0000-0000-0000C5140000}"/>
    <cellStyle name="ItemTypeClass 3 3 2 5" xfId="11654" xr:uid="{00000000-0005-0000-0000-0000C6140000}"/>
    <cellStyle name="ItemTypeClass 3 3 2 6" xfId="11655" xr:uid="{00000000-0005-0000-0000-0000C7140000}"/>
    <cellStyle name="ItemTypeClass 3 3 2 7" xfId="11656" xr:uid="{00000000-0005-0000-0000-0000C8140000}"/>
    <cellStyle name="ItemTypeClass 3 3 2 8" xfId="11657" xr:uid="{00000000-0005-0000-0000-0000C9140000}"/>
    <cellStyle name="ItemTypeClass 3 3 2 9" xfId="11658" xr:uid="{00000000-0005-0000-0000-0000CA140000}"/>
    <cellStyle name="ItemTypeClass 3 3 3" xfId="11659" xr:uid="{00000000-0005-0000-0000-0000CB140000}"/>
    <cellStyle name="ItemTypeClass 3 3 3 10" xfId="11660" xr:uid="{00000000-0005-0000-0000-0000CC140000}"/>
    <cellStyle name="ItemTypeClass 3 3 3 11" xfId="11661" xr:uid="{00000000-0005-0000-0000-0000CD140000}"/>
    <cellStyle name="ItemTypeClass 3 3 3 12" xfId="11662" xr:uid="{00000000-0005-0000-0000-0000CE140000}"/>
    <cellStyle name="ItemTypeClass 3 3 3 2" xfId="11663" xr:uid="{00000000-0005-0000-0000-0000CF140000}"/>
    <cellStyle name="ItemTypeClass 3 3 3 2 2" xfId="11664" xr:uid="{00000000-0005-0000-0000-0000D0140000}"/>
    <cellStyle name="ItemTypeClass 3 3 3 2 3" xfId="11665" xr:uid="{00000000-0005-0000-0000-0000D1140000}"/>
    <cellStyle name="ItemTypeClass 3 3 3 2 4" xfId="11666" xr:uid="{00000000-0005-0000-0000-0000D2140000}"/>
    <cellStyle name="ItemTypeClass 3 3 3 2 5" xfId="11667" xr:uid="{00000000-0005-0000-0000-0000D3140000}"/>
    <cellStyle name="ItemTypeClass 3 3 3 3" xfId="11668" xr:uid="{00000000-0005-0000-0000-0000D4140000}"/>
    <cellStyle name="ItemTypeClass 3 3 3 3 2" xfId="11669" xr:uid="{00000000-0005-0000-0000-0000D5140000}"/>
    <cellStyle name="ItemTypeClass 3 3 3 3 3" xfId="11670" xr:uid="{00000000-0005-0000-0000-0000D6140000}"/>
    <cellStyle name="ItemTypeClass 3 3 3 3 4" xfId="11671" xr:uid="{00000000-0005-0000-0000-0000D7140000}"/>
    <cellStyle name="ItemTypeClass 3 3 3 3 5" xfId="11672" xr:uid="{00000000-0005-0000-0000-0000D8140000}"/>
    <cellStyle name="ItemTypeClass 3 3 3 3 6" xfId="11673" xr:uid="{00000000-0005-0000-0000-0000D9140000}"/>
    <cellStyle name="ItemTypeClass 3 3 3 4" xfId="11674" xr:uid="{00000000-0005-0000-0000-0000DA140000}"/>
    <cellStyle name="ItemTypeClass 3 3 3 4 2" xfId="11675" xr:uid="{00000000-0005-0000-0000-0000DB140000}"/>
    <cellStyle name="ItemTypeClass 3 3 3 4 3" xfId="11676" xr:uid="{00000000-0005-0000-0000-0000DC140000}"/>
    <cellStyle name="ItemTypeClass 3 3 3 4 4" xfId="11677" xr:uid="{00000000-0005-0000-0000-0000DD140000}"/>
    <cellStyle name="ItemTypeClass 3 3 3 4 5" xfId="11678" xr:uid="{00000000-0005-0000-0000-0000DE140000}"/>
    <cellStyle name="ItemTypeClass 3 3 3 4 6" xfId="11679" xr:uid="{00000000-0005-0000-0000-0000DF140000}"/>
    <cellStyle name="ItemTypeClass 3 3 3 5" xfId="11680" xr:uid="{00000000-0005-0000-0000-0000E0140000}"/>
    <cellStyle name="ItemTypeClass 3 3 3 6" xfId="11681" xr:uid="{00000000-0005-0000-0000-0000E1140000}"/>
    <cellStyle name="ItemTypeClass 3 3 3 7" xfId="11682" xr:uid="{00000000-0005-0000-0000-0000E2140000}"/>
    <cellStyle name="ItemTypeClass 3 3 3 8" xfId="11683" xr:uid="{00000000-0005-0000-0000-0000E3140000}"/>
    <cellStyle name="ItemTypeClass 3 3 3 9" xfId="11684" xr:uid="{00000000-0005-0000-0000-0000E4140000}"/>
    <cellStyle name="ItemTypeClass 3 3 4" xfId="11685" xr:uid="{00000000-0005-0000-0000-0000E5140000}"/>
    <cellStyle name="ItemTypeClass 3 3 4 10" xfId="11686" xr:uid="{00000000-0005-0000-0000-0000E6140000}"/>
    <cellStyle name="ItemTypeClass 3 3 4 11" xfId="11687" xr:uid="{00000000-0005-0000-0000-0000E7140000}"/>
    <cellStyle name="ItemTypeClass 3 3 4 12" xfId="11688" xr:uid="{00000000-0005-0000-0000-0000E8140000}"/>
    <cellStyle name="ItemTypeClass 3 3 4 2" xfId="11689" xr:uid="{00000000-0005-0000-0000-0000E9140000}"/>
    <cellStyle name="ItemTypeClass 3 3 4 2 2" xfId="11690" xr:uid="{00000000-0005-0000-0000-0000EA140000}"/>
    <cellStyle name="ItemTypeClass 3 3 4 2 3" xfId="11691" xr:uid="{00000000-0005-0000-0000-0000EB140000}"/>
    <cellStyle name="ItemTypeClass 3 3 4 2 4" xfId="11692" xr:uid="{00000000-0005-0000-0000-0000EC140000}"/>
    <cellStyle name="ItemTypeClass 3 3 4 2 5" xfId="11693" xr:uid="{00000000-0005-0000-0000-0000ED140000}"/>
    <cellStyle name="ItemTypeClass 3 3 4 3" xfId="11694" xr:uid="{00000000-0005-0000-0000-0000EE140000}"/>
    <cellStyle name="ItemTypeClass 3 3 4 3 2" xfId="11695" xr:uid="{00000000-0005-0000-0000-0000EF140000}"/>
    <cellStyle name="ItemTypeClass 3 3 4 3 3" xfId="11696" xr:uid="{00000000-0005-0000-0000-0000F0140000}"/>
    <cellStyle name="ItemTypeClass 3 3 4 3 4" xfId="11697" xr:uid="{00000000-0005-0000-0000-0000F1140000}"/>
    <cellStyle name="ItemTypeClass 3 3 4 3 5" xfId="11698" xr:uid="{00000000-0005-0000-0000-0000F2140000}"/>
    <cellStyle name="ItemTypeClass 3 3 4 3 6" xfId="11699" xr:uid="{00000000-0005-0000-0000-0000F3140000}"/>
    <cellStyle name="ItemTypeClass 3 3 4 4" xfId="11700" xr:uid="{00000000-0005-0000-0000-0000F4140000}"/>
    <cellStyle name="ItemTypeClass 3 3 4 4 2" xfId="11701" xr:uid="{00000000-0005-0000-0000-0000F5140000}"/>
    <cellStyle name="ItemTypeClass 3 3 4 4 3" xfId="11702" xr:uid="{00000000-0005-0000-0000-0000F6140000}"/>
    <cellStyle name="ItemTypeClass 3 3 4 4 4" xfId="11703" xr:uid="{00000000-0005-0000-0000-0000F7140000}"/>
    <cellStyle name="ItemTypeClass 3 3 4 4 5" xfId="11704" xr:uid="{00000000-0005-0000-0000-0000F8140000}"/>
    <cellStyle name="ItemTypeClass 3 3 4 4 6" xfId="11705" xr:uid="{00000000-0005-0000-0000-0000F9140000}"/>
    <cellStyle name="ItemTypeClass 3 3 4 5" xfId="11706" xr:uid="{00000000-0005-0000-0000-0000FA140000}"/>
    <cellStyle name="ItemTypeClass 3 3 4 6" xfId="11707" xr:uid="{00000000-0005-0000-0000-0000FB140000}"/>
    <cellStyle name="ItemTypeClass 3 3 4 7" xfId="11708" xr:uid="{00000000-0005-0000-0000-0000FC140000}"/>
    <cellStyle name="ItemTypeClass 3 3 4 8" xfId="11709" xr:uid="{00000000-0005-0000-0000-0000FD140000}"/>
    <cellStyle name="ItemTypeClass 3 3 4 9" xfId="11710" xr:uid="{00000000-0005-0000-0000-0000FE140000}"/>
    <cellStyle name="ItemTypeClass 3 3 5" xfId="11711" xr:uid="{00000000-0005-0000-0000-0000FF140000}"/>
    <cellStyle name="ItemTypeClass 3 3 5 2" xfId="11712" xr:uid="{00000000-0005-0000-0000-000000150000}"/>
    <cellStyle name="ItemTypeClass 3 3 5 3" xfId="11713" xr:uid="{00000000-0005-0000-0000-000001150000}"/>
    <cellStyle name="ItemTypeClass 3 3 5 4" xfId="11714" xr:uid="{00000000-0005-0000-0000-000002150000}"/>
    <cellStyle name="ItemTypeClass 3 3 5 5" xfId="11715" xr:uid="{00000000-0005-0000-0000-000003150000}"/>
    <cellStyle name="ItemTypeClass 3 3 6" xfId="11716" xr:uid="{00000000-0005-0000-0000-000004150000}"/>
    <cellStyle name="ItemTypeClass 3 3 6 2" xfId="11717" xr:uid="{00000000-0005-0000-0000-000005150000}"/>
    <cellStyle name="ItemTypeClass 3 3 6 3" xfId="11718" xr:uid="{00000000-0005-0000-0000-000006150000}"/>
    <cellStyle name="ItemTypeClass 3 3 6 4" xfId="11719" xr:uid="{00000000-0005-0000-0000-000007150000}"/>
    <cellStyle name="ItemTypeClass 3 3 6 5" xfId="11720" xr:uid="{00000000-0005-0000-0000-000008150000}"/>
    <cellStyle name="ItemTypeClass 3 3 6 6" xfId="11721" xr:uid="{00000000-0005-0000-0000-000009150000}"/>
    <cellStyle name="ItemTypeClass 3 3 7" xfId="11722" xr:uid="{00000000-0005-0000-0000-00000A150000}"/>
    <cellStyle name="ItemTypeClass 3 3 7 2" xfId="11723" xr:uid="{00000000-0005-0000-0000-00000B150000}"/>
    <cellStyle name="ItemTypeClass 3 3 7 3" xfId="11724" xr:uid="{00000000-0005-0000-0000-00000C150000}"/>
    <cellStyle name="ItemTypeClass 3 3 7 4" xfId="11725" xr:uid="{00000000-0005-0000-0000-00000D150000}"/>
    <cellStyle name="ItemTypeClass 3 3 7 5" xfId="11726" xr:uid="{00000000-0005-0000-0000-00000E150000}"/>
    <cellStyle name="ItemTypeClass 3 3 7 6" xfId="11727" xr:uid="{00000000-0005-0000-0000-00000F150000}"/>
    <cellStyle name="ItemTypeClass 3 3 8" xfId="11728" xr:uid="{00000000-0005-0000-0000-000010150000}"/>
    <cellStyle name="ItemTypeClass 3 3 9" xfId="11729" xr:uid="{00000000-0005-0000-0000-000011150000}"/>
    <cellStyle name="ItemTypeClass 3 4" xfId="11730" xr:uid="{00000000-0005-0000-0000-000012150000}"/>
    <cellStyle name="ItemTypeClass 3 4 10" xfId="11731" xr:uid="{00000000-0005-0000-0000-000013150000}"/>
    <cellStyle name="ItemTypeClass 3 4 11" xfId="11732" xr:uid="{00000000-0005-0000-0000-000014150000}"/>
    <cellStyle name="ItemTypeClass 3 4 12" xfId="11733" xr:uid="{00000000-0005-0000-0000-000015150000}"/>
    <cellStyle name="ItemTypeClass 3 4 13" xfId="11734" xr:uid="{00000000-0005-0000-0000-000016150000}"/>
    <cellStyle name="ItemTypeClass 3 4 14" xfId="11735" xr:uid="{00000000-0005-0000-0000-000017150000}"/>
    <cellStyle name="ItemTypeClass 3 4 15" xfId="11736" xr:uid="{00000000-0005-0000-0000-000018150000}"/>
    <cellStyle name="ItemTypeClass 3 4 2" xfId="11737" xr:uid="{00000000-0005-0000-0000-000019150000}"/>
    <cellStyle name="ItemTypeClass 3 4 2 10" xfId="11738" xr:uid="{00000000-0005-0000-0000-00001A150000}"/>
    <cellStyle name="ItemTypeClass 3 4 2 11" xfId="11739" xr:uid="{00000000-0005-0000-0000-00001B150000}"/>
    <cellStyle name="ItemTypeClass 3 4 2 12" xfId="11740" xr:uid="{00000000-0005-0000-0000-00001C150000}"/>
    <cellStyle name="ItemTypeClass 3 4 2 2" xfId="11741" xr:uid="{00000000-0005-0000-0000-00001D150000}"/>
    <cellStyle name="ItemTypeClass 3 4 2 2 2" xfId="11742" xr:uid="{00000000-0005-0000-0000-00001E150000}"/>
    <cellStyle name="ItemTypeClass 3 4 2 2 3" xfId="11743" xr:uid="{00000000-0005-0000-0000-00001F150000}"/>
    <cellStyle name="ItemTypeClass 3 4 2 2 4" xfId="11744" xr:uid="{00000000-0005-0000-0000-000020150000}"/>
    <cellStyle name="ItemTypeClass 3 4 2 2 5" xfId="11745" xr:uid="{00000000-0005-0000-0000-000021150000}"/>
    <cellStyle name="ItemTypeClass 3 4 2 3" xfId="11746" xr:uid="{00000000-0005-0000-0000-000022150000}"/>
    <cellStyle name="ItemTypeClass 3 4 2 3 2" xfId="11747" xr:uid="{00000000-0005-0000-0000-000023150000}"/>
    <cellStyle name="ItemTypeClass 3 4 2 3 3" xfId="11748" xr:uid="{00000000-0005-0000-0000-000024150000}"/>
    <cellStyle name="ItemTypeClass 3 4 2 3 4" xfId="11749" xr:uid="{00000000-0005-0000-0000-000025150000}"/>
    <cellStyle name="ItemTypeClass 3 4 2 3 5" xfId="11750" xr:uid="{00000000-0005-0000-0000-000026150000}"/>
    <cellStyle name="ItemTypeClass 3 4 2 3 6" xfId="11751" xr:uid="{00000000-0005-0000-0000-000027150000}"/>
    <cellStyle name="ItemTypeClass 3 4 2 4" xfId="11752" xr:uid="{00000000-0005-0000-0000-000028150000}"/>
    <cellStyle name="ItemTypeClass 3 4 2 4 2" xfId="11753" xr:uid="{00000000-0005-0000-0000-000029150000}"/>
    <cellStyle name="ItemTypeClass 3 4 2 4 3" xfId="11754" xr:uid="{00000000-0005-0000-0000-00002A150000}"/>
    <cellStyle name="ItemTypeClass 3 4 2 4 4" xfId="11755" xr:uid="{00000000-0005-0000-0000-00002B150000}"/>
    <cellStyle name="ItemTypeClass 3 4 2 4 5" xfId="11756" xr:uid="{00000000-0005-0000-0000-00002C150000}"/>
    <cellStyle name="ItemTypeClass 3 4 2 4 6" xfId="11757" xr:uid="{00000000-0005-0000-0000-00002D150000}"/>
    <cellStyle name="ItemTypeClass 3 4 2 5" xfId="11758" xr:uid="{00000000-0005-0000-0000-00002E150000}"/>
    <cellStyle name="ItemTypeClass 3 4 2 6" xfId="11759" xr:uid="{00000000-0005-0000-0000-00002F150000}"/>
    <cellStyle name="ItemTypeClass 3 4 2 7" xfId="11760" xr:uid="{00000000-0005-0000-0000-000030150000}"/>
    <cellStyle name="ItemTypeClass 3 4 2 8" xfId="11761" xr:uid="{00000000-0005-0000-0000-000031150000}"/>
    <cellStyle name="ItemTypeClass 3 4 2 9" xfId="11762" xr:uid="{00000000-0005-0000-0000-000032150000}"/>
    <cellStyle name="ItemTypeClass 3 4 3" xfId="11763" xr:uid="{00000000-0005-0000-0000-000033150000}"/>
    <cellStyle name="ItemTypeClass 3 4 3 10" xfId="11764" xr:uid="{00000000-0005-0000-0000-000034150000}"/>
    <cellStyle name="ItemTypeClass 3 4 3 11" xfId="11765" xr:uid="{00000000-0005-0000-0000-000035150000}"/>
    <cellStyle name="ItemTypeClass 3 4 3 12" xfId="11766" xr:uid="{00000000-0005-0000-0000-000036150000}"/>
    <cellStyle name="ItemTypeClass 3 4 3 2" xfId="11767" xr:uid="{00000000-0005-0000-0000-000037150000}"/>
    <cellStyle name="ItemTypeClass 3 4 3 2 2" xfId="11768" xr:uid="{00000000-0005-0000-0000-000038150000}"/>
    <cellStyle name="ItemTypeClass 3 4 3 2 3" xfId="11769" xr:uid="{00000000-0005-0000-0000-000039150000}"/>
    <cellStyle name="ItemTypeClass 3 4 3 2 4" xfId="11770" xr:uid="{00000000-0005-0000-0000-00003A150000}"/>
    <cellStyle name="ItemTypeClass 3 4 3 2 5" xfId="11771" xr:uid="{00000000-0005-0000-0000-00003B150000}"/>
    <cellStyle name="ItemTypeClass 3 4 3 3" xfId="11772" xr:uid="{00000000-0005-0000-0000-00003C150000}"/>
    <cellStyle name="ItemTypeClass 3 4 3 3 2" xfId="11773" xr:uid="{00000000-0005-0000-0000-00003D150000}"/>
    <cellStyle name="ItemTypeClass 3 4 3 3 3" xfId="11774" xr:uid="{00000000-0005-0000-0000-00003E150000}"/>
    <cellStyle name="ItemTypeClass 3 4 3 3 4" xfId="11775" xr:uid="{00000000-0005-0000-0000-00003F150000}"/>
    <cellStyle name="ItemTypeClass 3 4 3 3 5" xfId="11776" xr:uid="{00000000-0005-0000-0000-000040150000}"/>
    <cellStyle name="ItemTypeClass 3 4 3 3 6" xfId="11777" xr:uid="{00000000-0005-0000-0000-000041150000}"/>
    <cellStyle name="ItemTypeClass 3 4 3 4" xfId="11778" xr:uid="{00000000-0005-0000-0000-000042150000}"/>
    <cellStyle name="ItemTypeClass 3 4 3 4 2" xfId="11779" xr:uid="{00000000-0005-0000-0000-000043150000}"/>
    <cellStyle name="ItemTypeClass 3 4 3 4 3" xfId="11780" xr:uid="{00000000-0005-0000-0000-000044150000}"/>
    <cellStyle name="ItemTypeClass 3 4 3 4 4" xfId="11781" xr:uid="{00000000-0005-0000-0000-000045150000}"/>
    <cellStyle name="ItemTypeClass 3 4 3 4 5" xfId="11782" xr:uid="{00000000-0005-0000-0000-000046150000}"/>
    <cellStyle name="ItemTypeClass 3 4 3 4 6" xfId="11783" xr:uid="{00000000-0005-0000-0000-000047150000}"/>
    <cellStyle name="ItemTypeClass 3 4 3 5" xfId="11784" xr:uid="{00000000-0005-0000-0000-000048150000}"/>
    <cellStyle name="ItemTypeClass 3 4 3 6" xfId="11785" xr:uid="{00000000-0005-0000-0000-000049150000}"/>
    <cellStyle name="ItemTypeClass 3 4 3 7" xfId="11786" xr:uid="{00000000-0005-0000-0000-00004A150000}"/>
    <cellStyle name="ItemTypeClass 3 4 3 8" xfId="11787" xr:uid="{00000000-0005-0000-0000-00004B150000}"/>
    <cellStyle name="ItemTypeClass 3 4 3 9" xfId="11788" xr:uid="{00000000-0005-0000-0000-00004C150000}"/>
    <cellStyle name="ItemTypeClass 3 4 4" xfId="11789" xr:uid="{00000000-0005-0000-0000-00004D150000}"/>
    <cellStyle name="ItemTypeClass 3 4 4 10" xfId="11790" xr:uid="{00000000-0005-0000-0000-00004E150000}"/>
    <cellStyle name="ItemTypeClass 3 4 4 11" xfId="11791" xr:uid="{00000000-0005-0000-0000-00004F150000}"/>
    <cellStyle name="ItemTypeClass 3 4 4 12" xfId="11792" xr:uid="{00000000-0005-0000-0000-000050150000}"/>
    <cellStyle name="ItemTypeClass 3 4 4 2" xfId="11793" xr:uid="{00000000-0005-0000-0000-000051150000}"/>
    <cellStyle name="ItemTypeClass 3 4 4 2 2" xfId="11794" xr:uid="{00000000-0005-0000-0000-000052150000}"/>
    <cellStyle name="ItemTypeClass 3 4 4 2 3" xfId="11795" xr:uid="{00000000-0005-0000-0000-000053150000}"/>
    <cellStyle name="ItemTypeClass 3 4 4 2 4" xfId="11796" xr:uid="{00000000-0005-0000-0000-000054150000}"/>
    <cellStyle name="ItemTypeClass 3 4 4 2 5" xfId="11797" xr:uid="{00000000-0005-0000-0000-000055150000}"/>
    <cellStyle name="ItemTypeClass 3 4 4 3" xfId="11798" xr:uid="{00000000-0005-0000-0000-000056150000}"/>
    <cellStyle name="ItemTypeClass 3 4 4 3 2" xfId="11799" xr:uid="{00000000-0005-0000-0000-000057150000}"/>
    <cellStyle name="ItemTypeClass 3 4 4 3 3" xfId="11800" xr:uid="{00000000-0005-0000-0000-000058150000}"/>
    <cellStyle name="ItemTypeClass 3 4 4 3 4" xfId="11801" xr:uid="{00000000-0005-0000-0000-000059150000}"/>
    <cellStyle name="ItemTypeClass 3 4 4 3 5" xfId="11802" xr:uid="{00000000-0005-0000-0000-00005A150000}"/>
    <cellStyle name="ItemTypeClass 3 4 4 3 6" xfId="11803" xr:uid="{00000000-0005-0000-0000-00005B150000}"/>
    <cellStyle name="ItemTypeClass 3 4 4 4" xfId="11804" xr:uid="{00000000-0005-0000-0000-00005C150000}"/>
    <cellStyle name="ItemTypeClass 3 4 4 4 2" xfId="11805" xr:uid="{00000000-0005-0000-0000-00005D150000}"/>
    <cellStyle name="ItemTypeClass 3 4 4 4 3" xfId="11806" xr:uid="{00000000-0005-0000-0000-00005E150000}"/>
    <cellStyle name="ItemTypeClass 3 4 4 4 4" xfId="11807" xr:uid="{00000000-0005-0000-0000-00005F150000}"/>
    <cellStyle name="ItemTypeClass 3 4 4 4 5" xfId="11808" xr:uid="{00000000-0005-0000-0000-000060150000}"/>
    <cellStyle name="ItemTypeClass 3 4 4 4 6" xfId="11809" xr:uid="{00000000-0005-0000-0000-000061150000}"/>
    <cellStyle name="ItemTypeClass 3 4 4 5" xfId="11810" xr:uid="{00000000-0005-0000-0000-000062150000}"/>
    <cellStyle name="ItemTypeClass 3 4 4 6" xfId="11811" xr:uid="{00000000-0005-0000-0000-000063150000}"/>
    <cellStyle name="ItemTypeClass 3 4 4 7" xfId="11812" xr:uid="{00000000-0005-0000-0000-000064150000}"/>
    <cellStyle name="ItemTypeClass 3 4 4 8" xfId="11813" xr:uid="{00000000-0005-0000-0000-000065150000}"/>
    <cellStyle name="ItemTypeClass 3 4 4 9" xfId="11814" xr:uid="{00000000-0005-0000-0000-000066150000}"/>
    <cellStyle name="ItemTypeClass 3 4 5" xfId="11815" xr:uid="{00000000-0005-0000-0000-000067150000}"/>
    <cellStyle name="ItemTypeClass 3 4 5 2" xfId="11816" xr:uid="{00000000-0005-0000-0000-000068150000}"/>
    <cellStyle name="ItemTypeClass 3 4 5 3" xfId="11817" xr:uid="{00000000-0005-0000-0000-000069150000}"/>
    <cellStyle name="ItemTypeClass 3 4 5 4" xfId="11818" xr:uid="{00000000-0005-0000-0000-00006A150000}"/>
    <cellStyle name="ItemTypeClass 3 4 5 5" xfId="11819" xr:uid="{00000000-0005-0000-0000-00006B150000}"/>
    <cellStyle name="ItemTypeClass 3 4 6" xfId="11820" xr:uid="{00000000-0005-0000-0000-00006C150000}"/>
    <cellStyle name="ItemTypeClass 3 4 6 2" xfId="11821" xr:uid="{00000000-0005-0000-0000-00006D150000}"/>
    <cellStyle name="ItemTypeClass 3 4 6 3" xfId="11822" xr:uid="{00000000-0005-0000-0000-00006E150000}"/>
    <cellStyle name="ItemTypeClass 3 4 6 4" xfId="11823" xr:uid="{00000000-0005-0000-0000-00006F150000}"/>
    <cellStyle name="ItemTypeClass 3 4 6 5" xfId="11824" xr:uid="{00000000-0005-0000-0000-000070150000}"/>
    <cellStyle name="ItemTypeClass 3 4 6 6" xfId="11825" xr:uid="{00000000-0005-0000-0000-000071150000}"/>
    <cellStyle name="ItemTypeClass 3 4 7" xfId="11826" xr:uid="{00000000-0005-0000-0000-000072150000}"/>
    <cellStyle name="ItemTypeClass 3 4 7 2" xfId="11827" xr:uid="{00000000-0005-0000-0000-000073150000}"/>
    <cellStyle name="ItemTypeClass 3 4 7 3" xfId="11828" xr:uid="{00000000-0005-0000-0000-000074150000}"/>
    <cellStyle name="ItemTypeClass 3 4 7 4" xfId="11829" xr:uid="{00000000-0005-0000-0000-000075150000}"/>
    <cellStyle name="ItemTypeClass 3 4 7 5" xfId="11830" xr:uid="{00000000-0005-0000-0000-000076150000}"/>
    <cellStyle name="ItemTypeClass 3 4 7 6" xfId="11831" xr:uid="{00000000-0005-0000-0000-000077150000}"/>
    <cellStyle name="ItemTypeClass 3 4 8" xfId="11832" xr:uid="{00000000-0005-0000-0000-000078150000}"/>
    <cellStyle name="ItemTypeClass 3 4 9" xfId="11833" xr:uid="{00000000-0005-0000-0000-000079150000}"/>
    <cellStyle name="ItemTypeClass 3 5" xfId="11834" xr:uid="{00000000-0005-0000-0000-00007A150000}"/>
    <cellStyle name="ItemTypeClass 3 5 10" xfId="11835" xr:uid="{00000000-0005-0000-0000-00007B150000}"/>
    <cellStyle name="ItemTypeClass 3 5 11" xfId="11836" xr:uid="{00000000-0005-0000-0000-00007C150000}"/>
    <cellStyle name="ItemTypeClass 3 5 12" xfId="11837" xr:uid="{00000000-0005-0000-0000-00007D150000}"/>
    <cellStyle name="ItemTypeClass 3 5 2" xfId="11838" xr:uid="{00000000-0005-0000-0000-00007E150000}"/>
    <cellStyle name="ItemTypeClass 3 5 2 2" xfId="11839" xr:uid="{00000000-0005-0000-0000-00007F150000}"/>
    <cellStyle name="ItemTypeClass 3 5 2 3" xfId="11840" xr:uid="{00000000-0005-0000-0000-000080150000}"/>
    <cellStyle name="ItemTypeClass 3 5 2 4" xfId="11841" xr:uid="{00000000-0005-0000-0000-000081150000}"/>
    <cellStyle name="ItemTypeClass 3 5 2 5" xfId="11842" xr:uid="{00000000-0005-0000-0000-000082150000}"/>
    <cellStyle name="ItemTypeClass 3 5 3" xfId="11843" xr:uid="{00000000-0005-0000-0000-000083150000}"/>
    <cellStyle name="ItemTypeClass 3 5 3 2" xfId="11844" xr:uid="{00000000-0005-0000-0000-000084150000}"/>
    <cellStyle name="ItemTypeClass 3 5 3 3" xfId="11845" xr:uid="{00000000-0005-0000-0000-000085150000}"/>
    <cellStyle name="ItemTypeClass 3 5 3 4" xfId="11846" xr:uid="{00000000-0005-0000-0000-000086150000}"/>
    <cellStyle name="ItemTypeClass 3 5 3 5" xfId="11847" xr:uid="{00000000-0005-0000-0000-000087150000}"/>
    <cellStyle name="ItemTypeClass 3 5 3 6" xfId="11848" xr:uid="{00000000-0005-0000-0000-000088150000}"/>
    <cellStyle name="ItemTypeClass 3 5 4" xfId="11849" xr:uid="{00000000-0005-0000-0000-000089150000}"/>
    <cellStyle name="ItemTypeClass 3 5 4 2" xfId="11850" xr:uid="{00000000-0005-0000-0000-00008A150000}"/>
    <cellStyle name="ItemTypeClass 3 5 4 3" xfId="11851" xr:uid="{00000000-0005-0000-0000-00008B150000}"/>
    <cellStyle name="ItemTypeClass 3 5 4 4" xfId="11852" xr:uid="{00000000-0005-0000-0000-00008C150000}"/>
    <cellStyle name="ItemTypeClass 3 5 4 5" xfId="11853" xr:uid="{00000000-0005-0000-0000-00008D150000}"/>
    <cellStyle name="ItemTypeClass 3 5 4 6" xfId="11854" xr:uid="{00000000-0005-0000-0000-00008E150000}"/>
    <cellStyle name="ItemTypeClass 3 5 5" xfId="11855" xr:uid="{00000000-0005-0000-0000-00008F150000}"/>
    <cellStyle name="ItemTypeClass 3 5 6" xfId="11856" xr:uid="{00000000-0005-0000-0000-000090150000}"/>
    <cellStyle name="ItemTypeClass 3 5 7" xfId="11857" xr:uid="{00000000-0005-0000-0000-000091150000}"/>
    <cellStyle name="ItemTypeClass 3 5 8" xfId="11858" xr:uid="{00000000-0005-0000-0000-000092150000}"/>
    <cellStyle name="ItemTypeClass 3 5 9" xfId="11859" xr:uid="{00000000-0005-0000-0000-000093150000}"/>
    <cellStyle name="ItemTypeClass 3 6" xfId="11860" xr:uid="{00000000-0005-0000-0000-000094150000}"/>
    <cellStyle name="ItemTypeClass 3 6 10" xfId="11861" xr:uid="{00000000-0005-0000-0000-000095150000}"/>
    <cellStyle name="ItemTypeClass 3 6 11" xfId="11862" xr:uid="{00000000-0005-0000-0000-000096150000}"/>
    <cellStyle name="ItemTypeClass 3 6 12" xfId="11863" xr:uid="{00000000-0005-0000-0000-000097150000}"/>
    <cellStyle name="ItemTypeClass 3 6 2" xfId="11864" xr:uid="{00000000-0005-0000-0000-000098150000}"/>
    <cellStyle name="ItemTypeClass 3 6 2 2" xfId="11865" xr:uid="{00000000-0005-0000-0000-000099150000}"/>
    <cellStyle name="ItemTypeClass 3 6 2 3" xfId="11866" xr:uid="{00000000-0005-0000-0000-00009A150000}"/>
    <cellStyle name="ItemTypeClass 3 6 2 4" xfId="11867" xr:uid="{00000000-0005-0000-0000-00009B150000}"/>
    <cellStyle name="ItemTypeClass 3 6 2 5" xfId="11868" xr:uid="{00000000-0005-0000-0000-00009C150000}"/>
    <cellStyle name="ItemTypeClass 3 6 3" xfId="11869" xr:uid="{00000000-0005-0000-0000-00009D150000}"/>
    <cellStyle name="ItemTypeClass 3 6 3 2" xfId="11870" xr:uid="{00000000-0005-0000-0000-00009E150000}"/>
    <cellStyle name="ItemTypeClass 3 6 3 3" xfId="11871" xr:uid="{00000000-0005-0000-0000-00009F150000}"/>
    <cellStyle name="ItemTypeClass 3 6 3 4" xfId="11872" xr:uid="{00000000-0005-0000-0000-0000A0150000}"/>
    <cellStyle name="ItemTypeClass 3 6 3 5" xfId="11873" xr:uid="{00000000-0005-0000-0000-0000A1150000}"/>
    <cellStyle name="ItemTypeClass 3 6 3 6" xfId="11874" xr:uid="{00000000-0005-0000-0000-0000A2150000}"/>
    <cellStyle name="ItemTypeClass 3 6 4" xfId="11875" xr:uid="{00000000-0005-0000-0000-0000A3150000}"/>
    <cellStyle name="ItemTypeClass 3 6 4 2" xfId="11876" xr:uid="{00000000-0005-0000-0000-0000A4150000}"/>
    <cellStyle name="ItemTypeClass 3 6 4 3" xfId="11877" xr:uid="{00000000-0005-0000-0000-0000A5150000}"/>
    <cellStyle name="ItemTypeClass 3 6 4 4" xfId="11878" xr:uid="{00000000-0005-0000-0000-0000A6150000}"/>
    <cellStyle name="ItemTypeClass 3 6 4 5" xfId="11879" xr:uid="{00000000-0005-0000-0000-0000A7150000}"/>
    <cellStyle name="ItemTypeClass 3 6 4 6" xfId="11880" xr:uid="{00000000-0005-0000-0000-0000A8150000}"/>
    <cellStyle name="ItemTypeClass 3 6 5" xfId="11881" xr:uid="{00000000-0005-0000-0000-0000A9150000}"/>
    <cellStyle name="ItemTypeClass 3 6 6" xfId="11882" xr:uid="{00000000-0005-0000-0000-0000AA150000}"/>
    <cellStyle name="ItemTypeClass 3 6 7" xfId="11883" xr:uid="{00000000-0005-0000-0000-0000AB150000}"/>
    <cellStyle name="ItemTypeClass 3 6 8" xfId="11884" xr:uid="{00000000-0005-0000-0000-0000AC150000}"/>
    <cellStyle name="ItemTypeClass 3 6 9" xfId="11885" xr:uid="{00000000-0005-0000-0000-0000AD150000}"/>
    <cellStyle name="ItemTypeClass 3 7" xfId="11886" xr:uid="{00000000-0005-0000-0000-0000AE150000}"/>
    <cellStyle name="ItemTypeClass 3 7 10" xfId="11887" xr:uid="{00000000-0005-0000-0000-0000AF150000}"/>
    <cellStyle name="ItemTypeClass 3 7 11" xfId="11888" xr:uid="{00000000-0005-0000-0000-0000B0150000}"/>
    <cellStyle name="ItemTypeClass 3 7 12" xfId="11889" xr:uid="{00000000-0005-0000-0000-0000B1150000}"/>
    <cellStyle name="ItemTypeClass 3 7 2" xfId="11890" xr:uid="{00000000-0005-0000-0000-0000B2150000}"/>
    <cellStyle name="ItemTypeClass 3 7 2 2" xfId="11891" xr:uid="{00000000-0005-0000-0000-0000B3150000}"/>
    <cellStyle name="ItemTypeClass 3 7 2 3" xfId="11892" xr:uid="{00000000-0005-0000-0000-0000B4150000}"/>
    <cellStyle name="ItemTypeClass 3 7 2 4" xfId="11893" xr:uid="{00000000-0005-0000-0000-0000B5150000}"/>
    <cellStyle name="ItemTypeClass 3 7 2 5" xfId="11894" xr:uid="{00000000-0005-0000-0000-0000B6150000}"/>
    <cellStyle name="ItemTypeClass 3 7 3" xfId="11895" xr:uid="{00000000-0005-0000-0000-0000B7150000}"/>
    <cellStyle name="ItemTypeClass 3 7 3 2" xfId="11896" xr:uid="{00000000-0005-0000-0000-0000B8150000}"/>
    <cellStyle name="ItemTypeClass 3 7 3 3" xfId="11897" xr:uid="{00000000-0005-0000-0000-0000B9150000}"/>
    <cellStyle name="ItemTypeClass 3 7 3 4" xfId="11898" xr:uid="{00000000-0005-0000-0000-0000BA150000}"/>
    <cellStyle name="ItemTypeClass 3 7 3 5" xfId="11899" xr:uid="{00000000-0005-0000-0000-0000BB150000}"/>
    <cellStyle name="ItemTypeClass 3 7 3 6" xfId="11900" xr:uid="{00000000-0005-0000-0000-0000BC150000}"/>
    <cellStyle name="ItemTypeClass 3 7 4" xfId="11901" xr:uid="{00000000-0005-0000-0000-0000BD150000}"/>
    <cellStyle name="ItemTypeClass 3 7 4 2" xfId="11902" xr:uid="{00000000-0005-0000-0000-0000BE150000}"/>
    <cellStyle name="ItemTypeClass 3 7 4 3" xfId="11903" xr:uid="{00000000-0005-0000-0000-0000BF150000}"/>
    <cellStyle name="ItemTypeClass 3 7 4 4" xfId="11904" xr:uid="{00000000-0005-0000-0000-0000C0150000}"/>
    <cellStyle name="ItemTypeClass 3 7 4 5" xfId="11905" xr:uid="{00000000-0005-0000-0000-0000C1150000}"/>
    <cellStyle name="ItemTypeClass 3 7 4 6" xfId="11906" xr:uid="{00000000-0005-0000-0000-0000C2150000}"/>
    <cellStyle name="ItemTypeClass 3 7 5" xfId="11907" xr:uid="{00000000-0005-0000-0000-0000C3150000}"/>
    <cellStyle name="ItemTypeClass 3 7 6" xfId="11908" xr:uid="{00000000-0005-0000-0000-0000C4150000}"/>
    <cellStyle name="ItemTypeClass 3 7 7" xfId="11909" xr:uid="{00000000-0005-0000-0000-0000C5150000}"/>
    <cellStyle name="ItemTypeClass 3 7 8" xfId="11910" xr:uid="{00000000-0005-0000-0000-0000C6150000}"/>
    <cellStyle name="ItemTypeClass 3 7 9" xfId="11911" xr:uid="{00000000-0005-0000-0000-0000C7150000}"/>
    <cellStyle name="ItemTypeClass 3 8" xfId="11912" xr:uid="{00000000-0005-0000-0000-0000C8150000}"/>
    <cellStyle name="ItemTypeClass 3 8 2" xfId="11913" xr:uid="{00000000-0005-0000-0000-0000C9150000}"/>
    <cellStyle name="ItemTypeClass 3 8 3" xfId="11914" xr:uid="{00000000-0005-0000-0000-0000CA150000}"/>
    <cellStyle name="ItemTypeClass 3 8 4" xfId="11915" xr:uid="{00000000-0005-0000-0000-0000CB150000}"/>
    <cellStyle name="ItemTypeClass 3 8 5" xfId="11916" xr:uid="{00000000-0005-0000-0000-0000CC150000}"/>
    <cellStyle name="ItemTypeClass 3 9" xfId="11917" xr:uid="{00000000-0005-0000-0000-0000CD150000}"/>
    <cellStyle name="ItemTypeClass 3 9 2" xfId="11918" xr:uid="{00000000-0005-0000-0000-0000CE150000}"/>
    <cellStyle name="ItemTypeClass 3 9 3" xfId="11919" xr:uid="{00000000-0005-0000-0000-0000CF150000}"/>
    <cellStyle name="ItemTypeClass 3 9 4" xfId="11920" xr:uid="{00000000-0005-0000-0000-0000D0150000}"/>
    <cellStyle name="ItemTypeClass 3 9 5" xfId="11921" xr:uid="{00000000-0005-0000-0000-0000D1150000}"/>
    <cellStyle name="ItemTypeClass 3 9 6" xfId="11922" xr:uid="{00000000-0005-0000-0000-0000D2150000}"/>
    <cellStyle name="ItemTypeClass 4" xfId="11923" xr:uid="{00000000-0005-0000-0000-0000D3150000}"/>
    <cellStyle name="ItemTypeClass 4 10" xfId="11924" xr:uid="{00000000-0005-0000-0000-0000D4150000}"/>
    <cellStyle name="ItemTypeClass 4 10 2" xfId="11925" xr:uid="{00000000-0005-0000-0000-0000D5150000}"/>
    <cellStyle name="ItemTypeClass 4 10 3" xfId="11926" xr:uid="{00000000-0005-0000-0000-0000D6150000}"/>
    <cellStyle name="ItemTypeClass 4 10 4" xfId="11927" xr:uid="{00000000-0005-0000-0000-0000D7150000}"/>
    <cellStyle name="ItemTypeClass 4 10 5" xfId="11928" xr:uid="{00000000-0005-0000-0000-0000D8150000}"/>
    <cellStyle name="ItemTypeClass 4 10 6" xfId="11929" xr:uid="{00000000-0005-0000-0000-0000D9150000}"/>
    <cellStyle name="ItemTypeClass 4 11" xfId="11930" xr:uid="{00000000-0005-0000-0000-0000DA150000}"/>
    <cellStyle name="ItemTypeClass 4 12" xfId="11931" xr:uid="{00000000-0005-0000-0000-0000DB150000}"/>
    <cellStyle name="ItemTypeClass 4 13" xfId="11932" xr:uid="{00000000-0005-0000-0000-0000DC150000}"/>
    <cellStyle name="ItemTypeClass 4 14" xfId="11933" xr:uid="{00000000-0005-0000-0000-0000DD150000}"/>
    <cellStyle name="ItemTypeClass 4 15" xfId="11934" xr:uid="{00000000-0005-0000-0000-0000DE150000}"/>
    <cellStyle name="ItemTypeClass 4 16" xfId="11935" xr:uid="{00000000-0005-0000-0000-0000DF150000}"/>
    <cellStyle name="ItemTypeClass 4 17" xfId="11936" xr:uid="{00000000-0005-0000-0000-0000E0150000}"/>
    <cellStyle name="ItemTypeClass 4 18" xfId="11937" xr:uid="{00000000-0005-0000-0000-0000E1150000}"/>
    <cellStyle name="ItemTypeClass 4 2" xfId="11938" xr:uid="{00000000-0005-0000-0000-0000E2150000}"/>
    <cellStyle name="ItemTypeClass 4 2 10" xfId="11939" xr:uid="{00000000-0005-0000-0000-0000E3150000}"/>
    <cellStyle name="ItemTypeClass 4 2 11" xfId="11940" xr:uid="{00000000-0005-0000-0000-0000E4150000}"/>
    <cellStyle name="ItemTypeClass 4 2 12" xfId="11941" xr:uid="{00000000-0005-0000-0000-0000E5150000}"/>
    <cellStyle name="ItemTypeClass 4 2 13" xfId="11942" xr:uid="{00000000-0005-0000-0000-0000E6150000}"/>
    <cellStyle name="ItemTypeClass 4 2 14" xfId="11943" xr:uid="{00000000-0005-0000-0000-0000E7150000}"/>
    <cellStyle name="ItemTypeClass 4 2 15" xfId="11944" xr:uid="{00000000-0005-0000-0000-0000E8150000}"/>
    <cellStyle name="ItemTypeClass 4 2 2" xfId="11945" xr:uid="{00000000-0005-0000-0000-0000E9150000}"/>
    <cellStyle name="ItemTypeClass 4 2 2 10" xfId="11946" xr:uid="{00000000-0005-0000-0000-0000EA150000}"/>
    <cellStyle name="ItemTypeClass 4 2 2 11" xfId="11947" xr:uid="{00000000-0005-0000-0000-0000EB150000}"/>
    <cellStyle name="ItemTypeClass 4 2 2 12" xfId="11948" xr:uid="{00000000-0005-0000-0000-0000EC150000}"/>
    <cellStyle name="ItemTypeClass 4 2 2 2" xfId="11949" xr:uid="{00000000-0005-0000-0000-0000ED150000}"/>
    <cellStyle name="ItemTypeClass 4 2 2 2 2" xfId="11950" xr:uid="{00000000-0005-0000-0000-0000EE150000}"/>
    <cellStyle name="ItemTypeClass 4 2 2 2 3" xfId="11951" xr:uid="{00000000-0005-0000-0000-0000EF150000}"/>
    <cellStyle name="ItemTypeClass 4 2 2 2 4" xfId="11952" xr:uid="{00000000-0005-0000-0000-0000F0150000}"/>
    <cellStyle name="ItemTypeClass 4 2 2 2 5" xfId="11953" xr:uid="{00000000-0005-0000-0000-0000F1150000}"/>
    <cellStyle name="ItemTypeClass 4 2 2 3" xfId="11954" xr:uid="{00000000-0005-0000-0000-0000F2150000}"/>
    <cellStyle name="ItemTypeClass 4 2 2 3 2" xfId="11955" xr:uid="{00000000-0005-0000-0000-0000F3150000}"/>
    <cellStyle name="ItemTypeClass 4 2 2 3 3" xfId="11956" xr:uid="{00000000-0005-0000-0000-0000F4150000}"/>
    <cellStyle name="ItemTypeClass 4 2 2 3 4" xfId="11957" xr:uid="{00000000-0005-0000-0000-0000F5150000}"/>
    <cellStyle name="ItemTypeClass 4 2 2 3 5" xfId="11958" xr:uid="{00000000-0005-0000-0000-0000F6150000}"/>
    <cellStyle name="ItemTypeClass 4 2 2 3 6" xfId="11959" xr:uid="{00000000-0005-0000-0000-0000F7150000}"/>
    <cellStyle name="ItemTypeClass 4 2 2 4" xfId="11960" xr:uid="{00000000-0005-0000-0000-0000F8150000}"/>
    <cellStyle name="ItemTypeClass 4 2 2 4 2" xfId="11961" xr:uid="{00000000-0005-0000-0000-0000F9150000}"/>
    <cellStyle name="ItemTypeClass 4 2 2 4 3" xfId="11962" xr:uid="{00000000-0005-0000-0000-0000FA150000}"/>
    <cellStyle name="ItemTypeClass 4 2 2 4 4" xfId="11963" xr:uid="{00000000-0005-0000-0000-0000FB150000}"/>
    <cellStyle name="ItemTypeClass 4 2 2 4 5" xfId="11964" xr:uid="{00000000-0005-0000-0000-0000FC150000}"/>
    <cellStyle name="ItemTypeClass 4 2 2 4 6" xfId="11965" xr:uid="{00000000-0005-0000-0000-0000FD150000}"/>
    <cellStyle name="ItemTypeClass 4 2 2 5" xfId="11966" xr:uid="{00000000-0005-0000-0000-0000FE150000}"/>
    <cellStyle name="ItemTypeClass 4 2 2 6" xfId="11967" xr:uid="{00000000-0005-0000-0000-0000FF150000}"/>
    <cellStyle name="ItemTypeClass 4 2 2 7" xfId="11968" xr:uid="{00000000-0005-0000-0000-000000160000}"/>
    <cellStyle name="ItemTypeClass 4 2 2 8" xfId="11969" xr:uid="{00000000-0005-0000-0000-000001160000}"/>
    <cellStyle name="ItemTypeClass 4 2 2 9" xfId="11970" xr:uid="{00000000-0005-0000-0000-000002160000}"/>
    <cellStyle name="ItemTypeClass 4 2 3" xfId="11971" xr:uid="{00000000-0005-0000-0000-000003160000}"/>
    <cellStyle name="ItemTypeClass 4 2 3 10" xfId="11972" xr:uid="{00000000-0005-0000-0000-000004160000}"/>
    <cellStyle name="ItemTypeClass 4 2 3 11" xfId="11973" xr:uid="{00000000-0005-0000-0000-000005160000}"/>
    <cellStyle name="ItemTypeClass 4 2 3 12" xfId="11974" xr:uid="{00000000-0005-0000-0000-000006160000}"/>
    <cellStyle name="ItemTypeClass 4 2 3 2" xfId="11975" xr:uid="{00000000-0005-0000-0000-000007160000}"/>
    <cellStyle name="ItemTypeClass 4 2 3 2 2" xfId="11976" xr:uid="{00000000-0005-0000-0000-000008160000}"/>
    <cellStyle name="ItemTypeClass 4 2 3 2 3" xfId="11977" xr:uid="{00000000-0005-0000-0000-000009160000}"/>
    <cellStyle name="ItemTypeClass 4 2 3 2 4" xfId="11978" xr:uid="{00000000-0005-0000-0000-00000A160000}"/>
    <cellStyle name="ItemTypeClass 4 2 3 2 5" xfId="11979" xr:uid="{00000000-0005-0000-0000-00000B160000}"/>
    <cellStyle name="ItemTypeClass 4 2 3 3" xfId="11980" xr:uid="{00000000-0005-0000-0000-00000C160000}"/>
    <cellStyle name="ItemTypeClass 4 2 3 3 2" xfId="11981" xr:uid="{00000000-0005-0000-0000-00000D160000}"/>
    <cellStyle name="ItemTypeClass 4 2 3 3 3" xfId="11982" xr:uid="{00000000-0005-0000-0000-00000E160000}"/>
    <cellStyle name="ItemTypeClass 4 2 3 3 4" xfId="11983" xr:uid="{00000000-0005-0000-0000-00000F160000}"/>
    <cellStyle name="ItemTypeClass 4 2 3 3 5" xfId="11984" xr:uid="{00000000-0005-0000-0000-000010160000}"/>
    <cellStyle name="ItemTypeClass 4 2 3 3 6" xfId="11985" xr:uid="{00000000-0005-0000-0000-000011160000}"/>
    <cellStyle name="ItemTypeClass 4 2 3 4" xfId="11986" xr:uid="{00000000-0005-0000-0000-000012160000}"/>
    <cellStyle name="ItemTypeClass 4 2 3 4 2" xfId="11987" xr:uid="{00000000-0005-0000-0000-000013160000}"/>
    <cellStyle name="ItemTypeClass 4 2 3 4 3" xfId="11988" xr:uid="{00000000-0005-0000-0000-000014160000}"/>
    <cellStyle name="ItemTypeClass 4 2 3 4 4" xfId="11989" xr:uid="{00000000-0005-0000-0000-000015160000}"/>
    <cellStyle name="ItemTypeClass 4 2 3 4 5" xfId="11990" xr:uid="{00000000-0005-0000-0000-000016160000}"/>
    <cellStyle name="ItemTypeClass 4 2 3 4 6" xfId="11991" xr:uid="{00000000-0005-0000-0000-000017160000}"/>
    <cellStyle name="ItemTypeClass 4 2 3 5" xfId="11992" xr:uid="{00000000-0005-0000-0000-000018160000}"/>
    <cellStyle name="ItemTypeClass 4 2 3 6" xfId="11993" xr:uid="{00000000-0005-0000-0000-000019160000}"/>
    <cellStyle name="ItemTypeClass 4 2 3 7" xfId="11994" xr:uid="{00000000-0005-0000-0000-00001A160000}"/>
    <cellStyle name="ItemTypeClass 4 2 3 8" xfId="11995" xr:uid="{00000000-0005-0000-0000-00001B160000}"/>
    <cellStyle name="ItemTypeClass 4 2 3 9" xfId="11996" xr:uid="{00000000-0005-0000-0000-00001C160000}"/>
    <cellStyle name="ItemTypeClass 4 2 4" xfId="11997" xr:uid="{00000000-0005-0000-0000-00001D160000}"/>
    <cellStyle name="ItemTypeClass 4 2 4 10" xfId="11998" xr:uid="{00000000-0005-0000-0000-00001E160000}"/>
    <cellStyle name="ItemTypeClass 4 2 4 11" xfId="11999" xr:uid="{00000000-0005-0000-0000-00001F160000}"/>
    <cellStyle name="ItemTypeClass 4 2 4 12" xfId="12000" xr:uid="{00000000-0005-0000-0000-000020160000}"/>
    <cellStyle name="ItemTypeClass 4 2 4 2" xfId="12001" xr:uid="{00000000-0005-0000-0000-000021160000}"/>
    <cellStyle name="ItemTypeClass 4 2 4 2 2" xfId="12002" xr:uid="{00000000-0005-0000-0000-000022160000}"/>
    <cellStyle name="ItemTypeClass 4 2 4 2 3" xfId="12003" xr:uid="{00000000-0005-0000-0000-000023160000}"/>
    <cellStyle name="ItemTypeClass 4 2 4 2 4" xfId="12004" xr:uid="{00000000-0005-0000-0000-000024160000}"/>
    <cellStyle name="ItemTypeClass 4 2 4 2 5" xfId="12005" xr:uid="{00000000-0005-0000-0000-000025160000}"/>
    <cellStyle name="ItemTypeClass 4 2 4 3" xfId="12006" xr:uid="{00000000-0005-0000-0000-000026160000}"/>
    <cellStyle name="ItemTypeClass 4 2 4 3 2" xfId="12007" xr:uid="{00000000-0005-0000-0000-000027160000}"/>
    <cellStyle name="ItemTypeClass 4 2 4 3 3" xfId="12008" xr:uid="{00000000-0005-0000-0000-000028160000}"/>
    <cellStyle name="ItemTypeClass 4 2 4 3 4" xfId="12009" xr:uid="{00000000-0005-0000-0000-000029160000}"/>
    <cellStyle name="ItemTypeClass 4 2 4 3 5" xfId="12010" xr:uid="{00000000-0005-0000-0000-00002A160000}"/>
    <cellStyle name="ItemTypeClass 4 2 4 3 6" xfId="12011" xr:uid="{00000000-0005-0000-0000-00002B160000}"/>
    <cellStyle name="ItemTypeClass 4 2 4 4" xfId="12012" xr:uid="{00000000-0005-0000-0000-00002C160000}"/>
    <cellStyle name="ItemTypeClass 4 2 4 4 2" xfId="12013" xr:uid="{00000000-0005-0000-0000-00002D160000}"/>
    <cellStyle name="ItemTypeClass 4 2 4 4 3" xfId="12014" xr:uid="{00000000-0005-0000-0000-00002E160000}"/>
    <cellStyle name="ItemTypeClass 4 2 4 4 4" xfId="12015" xr:uid="{00000000-0005-0000-0000-00002F160000}"/>
    <cellStyle name="ItemTypeClass 4 2 4 4 5" xfId="12016" xr:uid="{00000000-0005-0000-0000-000030160000}"/>
    <cellStyle name="ItemTypeClass 4 2 4 4 6" xfId="12017" xr:uid="{00000000-0005-0000-0000-000031160000}"/>
    <cellStyle name="ItemTypeClass 4 2 4 5" xfId="12018" xr:uid="{00000000-0005-0000-0000-000032160000}"/>
    <cellStyle name="ItemTypeClass 4 2 4 6" xfId="12019" xr:uid="{00000000-0005-0000-0000-000033160000}"/>
    <cellStyle name="ItemTypeClass 4 2 4 7" xfId="12020" xr:uid="{00000000-0005-0000-0000-000034160000}"/>
    <cellStyle name="ItemTypeClass 4 2 4 8" xfId="12021" xr:uid="{00000000-0005-0000-0000-000035160000}"/>
    <cellStyle name="ItemTypeClass 4 2 4 9" xfId="12022" xr:uid="{00000000-0005-0000-0000-000036160000}"/>
    <cellStyle name="ItemTypeClass 4 2 5" xfId="12023" xr:uid="{00000000-0005-0000-0000-000037160000}"/>
    <cellStyle name="ItemTypeClass 4 2 5 2" xfId="12024" xr:uid="{00000000-0005-0000-0000-000038160000}"/>
    <cellStyle name="ItemTypeClass 4 2 5 3" xfId="12025" xr:uid="{00000000-0005-0000-0000-000039160000}"/>
    <cellStyle name="ItemTypeClass 4 2 5 4" xfId="12026" xr:uid="{00000000-0005-0000-0000-00003A160000}"/>
    <cellStyle name="ItemTypeClass 4 2 5 5" xfId="12027" xr:uid="{00000000-0005-0000-0000-00003B160000}"/>
    <cellStyle name="ItemTypeClass 4 2 6" xfId="12028" xr:uid="{00000000-0005-0000-0000-00003C160000}"/>
    <cellStyle name="ItemTypeClass 4 2 6 2" xfId="12029" xr:uid="{00000000-0005-0000-0000-00003D160000}"/>
    <cellStyle name="ItemTypeClass 4 2 6 3" xfId="12030" xr:uid="{00000000-0005-0000-0000-00003E160000}"/>
    <cellStyle name="ItemTypeClass 4 2 6 4" xfId="12031" xr:uid="{00000000-0005-0000-0000-00003F160000}"/>
    <cellStyle name="ItemTypeClass 4 2 6 5" xfId="12032" xr:uid="{00000000-0005-0000-0000-000040160000}"/>
    <cellStyle name="ItemTypeClass 4 2 6 6" xfId="12033" xr:uid="{00000000-0005-0000-0000-000041160000}"/>
    <cellStyle name="ItemTypeClass 4 2 7" xfId="12034" xr:uid="{00000000-0005-0000-0000-000042160000}"/>
    <cellStyle name="ItemTypeClass 4 2 7 2" xfId="12035" xr:uid="{00000000-0005-0000-0000-000043160000}"/>
    <cellStyle name="ItemTypeClass 4 2 7 3" xfId="12036" xr:uid="{00000000-0005-0000-0000-000044160000}"/>
    <cellStyle name="ItemTypeClass 4 2 7 4" xfId="12037" xr:uid="{00000000-0005-0000-0000-000045160000}"/>
    <cellStyle name="ItemTypeClass 4 2 7 5" xfId="12038" xr:uid="{00000000-0005-0000-0000-000046160000}"/>
    <cellStyle name="ItemTypeClass 4 2 7 6" xfId="12039" xr:uid="{00000000-0005-0000-0000-000047160000}"/>
    <cellStyle name="ItemTypeClass 4 2 8" xfId="12040" xr:uid="{00000000-0005-0000-0000-000048160000}"/>
    <cellStyle name="ItemTypeClass 4 2 9" xfId="12041" xr:uid="{00000000-0005-0000-0000-000049160000}"/>
    <cellStyle name="ItemTypeClass 4 3" xfId="12042" xr:uid="{00000000-0005-0000-0000-00004A160000}"/>
    <cellStyle name="ItemTypeClass 4 3 10" xfId="12043" xr:uid="{00000000-0005-0000-0000-00004B160000}"/>
    <cellStyle name="ItemTypeClass 4 3 11" xfId="12044" xr:uid="{00000000-0005-0000-0000-00004C160000}"/>
    <cellStyle name="ItemTypeClass 4 3 12" xfId="12045" xr:uid="{00000000-0005-0000-0000-00004D160000}"/>
    <cellStyle name="ItemTypeClass 4 3 13" xfId="12046" xr:uid="{00000000-0005-0000-0000-00004E160000}"/>
    <cellStyle name="ItemTypeClass 4 3 14" xfId="12047" xr:uid="{00000000-0005-0000-0000-00004F160000}"/>
    <cellStyle name="ItemTypeClass 4 3 15" xfId="12048" xr:uid="{00000000-0005-0000-0000-000050160000}"/>
    <cellStyle name="ItemTypeClass 4 3 2" xfId="12049" xr:uid="{00000000-0005-0000-0000-000051160000}"/>
    <cellStyle name="ItemTypeClass 4 3 2 10" xfId="12050" xr:uid="{00000000-0005-0000-0000-000052160000}"/>
    <cellStyle name="ItemTypeClass 4 3 2 11" xfId="12051" xr:uid="{00000000-0005-0000-0000-000053160000}"/>
    <cellStyle name="ItemTypeClass 4 3 2 12" xfId="12052" xr:uid="{00000000-0005-0000-0000-000054160000}"/>
    <cellStyle name="ItemTypeClass 4 3 2 2" xfId="12053" xr:uid="{00000000-0005-0000-0000-000055160000}"/>
    <cellStyle name="ItemTypeClass 4 3 2 2 2" xfId="12054" xr:uid="{00000000-0005-0000-0000-000056160000}"/>
    <cellStyle name="ItemTypeClass 4 3 2 2 3" xfId="12055" xr:uid="{00000000-0005-0000-0000-000057160000}"/>
    <cellStyle name="ItemTypeClass 4 3 2 2 4" xfId="12056" xr:uid="{00000000-0005-0000-0000-000058160000}"/>
    <cellStyle name="ItemTypeClass 4 3 2 2 5" xfId="12057" xr:uid="{00000000-0005-0000-0000-000059160000}"/>
    <cellStyle name="ItemTypeClass 4 3 2 3" xfId="12058" xr:uid="{00000000-0005-0000-0000-00005A160000}"/>
    <cellStyle name="ItemTypeClass 4 3 2 3 2" xfId="12059" xr:uid="{00000000-0005-0000-0000-00005B160000}"/>
    <cellStyle name="ItemTypeClass 4 3 2 3 3" xfId="12060" xr:uid="{00000000-0005-0000-0000-00005C160000}"/>
    <cellStyle name="ItemTypeClass 4 3 2 3 4" xfId="12061" xr:uid="{00000000-0005-0000-0000-00005D160000}"/>
    <cellStyle name="ItemTypeClass 4 3 2 3 5" xfId="12062" xr:uid="{00000000-0005-0000-0000-00005E160000}"/>
    <cellStyle name="ItemTypeClass 4 3 2 3 6" xfId="12063" xr:uid="{00000000-0005-0000-0000-00005F160000}"/>
    <cellStyle name="ItemTypeClass 4 3 2 4" xfId="12064" xr:uid="{00000000-0005-0000-0000-000060160000}"/>
    <cellStyle name="ItemTypeClass 4 3 2 4 2" xfId="12065" xr:uid="{00000000-0005-0000-0000-000061160000}"/>
    <cellStyle name="ItemTypeClass 4 3 2 4 3" xfId="12066" xr:uid="{00000000-0005-0000-0000-000062160000}"/>
    <cellStyle name="ItemTypeClass 4 3 2 4 4" xfId="12067" xr:uid="{00000000-0005-0000-0000-000063160000}"/>
    <cellStyle name="ItemTypeClass 4 3 2 4 5" xfId="12068" xr:uid="{00000000-0005-0000-0000-000064160000}"/>
    <cellStyle name="ItemTypeClass 4 3 2 4 6" xfId="12069" xr:uid="{00000000-0005-0000-0000-000065160000}"/>
    <cellStyle name="ItemTypeClass 4 3 2 5" xfId="12070" xr:uid="{00000000-0005-0000-0000-000066160000}"/>
    <cellStyle name="ItemTypeClass 4 3 2 6" xfId="12071" xr:uid="{00000000-0005-0000-0000-000067160000}"/>
    <cellStyle name="ItemTypeClass 4 3 2 7" xfId="12072" xr:uid="{00000000-0005-0000-0000-000068160000}"/>
    <cellStyle name="ItemTypeClass 4 3 2 8" xfId="12073" xr:uid="{00000000-0005-0000-0000-000069160000}"/>
    <cellStyle name="ItemTypeClass 4 3 2 9" xfId="12074" xr:uid="{00000000-0005-0000-0000-00006A160000}"/>
    <cellStyle name="ItemTypeClass 4 3 3" xfId="12075" xr:uid="{00000000-0005-0000-0000-00006B160000}"/>
    <cellStyle name="ItemTypeClass 4 3 3 10" xfId="12076" xr:uid="{00000000-0005-0000-0000-00006C160000}"/>
    <cellStyle name="ItemTypeClass 4 3 3 11" xfId="12077" xr:uid="{00000000-0005-0000-0000-00006D160000}"/>
    <cellStyle name="ItemTypeClass 4 3 3 12" xfId="12078" xr:uid="{00000000-0005-0000-0000-00006E160000}"/>
    <cellStyle name="ItemTypeClass 4 3 3 2" xfId="12079" xr:uid="{00000000-0005-0000-0000-00006F160000}"/>
    <cellStyle name="ItemTypeClass 4 3 3 2 2" xfId="12080" xr:uid="{00000000-0005-0000-0000-000070160000}"/>
    <cellStyle name="ItemTypeClass 4 3 3 2 3" xfId="12081" xr:uid="{00000000-0005-0000-0000-000071160000}"/>
    <cellStyle name="ItemTypeClass 4 3 3 2 4" xfId="12082" xr:uid="{00000000-0005-0000-0000-000072160000}"/>
    <cellStyle name="ItemTypeClass 4 3 3 2 5" xfId="12083" xr:uid="{00000000-0005-0000-0000-000073160000}"/>
    <cellStyle name="ItemTypeClass 4 3 3 3" xfId="12084" xr:uid="{00000000-0005-0000-0000-000074160000}"/>
    <cellStyle name="ItemTypeClass 4 3 3 3 2" xfId="12085" xr:uid="{00000000-0005-0000-0000-000075160000}"/>
    <cellStyle name="ItemTypeClass 4 3 3 3 3" xfId="12086" xr:uid="{00000000-0005-0000-0000-000076160000}"/>
    <cellStyle name="ItemTypeClass 4 3 3 3 4" xfId="12087" xr:uid="{00000000-0005-0000-0000-000077160000}"/>
    <cellStyle name="ItemTypeClass 4 3 3 3 5" xfId="12088" xr:uid="{00000000-0005-0000-0000-000078160000}"/>
    <cellStyle name="ItemTypeClass 4 3 3 3 6" xfId="12089" xr:uid="{00000000-0005-0000-0000-000079160000}"/>
    <cellStyle name="ItemTypeClass 4 3 3 4" xfId="12090" xr:uid="{00000000-0005-0000-0000-00007A160000}"/>
    <cellStyle name="ItemTypeClass 4 3 3 4 2" xfId="12091" xr:uid="{00000000-0005-0000-0000-00007B160000}"/>
    <cellStyle name="ItemTypeClass 4 3 3 4 3" xfId="12092" xr:uid="{00000000-0005-0000-0000-00007C160000}"/>
    <cellStyle name="ItemTypeClass 4 3 3 4 4" xfId="12093" xr:uid="{00000000-0005-0000-0000-00007D160000}"/>
    <cellStyle name="ItemTypeClass 4 3 3 4 5" xfId="12094" xr:uid="{00000000-0005-0000-0000-00007E160000}"/>
    <cellStyle name="ItemTypeClass 4 3 3 4 6" xfId="12095" xr:uid="{00000000-0005-0000-0000-00007F160000}"/>
    <cellStyle name="ItemTypeClass 4 3 3 5" xfId="12096" xr:uid="{00000000-0005-0000-0000-000080160000}"/>
    <cellStyle name="ItemTypeClass 4 3 3 6" xfId="12097" xr:uid="{00000000-0005-0000-0000-000081160000}"/>
    <cellStyle name="ItemTypeClass 4 3 3 7" xfId="12098" xr:uid="{00000000-0005-0000-0000-000082160000}"/>
    <cellStyle name="ItemTypeClass 4 3 3 8" xfId="12099" xr:uid="{00000000-0005-0000-0000-000083160000}"/>
    <cellStyle name="ItemTypeClass 4 3 3 9" xfId="12100" xr:uid="{00000000-0005-0000-0000-000084160000}"/>
    <cellStyle name="ItemTypeClass 4 3 4" xfId="12101" xr:uid="{00000000-0005-0000-0000-000085160000}"/>
    <cellStyle name="ItemTypeClass 4 3 4 10" xfId="12102" xr:uid="{00000000-0005-0000-0000-000086160000}"/>
    <cellStyle name="ItemTypeClass 4 3 4 11" xfId="12103" xr:uid="{00000000-0005-0000-0000-000087160000}"/>
    <cellStyle name="ItemTypeClass 4 3 4 12" xfId="12104" xr:uid="{00000000-0005-0000-0000-000088160000}"/>
    <cellStyle name="ItemTypeClass 4 3 4 2" xfId="12105" xr:uid="{00000000-0005-0000-0000-000089160000}"/>
    <cellStyle name="ItemTypeClass 4 3 4 2 2" xfId="12106" xr:uid="{00000000-0005-0000-0000-00008A160000}"/>
    <cellStyle name="ItemTypeClass 4 3 4 2 3" xfId="12107" xr:uid="{00000000-0005-0000-0000-00008B160000}"/>
    <cellStyle name="ItemTypeClass 4 3 4 2 4" xfId="12108" xr:uid="{00000000-0005-0000-0000-00008C160000}"/>
    <cellStyle name="ItemTypeClass 4 3 4 2 5" xfId="12109" xr:uid="{00000000-0005-0000-0000-00008D160000}"/>
    <cellStyle name="ItemTypeClass 4 3 4 3" xfId="12110" xr:uid="{00000000-0005-0000-0000-00008E160000}"/>
    <cellStyle name="ItemTypeClass 4 3 4 3 2" xfId="12111" xr:uid="{00000000-0005-0000-0000-00008F160000}"/>
    <cellStyle name="ItemTypeClass 4 3 4 3 3" xfId="12112" xr:uid="{00000000-0005-0000-0000-000090160000}"/>
    <cellStyle name="ItemTypeClass 4 3 4 3 4" xfId="12113" xr:uid="{00000000-0005-0000-0000-000091160000}"/>
    <cellStyle name="ItemTypeClass 4 3 4 3 5" xfId="12114" xr:uid="{00000000-0005-0000-0000-000092160000}"/>
    <cellStyle name="ItemTypeClass 4 3 4 3 6" xfId="12115" xr:uid="{00000000-0005-0000-0000-000093160000}"/>
    <cellStyle name="ItemTypeClass 4 3 4 4" xfId="12116" xr:uid="{00000000-0005-0000-0000-000094160000}"/>
    <cellStyle name="ItemTypeClass 4 3 4 4 2" xfId="12117" xr:uid="{00000000-0005-0000-0000-000095160000}"/>
    <cellStyle name="ItemTypeClass 4 3 4 4 3" xfId="12118" xr:uid="{00000000-0005-0000-0000-000096160000}"/>
    <cellStyle name="ItemTypeClass 4 3 4 4 4" xfId="12119" xr:uid="{00000000-0005-0000-0000-000097160000}"/>
    <cellStyle name="ItemTypeClass 4 3 4 4 5" xfId="12120" xr:uid="{00000000-0005-0000-0000-000098160000}"/>
    <cellStyle name="ItemTypeClass 4 3 4 4 6" xfId="12121" xr:uid="{00000000-0005-0000-0000-000099160000}"/>
    <cellStyle name="ItemTypeClass 4 3 4 5" xfId="12122" xr:uid="{00000000-0005-0000-0000-00009A160000}"/>
    <cellStyle name="ItemTypeClass 4 3 4 6" xfId="12123" xr:uid="{00000000-0005-0000-0000-00009B160000}"/>
    <cellStyle name="ItemTypeClass 4 3 4 7" xfId="12124" xr:uid="{00000000-0005-0000-0000-00009C160000}"/>
    <cellStyle name="ItemTypeClass 4 3 4 8" xfId="12125" xr:uid="{00000000-0005-0000-0000-00009D160000}"/>
    <cellStyle name="ItemTypeClass 4 3 4 9" xfId="12126" xr:uid="{00000000-0005-0000-0000-00009E160000}"/>
    <cellStyle name="ItemTypeClass 4 3 5" xfId="12127" xr:uid="{00000000-0005-0000-0000-00009F160000}"/>
    <cellStyle name="ItemTypeClass 4 3 5 2" xfId="12128" xr:uid="{00000000-0005-0000-0000-0000A0160000}"/>
    <cellStyle name="ItemTypeClass 4 3 5 3" xfId="12129" xr:uid="{00000000-0005-0000-0000-0000A1160000}"/>
    <cellStyle name="ItemTypeClass 4 3 5 4" xfId="12130" xr:uid="{00000000-0005-0000-0000-0000A2160000}"/>
    <cellStyle name="ItemTypeClass 4 3 5 5" xfId="12131" xr:uid="{00000000-0005-0000-0000-0000A3160000}"/>
    <cellStyle name="ItemTypeClass 4 3 6" xfId="12132" xr:uid="{00000000-0005-0000-0000-0000A4160000}"/>
    <cellStyle name="ItemTypeClass 4 3 6 2" xfId="12133" xr:uid="{00000000-0005-0000-0000-0000A5160000}"/>
    <cellStyle name="ItemTypeClass 4 3 6 3" xfId="12134" xr:uid="{00000000-0005-0000-0000-0000A6160000}"/>
    <cellStyle name="ItemTypeClass 4 3 6 4" xfId="12135" xr:uid="{00000000-0005-0000-0000-0000A7160000}"/>
    <cellStyle name="ItemTypeClass 4 3 6 5" xfId="12136" xr:uid="{00000000-0005-0000-0000-0000A8160000}"/>
    <cellStyle name="ItemTypeClass 4 3 6 6" xfId="12137" xr:uid="{00000000-0005-0000-0000-0000A9160000}"/>
    <cellStyle name="ItemTypeClass 4 3 7" xfId="12138" xr:uid="{00000000-0005-0000-0000-0000AA160000}"/>
    <cellStyle name="ItemTypeClass 4 3 7 2" xfId="12139" xr:uid="{00000000-0005-0000-0000-0000AB160000}"/>
    <cellStyle name="ItemTypeClass 4 3 7 3" xfId="12140" xr:uid="{00000000-0005-0000-0000-0000AC160000}"/>
    <cellStyle name="ItemTypeClass 4 3 7 4" xfId="12141" xr:uid="{00000000-0005-0000-0000-0000AD160000}"/>
    <cellStyle name="ItemTypeClass 4 3 7 5" xfId="12142" xr:uid="{00000000-0005-0000-0000-0000AE160000}"/>
    <cellStyle name="ItemTypeClass 4 3 7 6" xfId="12143" xr:uid="{00000000-0005-0000-0000-0000AF160000}"/>
    <cellStyle name="ItemTypeClass 4 3 8" xfId="12144" xr:uid="{00000000-0005-0000-0000-0000B0160000}"/>
    <cellStyle name="ItemTypeClass 4 3 9" xfId="12145" xr:uid="{00000000-0005-0000-0000-0000B1160000}"/>
    <cellStyle name="ItemTypeClass 4 4" xfId="12146" xr:uid="{00000000-0005-0000-0000-0000B2160000}"/>
    <cellStyle name="ItemTypeClass 4 4 10" xfId="12147" xr:uid="{00000000-0005-0000-0000-0000B3160000}"/>
    <cellStyle name="ItemTypeClass 4 4 11" xfId="12148" xr:uid="{00000000-0005-0000-0000-0000B4160000}"/>
    <cellStyle name="ItemTypeClass 4 4 12" xfId="12149" xr:uid="{00000000-0005-0000-0000-0000B5160000}"/>
    <cellStyle name="ItemTypeClass 4 4 13" xfId="12150" xr:uid="{00000000-0005-0000-0000-0000B6160000}"/>
    <cellStyle name="ItemTypeClass 4 4 14" xfId="12151" xr:uid="{00000000-0005-0000-0000-0000B7160000}"/>
    <cellStyle name="ItemTypeClass 4 4 15" xfId="12152" xr:uid="{00000000-0005-0000-0000-0000B8160000}"/>
    <cellStyle name="ItemTypeClass 4 4 2" xfId="12153" xr:uid="{00000000-0005-0000-0000-0000B9160000}"/>
    <cellStyle name="ItemTypeClass 4 4 2 10" xfId="12154" xr:uid="{00000000-0005-0000-0000-0000BA160000}"/>
    <cellStyle name="ItemTypeClass 4 4 2 11" xfId="12155" xr:uid="{00000000-0005-0000-0000-0000BB160000}"/>
    <cellStyle name="ItemTypeClass 4 4 2 12" xfId="12156" xr:uid="{00000000-0005-0000-0000-0000BC160000}"/>
    <cellStyle name="ItemTypeClass 4 4 2 2" xfId="12157" xr:uid="{00000000-0005-0000-0000-0000BD160000}"/>
    <cellStyle name="ItemTypeClass 4 4 2 2 2" xfId="12158" xr:uid="{00000000-0005-0000-0000-0000BE160000}"/>
    <cellStyle name="ItemTypeClass 4 4 2 2 3" xfId="12159" xr:uid="{00000000-0005-0000-0000-0000BF160000}"/>
    <cellStyle name="ItemTypeClass 4 4 2 2 4" xfId="12160" xr:uid="{00000000-0005-0000-0000-0000C0160000}"/>
    <cellStyle name="ItemTypeClass 4 4 2 2 5" xfId="12161" xr:uid="{00000000-0005-0000-0000-0000C1160000}"/>
    <cellStyle name="ItemTypeClass 4 4 2 3" xfId="12162" xr:uid="{00000000-0005-0000-0000-0000C2160000}"/>
    <cellStyle name="ItemTypeClass 4 4 2 3 2" xfId="12163" xr:uid="{00000000-0005-0000-0000-0000C3160000}"/>
    <cellStyle name="ItemTypeClass 4 4 2 3 3" xfId="12164" xr:uid="{00000000-0005-0000-0000-0000C4160000}"/>
    <cellStyle name="ItemTypeClass 4 4 2 3 4" xfId="12165" xr:uid="{00000000-0005-0000-0000-0000C5160000}"/>
    <cellStyle name="ItemTypeClass 4 4 2 3 5" xfId="12166" xr:uid="{00000000-0005-0000-0000-0000C6160000}"/>
    <cellStyle name="ItemTypeClass 4 4 2 3 6" xfId="12167" xr:uid="{00000000-0005-0000-0000-0000C7160000}"/>
    <cellStyle name="ItemTypeClass 4 4 2 4" xfId="12168" xr:uid="{00000000-0005-0000-0000-0000C8160000}"/>
    <cellStyle name="ItemTypeClass 4 4 2 4 2" xfId="12169" xr:uid="{00000000-0005-0000-0000-0000C9160000}"/>
    <cellStyle name="ItemTypeClass 4 4 2 4 3" xfId="12170" xr:uid="{00000000-0005-0000-0000-0000CA160000}"/>
    <cellStyle name="ItemTypeClass 4 4 2 4 4" xfId="12171" xr:uid="{00000000-0005-0000-0000-0000CB160000}"/>
    <cellStyle name="ItemTypeClass 4 4 2 4 5" xfId="12172" xr:uid="{00000000-0005-0000-0000-0000CC160000}"/>
    <cellStyle name="ItemTypeClass 4 4 2 4 6" xfId="12173" xr:uid="{00000000-0005-0000-0000-0000CD160000}"/>
    <cellStyle name="ItemTypeClass 4 4 2 5" xfId="12174" xr:uid="{00000000-0005-0000-0000-0000CE160000}"/>
    <cellStyle name="ItemTypeClass 4 4 2 6" xfId="12175" xr:uid="{00000000-0005-0000-0000-0000CF160000}"/>
    <cellStyle name="ItemTypeClass 4 4 2 7" xfId="12176" xr:uid="{00000000-0005-0000-0000-0000D0160000}"/>
    <cellStyle name="ItemTypeClass 4 4 2 8" xfId="12177" xr:uid="{00000000-0005-0000-0000-0000D1160000}"/>
    <cellStyle name="ItemTypeClass 4 4 2 9" xfId="12178" xr:uid="{00000000-0005-0000-0000-0000D2160000}"/>
    <cellStyle name="ItemTypeClass 4 4 3" xfId="12179" xr:uid="{00000000-0005-0000-0000-0000D3160000}"/>
    <cellStyle name="ItemTypeClass 4 4 3 10" xfId="12180" xr:uid="{00000000-0005-0000-0000-0000D4160000}"/>
    <cellStyle name="ItemTypeClass 4 4 3 11" xfId="12181" xr:uid="{00000000-0005-0000-0000-0000D5160000}"/>
    <cellStyle name="ItemTypeClass 4 4 3 12" xfId="12182" xr:uid="{00000000-0005-0000-0000-0000D6160000}"/>
    <cellStyle name="ItemTypeClass 4 4 3 2" xfId="12183" xr:uid="{00000000-0005-0000-0000-0000D7160000}"/>
    <cellStyle name="ItemTypeClass 4 4 3 2 2" xfId="12184" xr:uid="{00000000-0005-0000-0000-0000D8160000}"/>
    <cellStyle name="ItemTypeClass 4 4 3 2 3" xfId="12185" xr:uid="{00000000-0005-0000-0000-0000D9160000}"/>
    <cellStyle name="ItemTypeClass 4 4 3 2 4" xfId="12186" xr:uid="{00000000-0005-0000-0000-0000DA160000}"/>
    <cellStyle name="ItemTypeClass 4 4 3 2 5" xfId="12187" xr:uid="{00000000-0005-0000-0000-0000DB160000}"/>
    <cellStyle name="ItemTypeClass 4 4 3 3" xfId="12188" xr:uid="{00000000-0005-0000-0000-0000DC160000}"/>
    <cellStyle name="ItemTypeClass 4 4 3 3 2" xfId="12189" xr:uid="{00000000-0005-0000-0000-0000DD160000}"/>
    <cellStyle name="ItemTypeClass 4 4 3 3 3" xfId="12190" xr:uid="{00000000-0005-0000-0000-0000DE160000}"/>
    <cellStyle name="ItemTypeClass 4 4 3 3 4" xfId="12191" xr:uid="{00000000-0005-0000-0000-0000DF160000}"/>
    <cellStyle name="ItemTypeClass 4 4 3 3 5" xfId="12192" xr:uid="{00000000-0005-0000-0000-0000E0160000}"/>
    <cellStyle name="ItemTypeClass 4 4 3 3 6" xfId="12193" xr:uid="{00000000-0005-0000-0000-0000E1160000}"/>
    <cellStyle name="ItemTypeClass 4 4 3 4" xfId="12194" xr:uid="{00000000-0005-0000-0000-0000E2160000}"/>
    <cellStyle name="ItemTypeClass 4 4 3 4 2" xfId="12195" xr:uid="{00000000-0005-0000-0000-0000E3160000}"/>
    <cellStyle name="ItemTypeClass 4 4 3 4 3" xfId="12196" xr:uid="{00000000-0005-0000-0000-0000E4160000}"/>
    <cellStyle name="ItemTypeClass 4 4 3 4 4" xfId="12197" xr:uid="{00000000-0005-0000-0000-0000E5160000}"/>
    <cellStyle name="ItemTypeClass 4 4 3 4 5" xfId="12198" xr:uid="{00000000-0005-0000-0000-0000E6160000}"/>
    <cellStyle name="ItemTypeClass 4 4 3 4 6" xfId="12199" xr:uid="{00000000-0005-0000-0000-0000E7160000}"/>
    <cellStyle name="ItemTypeClass 4 4 3 5" xfId="12200" xr:uid="{00000000-0005-0000-0000-0000E8160000}"/>
    <cellStyle name="ItemTypeClass 4 4 3 6" xfId="12201" xr:uid="{00000000-0005-0000-0000-0000E9160000}"/>
    <cellStyle name="ItemTypeClass 4 4 3 7" xfId="12202" xr:uid="{00000000-0005-0000-0000-0000EA160000}"/>
    <cellStyle name="ItemTypeClass 4 4 3 8" xfId="12203" xr:uid="{00000000-0005-0000-0000-0000EB160000}"/>
    <cellStyle name="ItemTypeClass 4 4 3 9" xfId="12204" xr:uid="{00000000-0005-0000-0000-0000EC160000}"/>
    <cellStyle name="ItemTypeClass 4 4 4" xfId="12205" xr:uid="{00000000-0005-0000-0000-0000ED160000}"/>
    <cellStyle name="ItemTypeClass 4 4 4 10" xfId="12206" xr:uid="{00000000-0005-0000-0000-0000EE160000}"/>
    <cellStyle name="ItemTypeClass 4 4 4 11" xfId="12207" xr:uid="{00000000-0005-0000-0000-0000EF160000}"/>
    <cellStyle name="ItemTypeClass 4 4 4 12" xfId="12208" xr:uid="{00000000-0005-0000-0000-0000F0160000}"/>
    <cellStyle name="ItemTypeClass 4 4 4 2" xfId="12209" xr:uid="{00000000-0005-0000-0000-0000F1160000}"/>
    <cellStyle name="ItemTypeClass 4 4 4 2 2" xfId="12210" xr:uid="{00000000-0005-0000-0000-0000F2160000}"/>
    <cellStyle name="ItemTypeClass 4 4 4 2 3" xfId="12211" xr:uid="{00000000-0005-0000-0000-0000F3160000}"/>
    <cellStyle name="ItemTypeClass 4 4 4 2 4" xfId="12212" xr:uid="{00000000-0005-0000-0000-0000F4160000}"/>
    <cellStyle name="ItemTypeClass 4 4 4 2 5" xfId="12213" xr:uid="{00000000-0005-0000-0000-0000F5160000}"/>
    <cellStyle name="ItemTypeClass 4 4 4 3" xfId="12214" xr:uid="{00000000-0005-0000-0000-0000F6160000}"/>
    <cellStyle name="ItemTypeClass 4 4 4 3 2" xfId="12215" xr:uid="{00000000-0005-0000-0000-0000F7160000}"/>
    <cellStyle name="ItemTypeClass 4 4 4 3 3" xfId="12216" xr:uid="{00000000-0005-0000-0000-0000F8160000}"/>
    <cellStyle name="ItemTypeClass 4 4 4 3 4" xfId="12217" xr:uid="{00000000-0005-0000-0000-0000F9160000}"/>
    <cellStyle name="ItemTypeClass 4 4 4 3 5" xfId="12218" xr:uid="{00000000-0005-0000-0000-0000FA160000}"/>
    <cellStyle name="ItemTypeClass 4 4 4 3 6" xfId="12219" xr:uid="{00000000-0005-0000-0000-0000FB160000}"/>
    <cellStyle name="ItemTypeClass 4 4 4 4" xfId="12220" xr:uid="{00000000-0005-0000-0000-0000FC160000}"/>
    <cellStyle name="ItemTypeClass 4 4 4 4 2" xfId="12221" xr:uid="{00000000-0005-0000-0000-0000FD160000}"/>
    <cellStyle name="ItemTypeClass 4 4 4 4 3" xfId="12222" xr:uid="{00000000-0005-0000-0000-0000FE160000}"/>
    <cellStyle name="ItemTypeClass 4 4 4 4 4" xfId="12223" xr:uid="{00000000-0005-0000-0000-0000FF160000}"/>
    <cellStyle name="ItemTypeClass 4 4 4 4 5" xfId="12224" xr:uid="{00000000-0005-0000-0000-000000170000}"/>
    <cellStyle name="ItemTypeClass 4 4 4 4 6" xfId="12225" xr:uid="{00000000-0005-0000-0000-000001170000}"/>
    <cellStyle name="ItemTypeClass 4 4 4 5" xfId="12226" xr:uid="{00000000-0005-0000-0000-000002170000}"/>
    <cellStyle name="ItemTypeClass 4 4 4 6" xfId="12227" xr:uid="{00000000-0005-0000-0000-000003170000}"/>
    <cellStyle name="ItemTypeClass 4 4 4 7" xfId="12228" xr:uid="{00000000-0005-0000-0000-000004170000}"/>
    <cellStyle name="ItemTypeClass 4 4 4 8" xfId="12229" xr:uid="{00000000-0005-0000-0000-000005170000}"/>
    <cellStyle name="ItemTypeClass 4 4 4 9" xfId="12230" xr:uid="{00000000-0005-0000-0000-000006170000}"/>
    <cellStyle name="ItemTypeClass 4 4 5" xfId="12231" xr:uid="{00000000-0005-0000-0000-000007170000}"/>
    <cellStyle name="ItemTypeClass 4 4 5 2" xfId="12232" xr:uid="{00000000-0005-0000-0000-000008170000}"/>
    <cellStyle name="ItemTypeClass 4 4 5 3" xfId="12233" xr:uid="{00000000-0005-0000-0000-000009170000}"/>
    <cellStyle name="ItemTypeClass 4 4 5 4" xfId="12234" xr:uid="{00000000-0005-0000-0000-00000A170000}"/>
    <cellStyle name="ItemTypeClass 4 4 5 5" xfId="12235" xr:uid="{00000000-0005-0000-0000-00000B170000}"/>
    <cellStyle name="ItemTypeClass 4 4 6" xfId="12236" xr:uid="{00000000-0005-0000-0000-00000C170000}"/>
    <cellStyle name="ItemTypeClass 4 4 6 2" xfId="12237" xr:uid="{00000000-0005-0000-0000-00000D170000}"/>
    <cellStyle name="ItemTypeClass 4 4 6 3" xfId="12238" xr:uid="{00000000-0005-0000-0000-00000E170000}"/>
    <cellStyle name="ItemTypeClass 4 4 6 4" xfId="12239" xr:uid="{00000000-0005-0000-0000-00000F170000}"/>
    <cellStyle name="ItemTypeClass 4 4 6 5" xfId="12240" xr:uid="{00000000-0005-0000-0000-000010170000}"/>
    <cellStyle name="ItemTypeClass 4 4 6 6" xfId="12241" xr:uid="{00000000-0005-0000-0000-000011170000}"/>
    <cellStyle name="ItemTypeClass 4 4 7" xfId="12242" xr:uid="{00000000-0005-0000-0000-000012170000}"/>
    <cellStyle name="ItemTypeClass 4 4 7 2" xfId="12243" xr:uid="{00000000-0005-0000-0000-000013170000}"/>
    <cellStyle name="ItemTypeClass 4 4 7 3" xfId="12244" xr:uid="{00000000-0005-0000-0000-000014170000}"/>
    <cellStyle name="ItemTypeClass 4 4 7 4" xfId="12245" xr:uid="{00000000-0005-0000-0000-000015170000}"/>
    <cellStyle name="ItemTypeClass 4 4 7 5" xfId="12246" xr:uid="{00000000-0005-0000-0000-000016170000}"/>
    <cellStyle name="ItemTypeClass 4 4 7 6" xfId="12247" xr:uid="{00000000-0005-0000-0000-000017170000}"/>
    <cellStyle name="ItemTypeClass 4 4 8" xfId="12248" xr:uid="{00000000-0005-0000-0000-000018170000}"/>
    <cellStyle name="ItemTypeClass 4 4 9" xfId="12249" xr:uid="{00000000-0005-0000-0000-000019170000}"/>
    <cellStyle name="ItemTypeClass 4 5" xfId="12250" xr:uid="{00000000-0005-0000-0000-00001A170000}"/>
    <cellStyle name="ItemTypeClass 4 5 10" xfId="12251" xr:uid="{00000000-0005-0000-0000-00001B170000}"/>
    <cellStyle name="ItemTypeClass 4 5 11" xfId="12252" xr:uid="{00000000-0005-0000-0000-00001C170000}"/>
    <cellStyle name="ItemTypeClass 4 5 12" xfId="12253" xr:uid="{00000000-0005-0000-0000-00001D170000}"/>
    <cellStyle name="ItemTypeClass 4 5 2" xfId="12254" xr:uid="{00000000-0005-0000-0000-00001E170000}"/>
    <cellStyle name="ItemTypeClass 4 5 2 2" xfId="12255" xr:uid="{00000000-0005-0000-0000-00001F170000}"/>
    <cellStyle name="ItemTypeClass 4 5 2 3" xfId="12256" xr:uid="{00000000-0005-0000-0000-000020170000}"/>
    <cellStyle name="ItemTypeClass 4 5 2 4" xfId="12257" xr:uid="{00000000-0005-0000-0000-000021170000}"/>
    <cellStyle name="ItemTypeClass 4 5 2 5" xfId="12258" xr:uid="{00000000-0005-0000-0000-000022170000}"/>
    <cellStyle name="ItemTypeClass 4 5 3" xfId="12259" xr:uid="{00000000-0005-0000-0000-000023170000}"/>
    <cellStyle name="ItemTypeClass 4 5 3 2" xfId="12260" xr:uid="{00000000-0005-0000-0000-000024170000}"/>
    <cellStyle name="ItemTypeClass 4 5 3 3" xfId="12261" xr:uid="{00000000-0005-0000-0000-000025170000}"/>
    <cellStyle name="ItemTypeClass 4 5 3 4" xfId="12262" xr:uid="{00000000-0005-0000-0000-000026170000}"/>
    <cellStyle name="ItemTypeClass 4 5 3 5" xfId="12263" xr:uid="{00000000-0005-0000-0000-000027170000}"/>
    <cellStyle name="ItemTypeClass 4 5 3 6" xfId="12264" xr:uid="{00000000-0005-0000-0000-000028170000}"/>
    <cellStyle name="ItemTypeClass 4 5 4" xfId="12265" xr:uid="{00000000-0005-0000-0000-000029170000}"/>
    <cellStyle name="ItemTypeClass 4 5 4 2" xfId="12266" xr:uid="{00000000-0005-0000-0000-00002A170000}"/>
    <cellStyle name="ItemTypeClass 4 5 4 3" xfId="12267" xr:uid="{00000000-0005-0000-0000-00002B170000}"/>
    <cellStyle name="ItemTypeClass 4 5 4 4" xfId="12268" xr:uid="{00000000-0005-0000-0000-00002C170000}"/>
    <cellStyle name="ItemTypeClass 4 5 4 5" xfId="12269" xr:uid="{00000000-0005-0000-0000-00002D170000}"/>
    <cellStyle name="ItemTypeClass 4 5 4 6" xfId="12270" xr:uid="{00000000-0005-0000-0000-00002E170000}"/>
    <cellStyle name="ItemTypeClass 4 5 5" xfId="12271" xr:uid="{00000000-0005-0000-0000-00002F170000}"/>
    <cellStyle name="ItemTypeClass 4 5 6" xfId="12272" xr:uid="{00000000-0005-0000-0000-000030170000}"/>
    <cellStyle name="ItemTypeClass 4 5 7" xfId="12273" xr:uid="{00000000-0005-0000-0000-000031170000}"/>
    <cellStyle name="ItemTypeClass 4 5 8" xfId="12274" xr:uid="{00000000-0005-0000-0000-000032170000}"/>
    <cellStyle name="ItemTypeClass 4 5 9" xfId="12275" xr:uid="{00000000-0005-0000-0000-000033170000}"/>
    <cellStyle name="ItemTypeClass 4 6" xfId="12276" xr:uid="{00000000-0005-0000-0000-000034170000}"/>
    <cellStyle name="ItemTypeClass 4 6 10" xfId="12277" xr:uid="{00000000-0005-0000-0000-000035170000}"/>
    <cellStyle name="ItemTypeClass 4 6 11" xfId="12278" xr:uid="{00000000-0005-0000-0000-000036170000}"/>
    <cellStyle name="ItemTypeClass 4 6 12" xfId="12279" xr:uid="{00000000-0005-0000-0000-000037170000}"/>
    <cellStyle name="ItemTypeClass 4 6 2" xfId="12280" xr:uid="{00000000-0005-0000-0000-000038170000}"/>
    <cellStyle name="ItemTypeClass 4 6 2 2" xfId="12281" xr:uid="{00000000-0005-0000-0000-000039170000}"/>
    <cellStyle name="ItemTypeClass 4 6 2 3" xfId="12282" xr:uid="{00000000-0005-0000-0000-00003A170000}"/>
    <cellStyle name="ItemTypeClass 4 6 2 4" xfId="12283" xr:uid="{00000000-0005-0000-0000-00003B170000}"/>
    <cellStyle name="ItemTypeClass 4 6 2 5" xfId="12284" xr:uid="{00000000-0005-0000-0000-00003C170000}"/>
    <cellStyle name="ItemTypeClass 4 6 3" xfId="12285" xr:uid="{00000000-0005-0000-0000-00003D170000}"/>
    <cellStyle name="ItemTypeClass 4 6 3 2" xfId="12286" xr:uid="{00000000-0005-0000-0000-00003E170000}"/>
    <cellStyle name="ItemTypeClass 4 6 3 3" xfId="12287" xr:uid="{00000000-0005-0000-0000-00003F170000}"/>
    <cellStyle name="ItemTypeClass 4 6 3 4" xfId="12288" xr:uid="{00000000-0005-0000-0000-000040170000}"/>
    <cellStyle name="ItemTypeClass 4 6 3 5" xfId="12289" xr:uid="{00000000-0005-0000-0000-000041170000}"/>
    <cellStyle name="ItemTypeClass 4 6 3 6" xfId="12290" xr:uid="{00000000-0005-0000-0000-000042170000}"/>
    <cellStyle name="ItemTypeClass 4 6 4" xfId="12291" xr:uid="{00000000-0005-0000-0000-000043170000}"/>
    <cellStyle name="ItemTypeClass 4 6 4 2" xfId="12292" xr:uid="{00000000-0005-0000-0000-000044170000}"/>
    <cellStyle name="ItemTypeClass 4 6 4 3" xfId="12293" xr:uid="{00000000-0005-0000-0000-000045170000}"/>
    <cellStyle name="ItemTypeClass 4 6 4 4" xfId="12294" xr:uid="{00000000-0005-0000-0000-000046170000}"/>
    <cellStyle name="ItemTypeClass 4 6 4 5" xfId="12295" xr:uid="{00000000-0005-0000-0000-000047170000}"/>
    <cellStyle name="ItemTypeClass 4 6 4 6" xfId="12296" xr:uid="{00000000-0005-0000-0000-000048170000}"/>
    <cellStyle name="ItemTypeClass 4 6 5" xfId="12297" xr:uid="{00000000-0005-0000-0000-000049170000}"/>
    <cellStyle name="ItemTypeClass 4 6 6" xfId="12298" xr:uid="{00000000-0005-0000-0000-00004A170000}"/>
    <cellStyle name="ItemTypeClass 4 6 7" xfId="12299" xr:uid="{00000000-0005-0000-0000-00004B170000}"/>
    <cellStyle name="ItemTypeClass 4 6 8" xfId="12300" xr:uid="{00000000-0005-0000-0000-00004C170000}"/>
    <cellStyle name="ItemTypeClass 4 6 9" xfId="12301" xr:uid="{00000000-0005-0000-0000-00004D170000}"/>
    <cellStyle name="ItemTypeClass 4 7" xfId="12302" xr:uid="{00000000-0005-0000-0000-00004E170000}"/>
    <cellStyle name="ItemTypeClass 4 7 10" xfId="12303" xr:uid="{00000000-0005-0000-0000-00004F170000}"/>
    <cellStyle name="ItemTypeClass 4 7 11" xfId="12304" xr:uid="{00000000-0005-0000-0000-000050170000}"/>
    <cellStyle name="ItemTypeClass 4 7 12" xfId="12305" xr:uid="{00000000-0005-0000-0000-000051170000}"/>
    <cellStyle name="ItemTypeClass 4 7 2" xfId="12306" xr:uid="{00000000-0005-0000-0000-000052170000}"/>
    <cellStyle name="ItemTypeClass 4 7 2 2" xfId="12307" xr:uid="{00000000-0005-0000-0000-000053170000}"/>
    <cellStyle name="ItemTypeClass 4 7 2 3" xfId="12308" xr:uid="{00000000-0005-0000-0000-000054170000}"/>
    <cellStyle name="ItemTypeClass 4 7 2 4" xfId="12309" xr:uid="{00000000-0005-0000-0000-000055170000}"/>
    <cellStyle name="ItemTypeClass 4 7 2 5" xfId="12310" xr:uid="{00000000-0005-0000-0000-000056170000}"/>
    <cellStyle name="ItemTypeClass 4 7 3" xfId="12311" xr:uid="{00000000-0005-0000-0000-000057170000}"/>
    <cellStyle name="ItemTypeClass 4 7 3 2" xfId="12312" xr:uid="{00000000-0005-0000-0000-000058170000}"/>
    <cellStyle name="ItemTypeClass 4 7 3 3" xfId="12313" xr:uid="{00000000-0005-0000-0000-000059170000}"/>
    <cellStyle name="ItemTypeClass 4 7 3 4" xfId="12314" xr:uid="{00000000-0005-0000-0000-00005A170000}"/>
    <cellStyle name="ItemTypeClass 4 7 3 5" xfId="12315" xr:uid="{00000000-0005-0000-0000-00005B170000}"/>
    <cellStyle name="ItemTypeClass 4 7 3 6" xfId="12316" xr:uid="{00000000-0005-0000-0000-00005C170000}"/>
    <cellStyle name="ItemTypeClass 4 7 4" xfId="12317" xr:uid="{00000000-0005-0000-0000-00005D170000}"/>
    <cellStyle name="ItemTypeClass 4 7 4 2" xfId="12318" xr:uid="{00000000-0005-0000-0000-00005E170000}"/>
    <cellStyle name="ItemTypeClass 4 7 4 3" xfId="12319" xr:uid="{00000000-0005-0000-0000-00005F170000}"/>
    <cellStyle name="ItemTypeClass 4 7 4 4" xfId="12320" xr:uid="{00000000-0005-0000-0000-000060170000}"/>
    <cellStyle name="ItemTypeClass 4 7 4 5" xfId="12321" xr:uid="{00000000-0005-0000-0000-000061170000}"/>
    <cellStyle name="ItemTypeClass 4 7 4 6" xfId="12322" xr:uid="{00000000-0005-0000-0000-000062170000}"/>
    <cellStyle name="ItemTypeClass 4 7 5" xfId="12323" xr:uid="{00000000-0005-0000-0000-000063170000}"/>
    <cellStyle name="ItemTypeClass 4 7 6" xfId="12324" xr:uid="{00000000-0005-0000-0000-000064170000}"/>
    <cellStyle name="ItemTypeClass 4 7 7" xfId="12325" xr:uid="{00000000-0005-0000-0000-000065170000}"/>
    <cellStyle name="ItemTypeClass 4 7 8" xfId="12326" xr:uid="{00000000-0005-0000-0000-000066170000}"/>
    <cellStyle name="ItemTypeClass 4 7 9" xfId="12327" xr:uid="{00000000-0005-0000-0000-000067170000}"/>
    <cellStyle name="ItemTypeClass 4 8" xfId="12328" xr:uid="{00000000-0005-0000-0000-000068170000}"/>
    <cellStyle name="ItemTypeClass 4 8 2" xfId="12329" xr:uid="{00000000-0005-0000-0000-000069170000}"/>
    <cellStyle name="ItemTypeClass 4 8 3" xfId="12330" xr:uid="{00000000-0005-0000-0000-00006A170000}"/>
    <cellStyle name="ItemTypeClass 4 8 4" xfId="12331" xr:uid="{00000000-0005-0000-0000-00006B170000}"/>
    <cellStyle name="ItemTypeClass 4 8 5" xfId="12332" xr:uid="{00000000-0005-0000-0000-00006C170000}"/>
    <cellStyle name="ItemTypeClass 4 9" xfId="12333" xr:uid="{00000000-0005-0000-0000-00006D170000}"/>
    <cellStyle name="ItemTypeClass 4 9 2" xfId="12334" xr:uid="{00000000-0005-0000-0000-00006E170000}"/>
    <cellStyle name="ItemTypeClass 4 9 3" xfId="12335" xr:uid="{00000000-0005-0000-0000-00006F170000}"/>
    <cellStyle name="ItemTypeClass 4 9 4" xfId="12336" xr:uid="{00000000-0005-0000-0000-000070170000}"/>
    <cellStyle name="ItemTypeClass 4 9 5" xfId="12337" xr:uid="{00000000-0005-0000-0000-000071170000}"/>
    <cellStyle name="ItemTypeClass 4 9 6" xfId="12338" xr:uid="{00000000-0005-0000-0000-000072170000}"/>
    <cellStyle name="ItemTypeClass 5" xfId="12339" xr:uid="{00000000-0005-0000-0000-000073170000}"/>
    <cellStyle name="ItemTypeClass 5 10" xfId="12340" xr:uid="{00000000-0005-0000-0000-000074170000}"/>
    <cellStyle name="ItemTypeClass 5 11" xfId="12341" xr:uid="{00000000-0005-0000-0000-000075170000}"/>
    <cellStyle name="ItemTypeClass 5 12" xfId="12342" xr:uid="{00000000-0005-0000-0000-000076170000}"/>
    <cellStyle name="ItemTypeClass 5 13" xfId="12343" xr:uid="{00000000-0005-0000-0000-000077170000}"/>
    <cellStyle name="ItemTypeClass 5 14" xfId="12344" xr:uid="{00000000-0005-0000-0000-000078170000}"/>
    <cellStyle name="ItemTypeClass 5 15" xfId="12345" xr:uid="{00000000-0005-0000-0000-000079170000}"/>
    <cellStyle name="ItemTypeClass 5 16" xfId="12346" xr:uid="{00000000-0005-0000-0000-00007A170000}"/>
    <cellStyle name="ItemTypeClass 5 17" xfId="12347" xr:uid="{00000000-0005-0000-0000-00007B170000}"/>
    <cellStyle name="ItemTypeClass 5 2" xfId="12348" xr:uid="{00000000-0005-0000-0000-00007C170000}"/>
    <cellStyle name="ItemTypeClass 5 2 10" xfId="12349" xr:uid="{00000000-0005-0000-0000-00007D170000}"/>
    <cellStyle name="ItemTypeClass 5 2 11" xfId="12350" xr:uid="{00000000-0005-0000-0000-00007E170000}"/>
    <cellStyle name="ItemTypeClass 5 2 12" xfId="12351" xr:uid="{00000000-0005-0000-0000-00007F170000}"/>
    <cellStyle name="ItemTypeClass 5 2 13" xfId="12352" xr:uid="{00000000-0005-0000-0000-000080170000}"/>
    <cellStyle name="ItemTypeClass 5 2 14" xfId="12353" xr:uid="{00000000-0005-0000-0000-000081170000}"/>
    <cellStyle name="ItemTypeClass 5 2 15" xfId="12354" xr:uid="{00000000-0005-0000-0000-000082170000}"/>
    <cellStyle name="ItemTypeClass 5 2 2" xfId="12355" xr:uid="{00000000-0005-0000-0000-000083170000}"/>
    <cellStyle name="ItemTypeClass 5 2 2 10" xfId="12356" xr:uid="{00000000-0005-0000-0000-000084170000}"/>
    <cellStyle name="ItemTypeClass 5 2 2 11" xfId="12357" xr:uid="{00000000-0005-0000-0000-000085170000}"/>
    <cellStyle name="ItemTypeClass 5 2 2 12" xfId="12358" xr:uid="{00000000-0005-0000-0000-000086170000}"/>
    <cellStyle name="ItemTypeClass 5 2 2 2" xfId="12359" xr:uid="{00000000-0005-0000-0000-000087170000}"/>
    <cellStyle name="ItemTypeClass 5 2 2 2 2" xfId="12360" xr:uid="{00000000-0005-0000-0000-000088170000}"/>
    <cellStyle name="ItemTypeClass 5 2 2 2 3" xfId="12361" xr:uid="{00000000-0005-0000-0000-000089170000}"/>
    <cellStyle name="ItemTypeClass 5 2 2 2 4" xfId="12362" xr:uid="{00000000-0005-0000-0000-00008A170000}"/>
    <cellStyle name="ItemTypeClass 5 2 2 2 5" xfId="12363" xr:uid="{00000000-0005-0000-0000-00008B170000}"/>
    <cellStyle name="ItemTypeClass 5 2 2 3" xfId="12364" xr:uid="{00000000-0005-0000-0000-00008C170000}"/>
    <cellStyle name="ItemTypeClass 5 2 2 3 2" xfId="12365" xr:uid="{00000000-0005-0000-0000-00008D170000}"/>
    <cellStyle name="ItemTypeClass 5 2 2 3 3" xfId="12366" xr:uid="{00000000-0005-0000-0000-00008E170000}"/>
    <cellStyle name="ItemTypeClass 5 2 2 3 4" xfId="12367" xr:uid="{00000000-0005-0000-0000-00008F170000}"/>
    <cellStyle name="ItemTypeClass 5 2 2 3 5" xfId="12368" xr:uid="{00000000-0005-0000-0000-000090170000}"/>
    <cellStyle name="ItemTypeClass 5 2 2 3 6" xfId="12369" xr:uid="{00000000-0005-0000-0000-000091170000}"/>
    <cellStyle name="ItemTypeClass 5 2 2 4" xfId="12370" xr:uid="{00000000-0005-0000-0000-000092170000}"/>
    <cellStyle name="ItemTypeClass 5 2 2 4 2" xfId="12371" xr:uid="{00000000-0005-0000-0000-000093170000}"/>
    <cellStyle name="ItemTypeClass 5 2 2 4 3" xfId="12372" xr:uid="{00000000-0005-0000-0000-000094170000}"/>
    <cellStyle name="ItemTypeClass 5 2 2 4 4" xfId="12373" xr:uid="{00000000-0005-0000-0000-000095170000}"/>
    <cellStyle name="ItemTypeClass 5 2 2 4 5" xfId="12374" xr:uid="{00000000-0005-0000-0000-000096170000}"/>
    <cellStyle name="ItemTypeClass 5 2 2 4 6" xfId="12375" xr:uid="{00000000-0005-0000-0000-000097170000}"/>
    <cellStyle name="ItemTypeClass 5 2 2 5" xfId="12376" xr:uid="{00000000-0005-0000-0000-000098170000}"/>
    <cellStyle name="ItemTypeClass 5 2 2 6" xfId="12377" xr:uid="{00000000-0005-0000-0000-000099170000}"/>
    <cellStyle name="ItemTypeClass 5 2 2 7" xfId="12378" xr:uid="{00000000-0005-0000-0000-00009A170000}"/>
    <cellStyle name="ItemTypeClass 5 2 2 8" xfId="12379" xr:uid="{00000000-0005-0000-0000-00009B170000}"/>
    <cellStyle name="ItemTypeClass 5 2 2 9" xfId="12380" xr:uid="{00000000-0005-0000-0000-00009C170000}"/>
    <cellStyle name="ItemTypeClass 5 2 3" xfId="12381" xr:uid="{00000000-0005-0000-0000-00009D170000}"/>
    <cellStyle name="ItemTypeClass 5 2 3 10" xfId="12382" xr:uid="{00000000-0005-0000-0000-00009E170000}"/>
    <cellStyle name="ItemTypeClass 5 2 3 11" xfId="12383" xr:uid="{00000000-0005-0000-0000-00009F170000}"/>
    <cellStyle name="ItemTypeClass 5 2 3 12" xfId="12384" xr:uid="{00000000-0005-0000-0000-0000A0170000}"/>
    <cellStyle name="ItemTypeClass 5 2 3 2" xfId="12385" xr:uid="{00000000-0005-0000-0000-0000A1170000}"/>
    <cellStyle name="ItemTypeClass 5 2 3 2 2" xfId="12386" xr:uid="{00000000-0005-0000-0000-0000A2170000}"/>
    <cellStyle name="ItemTypeClass 5 2 3 2 3" xfId="12387" xr:uid="{00000000-0005-0000-0000-0000A3170000}"/>
    <cellStyle name="ItemTypeClass 5 2 3 2 4" xfId="12388" xr:uid="{00000000-0005-0000-0000-0000A4170000}"/>
    <cellStyle name="ItemTypeClass 5 2 3 2 5" xfId="12389" xr:uid="{00000000-0005-0000-0000-0000A5170000}"/>
    <cellStyle name="ItemTypeClass 5 2 3 3" xfId="12390" xr:uid="{00000000-0005-0000-0000-0000A6170000}"/>
    <cellStyle name="ItemTypeClass 5 2 3 3 2" xfId="12391" xr:uid="{00000000-0005-0000-0000-0000A7170000}"/>
    <cellStyle name="ItemTypeClass 5 2 3 3 3" xfId="12392" xr:uid="{00000000-0005-0000-0000-0000A8170000}"/>
    <cellStyle name="ItemTypeClass 5 2 3 3 4" xfId="12393" xr:uid="{00000000-0005-0000-0000-0000A9170000}"/>
    <cellStyle name="ItemTypeClass 5 2 3 3 5" xfId="12394" xr:uid="{00000000-0005-0000-0000-0000AA170000}"/>
    <cellStyle name="ItemTypeClass 5 2 3 3 6" xfId="12395" xr:uid="{00000000-0005-0000-0000-0000AB170000}"/>
    <cellStyle name="ItemTypeClass 5 2 3 4" xfId="12396" xr:uid="{00000000-0005-0000-0000-0000AC170000}"/>
    <cellStyle name="ItemTypeClass 5 2 3 4 2" xfId="12397" xr:uid="{00000000-0005-0000-0000-0000AD170000}"/>
    <cellStyle name="ItemTypeClass 5 2 3 4 3" xfId="12398" xr:uid="{00000000-0005-0000-0000-0000AE170000}"/>
    <cellStyle name="ItemTypeClass 5 2 3 4 4" xfId="12399" xr:uid="{00000000-0005-0000-0000-0000AF170000}"/>
    <cellStyle name="ItemTypeClass 5 2 3 4 5" xfId="12400" xr:uid="{00000000-0005-0000-0000-0000B0170000}"/>
    <cellStyle name="ItemTypeClass 5 2 3 4 6" xfId="12401" xr:uid="{00000000-0005-0000-0000-0000B1170000}"/>
    <cellStyle name="ItemTypeClass 5 2 3 5" xfId="12402" xr:uid="{00000000-0005-0000-0000-0000B2170000}"/>
    <cellStyle name="ItemTypeClass 5 2 3 6" xfId="12403" xr:uid="{00000000-0005-0000-0000-0000B3170000}"/>
    <cellStyle name="ItemTypeClass 5 2 3 7" xfId="12404" xr:uid="{00000000-0005-0000-0000-0000B4170000}"/>
    <cellStyle name="ItemTypeClass 5 2 3 8" xfId="12405" xr:uid="{00000000-0005-0000-0000-0000B5170000}"/>
    <cellStyle name="ItemTypeClass 5 2 3 9" xfId="12406" xr:uid="{00000000-0005-0000-0000-0000B6170000}"/>
    <cellStyle name="ItemTypeClass 5 2 4" xfId="12407" xr:uid="{00000000-0005-0000-0000-0000B7170000}"/>
    <cellStyle name="ItemTypeClass 5 2 4 10" xfId="12408" xr:uid="{00000000-0005-0000-0000-0000B8170000}"/>
    <cellStyle name="ItemTypeClass 5 2 4 11" xfId="12409" xr:uid="{00000000-0005-0000-0000-0000B9170000}"/>
    <cellStyle name="ItemTypeClass 5 2 4 12" xfId="12410" xr:uid="{00000000-0005-0000-0000-0000BA170000}"/>
    <cellStyle name="ItemTypeClass 5 2 4 2" xfId="12411" xr:uid="{00000000-0005-0000-0000-0000BB170000}"/>
    <cellStyle name="ItemTypeClass 5 2 4 2 2" xfId="12412" xr:uid="{00000000-0005-0000-0000-0000BC170000}"/>
    <cellStyle name="ItemTypeClass 5 2 4 2 3" xfId="12413" xr:uid="{00000000-0005-0000-0000-0000BD170000}"/>
    <cellStyle name="ItemTypeClass 5 2 4 2 4" xfId="12414" xr:uid="{00000000-0005-0000-0000-0000BE170000}"/>
    <cellStyle name="ItemTypeClass 5 2 4 2 5" xfId="12415" xr:uid="{00000000-0005-0000-0000-0000BF170000}"/>
    <cellStyle name="ItemTypeClass 5 2 4 3" xfId="12416" xr:uid="{00000000-0005-0000-0000-0000C0170000}"/>
    <cellStyle name="ItemTypeClass 5 2 4 3 2" xfId="12417" xr:uid="{00000000-0005-0000-0000-0000C1170000}"/>
    <cellStyle name="ItemTypeClass 5 2 4 3 3" xfId="12418" xr:uid="{00000000-0005-0000-0000-0000C2170000}"/>
    <cellStyle name="ItemTypeClass 5 2 4 3 4" xfId="12419" xr:uid="{00000000-0005-0000-0000-0000C3170000}"/>
    <cellStyle name="ItemTypeClass 5 2 4 3 5" xfId="12420" xr:uid="{00000000-0005-0000-0000-0000C4170000}"/>
    <cellStyle name="ItemTypeClass 5 2 4 3 6" xfId="12421" xr:uid="{00000000-0005-0000-0000-0000C5170000}"/>
    <cellStyle name="ItemTypeClass 5 2 4 4" xfId="12422" xr:uid="{00000000-0005-0000-0000-0000C6170000}"/>
    <cellStyle name="ItemTypeClass 5 2 4 4 2" xfId="12423" xr:uid="{00000000-0005-0000-0000-0000C7170000}"/>
    <cellStyle name="ItemTypeClass 5 2 4 4 3" xfId="12424" xr:uid="{00000000-0005-0000-0000-0000C8170000}"/>
    <cellStyle name="ItemTypeClass 5 2 4 4 4" xfId="12425" xr:uid="{00000000-0005-0000-0000-0000C9170000}"/>
    <cellStyle name="ItemTypeClass 5 2 4 4 5" xfId="12426" xr:uid="{00000000-0005-0000-0000-0000CA170000}"/>
    <cellStyle name="ItemTypeClass 5 2 4 4 6" xfId="12427" xr:uid="{00000000-0005-0000-0000-0000CB170000}"/>
    <cellStyle name="ItemTypeClass 5 2 4 5" xfId="12428" xr:uid="{00000000-0005-0000-0000-0000CC170000}"/>
    <cellStyle name="ItemTypeClass 5 2 4 6" xfId="12429" xr:uid="{00000000-0005-0000-0000-0000CD170000}"/>
    <cellStyle name="ItemTypeClass 5 2 4 7" xfId="12430" xr:uid="{00000000-0005-0000-0000-0000CE170000}"/>
    <cellStyle name="ItemTypeClass 5 2 4 8" xfId="12431" xr:uid="{00000000-0005-0000-0000-0000CF170000}"/>
    <cellStyle name="ItemTypeClass 5 2 4 9" xfId="12432" xr:uid="{00000000-0005-0000-0000-0000D0170000}"/>
    <cellStyle name="ItemTypeClass 5 2 5" xfId="12433" xr:uid="{00000000-0005-0000-0000-0000D1170000}"/>
    <cellStyle name="ItemTypeClass 5 2 5 2" xfId="12434" xr:uid="{00000000-0005-0000-0000-0000D2170000}"/>
    <cellStyle name="ItemTypeClass 5 2 5 3" xfId="12435" xr:uid="{00000000-0005-0000-0000-0000D3170000}"/>
    <cellStyle name="ItemTypeClass 5 2 5 4" xfId="12436" xr:uid="{00000000-0005-0000-0000-0000D4170000}"/>
    <cellStyle name="ItemTypeClass 5 2 5 5" xfId="12437" xr:uid="{00000000-0005-0000-0000-0000D5170000}"/>
    <cellStyle name="ItemTypeClass 5 2 6" xfId="12438" xr:uid="{00000000-0005-0000-0000-0000D6170000}"/>
    <cellStyle name="ItemTypeClass 5 2 6 2" xfId="12439" xr:uid="{00000000-0005-0000-0000-0000D7170000}"/>
    <cellStyle name="ItemTypeClass 5 2 6 3" xfId="12440" xr:uid="{00000000-0005-0000-0000-0000D8170000}"/>
    <cellStyle name="ItemTypeClass 5 2 6 4" xfId="12441" xr:uid="{00000000-0005-0000-0000-0000D9170000}"/>
    <cellStyle name="ItemTypeClass 5 2 6 5" xfId="12442" xr:uid="{00000000-0005-0000-0000-0000DA170000}"/>
    <cellStyle name="ItemTypeClass 5 2 6 6" xfId="12443" xr:uid="{00000000-0005-0000-0000-0000DB170000}"/>
    <cellStyle name="ItemTypeClass 5 2 7" xfId="12444" xr:uid="{00000000-0005-0000-0000-0000DC170000}"/>
    <cellStyle name="ItemTypeClass 5 2 7 2" xfId="12445" xr:uid="{00000000-0005-0000-0000-0000DD170000}"/>
    <cellStyle name="ItemTypeClass 5 2 7 3" xfId="12446" xr:uid="{00000000-0005-0000-0000-0000DE170000}"/>
    <cellStyle name="ItemTypeClass 5 2 7 4" xfId="12447" xr:uid="{00000000-0005-0000-0000-0000DF170000}"/>
    <cellStyle name="ItemTypeClass 5 2 7 5" xfId="12448" xr:uid="{00000000-0005-0000-0000-0000E0170000}"/>
    <cellStyle name="ItemTypeClass 5 2 7 6" xfId="12449" xr:uid="{00000000-0005-0000-0000-0000E1170000}"/>
    <cellStyle name="ItemTypeClass 5 2 8" xfId="12450" xr:uid="{00000000-0005-0000-0000-0000E2170000}"/>
    <cellStyle name="ItemTypeClass 5 2 9" xfId="12451" xr:uid="{00000000-0005-0000-0000-0000E3170000}"/>
    <cellStyle name="ItemTypeClass 5 3" xfId="12452" xr:uid="{00000000-0005-0000-0000-0000E4170000}"/>
    <cellStyle name="ItemTypeClass 5 3 10" xfId="12453" xr:uid="{00000000-0005-0000-0000-0000E5170000}"/>
    <cellStyle name="ItemTypeClass 5 3 11" xfId="12454" xr:uid="{00000000-0005-0000-0000-0000E6170000}"/>
    <cellStyle name="ItemTypeClass 5 3 12" xfId="12455" xr:uid="{00000000-0005-0000-0000-0000E7170000}"/>
    <cellStyle name="ItemTypeClass 5 3 13" xfId="12456" xr:uid="{00000000-0005-0000-0000-0000E8170000}"/>
    <cellStyle name="ItemTypeClass 5 3 14" xfId="12457" xr:uid="{00000000-0005-0000-0000-0000E9170000}"/>
    <cellStyle name="ItemTypeClass 5 3 15" xfId="12458" xr:uid="{00000000-0005-0000-0000-0000EA170000}"/>
    <cellStyle name="ItemTypeClass 5 3 2" xfId="12459" xr:uid="{00000000-0005-0000-0000-0000EB170000}"/>
    <cellStyle name="ItemTypeClass 5 3 2 10" xfId="12460" xr:uid="{00000000-0005-0000-0000-0000EC170000}"/>
    <cellStyle name="ItemTypeClass 5 3 2 11" xfId="12461" xr:uid="{00000000-0005-0000-0000-0000ED170000}"/>
    <cellStyle name="ItemTypeClass 5 3 2 12" xfId="12462" xr:uid="{00000000-0005-0000-0000-0000EE170000}"/>
    <cellStyle name="ItemTypeClass 5 3 2 2" xfId="12463" xr:uid="{00000000-0005-0000-0000-0000EF170000}"/>
    <cellStyle name="ItemTypeClass 5 3 2 2 2" xfId="12464" xr:uid="{00000000-0005-0000-0000-0000F0170000}"/>
    <cellStyle name="ItemTypeClass 5 3 2 2 3" xfId="12465" xr:uid="{00000000-0005-0000-0000-0000F1170000}"/>
    <cellStyle name="ItemTypeClass 5 3 2 2 4" xfId="12466" xr:uid="{00000000-0005-0000-0000-0000F2170000}"/>
    <cellStyle name="ItemTypeClass 5 3 2 2 5" xfId="12467" xr:uid="{00000000-0005-0000-0000-0000F3170000}"/>
    <cellStyle name="ItemTypeClass 5 3 2 3" xfId="12468" xr:uid="{00000000-0005-0000-0000-0000F4170000}"/>
    <cellStyle name="ItemTypeClass 5 3 2 3 2" xfId="12469" xr:uid="{00000000-0005-0000-0000-0000F5170000}"/>
    <cellStyle name="ItemTypeClass 5 3 2 3 3" xfId="12470" xr:uid="{00000000-0005-0000-0000-0000F6170000}"/>
    <cellStyle name="ItemTypeClass 5 3 2 3 4" xfId="12471" xr:uid="{00000000-0005-0000-0000-0000F7170000}"/>
    <cellStyle name="ItemTypeClass 5 3 2 3 5" xfId="12472" xr:uid="{00000000-0005-0000-0000-0000F8170000}"/>
    <cellStyle name="ItemTypeClass 5 3 2 3 6" xfId="12473" xr:uid="{00000000-0005-0000-0000-0000F9170000}"/>
    <cellStyle name="ItemTypeClass 5 3 2 4" xfId="12474" xr:uid="{00000000-0005-0000-0000-0000FA170000}"/>
    <cellStyle name="ItemTypeClass 5 3 2 4 2" xfId="12475" xr:uid="{00000000-0005-0000-0000-0000FB170000}"/>
    <cellStyle name="ItemTypeClass 5 3 2 4 3" xfId="12476" xr:uid="{00000000-0005-0000-0000-0000FC170000}"/>
    <cellStyle name="ItemTypeClass 5 3 2 4 4" xfId="12477" xr:uid="{00000000-0005-0000-0000-0000FD170000}"/>
    <cellStyle name="ItemTypeClass 5 3 2 4 5" xfId="12478" xr:uid="{00000000-0005-0000-0000-0000FE170000}"/>
    <cellStyle name="ItemTypeClass 5 3 2 4 6" xfId="12479" xr:uid="{00000000-0005-0000-0000-0000FF170000}"/>
    <cellStyle name="ItemTypeClass 5 3 2 5" xfId="12480" xr:uid="{00000000-0005-0000-0000-000000180000}"/>
    <cellStyle name="ItemTypeClass 5 3 2 6" xfId="12481" xr:uid="{00000000-0005-0000-0000-000001180000}"/>
    <cellStyle name="ItemTypeClass 5 3 2 7" xfId="12482" xr:uid="{00000000-0005-0000-0000-000002180000}"/>
    <cellStyle name="ItemTypeClass 5 3 2 8" xfId="12483" xr:uid="{00000000-0005-0000-0000-000003180000}"/>
    <cellStyle name="ItemTypeClass 5 3 2 9" xfId="12484" xr:uid="{00000000-0005-0000-0000-000004180000}"/>
    <cellStyle name="ItemTypeClass 5 3 3" xfId="12485" xr:uid="{00000000-0005-0000-0000-000005180000}"/>
    <cellStyle name="ItemTypeClass 5 3 3 10" xfId="12486" xr:uid="{00000000-0005-0000-0000-000006180000}"/>
    <cellStyle name="ItemTypeClass 5 3 3 11" xfId="12487" xr:uid="{00000000-0005-0000-0000-000007180000}"/>
    <cellStyle name="ItemTypeClass 5 3 3 12" xfId="12488" xr:uid="{00000000-0005-0000-0000-000008180000}"/>
    <cellStyle name="ItemTypeClass 5 3 3 2" xfId="12489" xr:uid="{00000000-0005-0000-0000-000009180000}"/>
    <cellStyle name="ItemTypeClass 5 3 3 2 2" xfId="12490" xr:uid="{00000000-0005-0000-0000-00000A180000}"/>
    <cellStyle name="ItemTypeClass 5 3 3 2 3" xfId="12491" xr:uid="{00000000-0005-0000-0000-00000B180000}"/>
    <cellStyle name="ItemTypeClass 5 3 3 2 4" xfId="12492" xr:uid="{00000000-0005-0000-0000-00000C180000}"/>
    <cellStyle name="ItemTypeClass 5 3 3 2 5" xfId="12493" xr:uid="{00000000-0005-0000-0000-00000D180000}"/>
    <cellStyle name="ItemTypeClass 5 3 3 3" xfId="12494" xr:uid="{00000000-0005-0000-0000-00000E180000}"/>
    <cellStyle name="ItemTypeClass 5 3 3 3 2" xfId="12495" xr:uid="{00000000-0005-0000-0000-00000F180000}"/>
    <cellStyle name="ItemTypeClass 5 3 3 3 3" xfId="12496" xr:uid="{00000000-0005-0000-0000-000010180000}"/>
    <cellStyle name="ItemTypeClass 5 3 3 3 4" xfId="12497" xr:uid="{00000000-0005-0000-0000-000011180000}"/>
    <cellStyle name="ItemTypeClass 5 3 3 3 5" xfId="12498" xr:uid="{00000000-0005-0000-0000-000012180000}"/>
    <cellStyle name="ItemTypeClass 5 3 3 3 6" xfId="12499" xr:uid="{00000000-0005-0000-0000-000013180000}"/>
    <cellStyle name="ItemTypeClass 5 3 3 4" xfId="12500" xr:uid="{00000000-0005-0000-0000-000014180000}"/>
    <cellStyle name="ItemTypeClass 5 3 3 4 2" xfId="12501" xr:uid="{00000000-0005-0000-0000-000015180000}"/>
    <cellStyle name="ItemTypeClass 5 3 3 4 3" xfId="12502" xr:uid="{00000000-0005-0000-0000-000016180000}"/>
    <cellStyle name="ItemTypeClass 5 3 3 4 4" xfId="12503" xr:uid="{00000000-0005-0000-0000-000017180000}"/>
    <cellStyle name="ItemTypeClass 5 3 3 4 5" xfId="12504" xr:uid="{00000000-0005-0000-0000-000018180000}"/>
    <cellStyle name="ItemTypeClass 5 3 3 4 6" xfId="12505" xr:uid="{00000000-0005-0000-0000-000019180000}"/>
    <cellStyle name="ItemTypeClass 5 3 3 5" xfId="12506" xr:uid="{00000000-0005-0000-0000-00001A180000}"/>
    <cellStyle name="ItemTypeClass 5 3 3 6" xfId="12507" xr:uid="{00000000-0005-0000-0000-00001B180000}"/>
    <cellStyle name="ItemTypeClass 5 3 3 7" xfId="12508" xr:uid="{00000000-0005-0000-0000-00001C180000}"/>
    <cellStyle name="ItemTypeClass 5 3 3 8" xfId="12509" xr:uid="{00000000-0005-0000-0000-00001D180000}"/>
    <cellStyle name="ItemTypeClass 5 3 3 9" xfId="12510" xr:uid="{00000000-0005-0000-0000-00001E180000}"/>
    <cellStyle name="ItemTypeClass 5 3 4" xfId="12511" xr:uid="{00000000-0005-0000-0000-00001F180000}"/>
    <cellStyle name="ItemTypeClass 5 3 4 10" xfId="12512" xr:uid="{00000000-0005-0000-0000-000020180000}"/>
    <cellStyle name="ItemTypeClass 5 3 4 11" xfId="12513" xr:uid="{00000000-0005-0000-0000-000021180000}"/>
    <cellStyle name="ItemTypeClass 5 3 4 12" xfId="12514" xr:uid="{00000000-0005-0000-0000-000022180000}"/>
    <cellStyle name="ItemTypeClass 5 3 4 2" xfId="12515" xr:uid="{00000000-0005-0000-0000-000023180000}"/>
    <cellStyle name="ItemTypeClass 5 3 4 2 2" xfId="12516" xr:uid="{00000000-0005-0000-0000-000024180000}"/>
    <cellStyle name="ItemTypeClass 5 3 4 2 3" xfId="12517" xr:uid="{00000000-0005-0000-0000-000025180000}"/>
    <cellStyle name="ItemTypeClass 5 3 4 2 4" xfId="12518" xr:uid="{00000000-0005-0000-0000-000026180000}"/>
    <cellStyle name="ItemTypeClass 5 3 4 2 5" xfId="12519" xr:uid="{00000000-0005-0000-0000-000027180000}"/>
    <cellStyle name="ItemTypeClass 5 3 4 3" xfId="12520" xr:uid="{00000000-0005-0000-0000-000028180000}"/>
    <cellStyle name="ItemTypeClass 5 3 4 3 2" xfId="12521" xr:uid="{00000000-0005-0000-0000-000029180000}"/>
    <cellStyle name="ItemTypeClass 5 3 4 3 3" xfId="12522" xr:uid="{00000000-0005-0000-0000-00002A180000}"/>
    <cellStyle name="ItemTypeClass 5 3 4 3 4" xfId="12523" xr:uid="{00000000-0005-0000-0000-00002B180000}"/>
    <cellStyle name="ItemTypeClass 5 3 4 3 5" xfId="12524" xr:uid="{00000000-0005-0000-0000-00002C180000}"/>
    <cellStyle name="ItemTypeClass 5 3 4 3 6" xfId="12525" xr:uid="{00000000-0005-0000-0000-00002D180000}"/>
    <cellStyle name="ItemTypeClass 5 3 4 4" xfId="12526" xr:uid="{00000000-0005-0000-0000-00002E180000}"/>
    <cellStyle name="ItemTypeClass 5 3 4 4 2" xfId="12527" xr:uid="{00000000-0005-0000-0000-00002F180000}"/>
    <cellStyle name="ItemTypeClass 5 3 4 4 3" xfId="12528" xr:uid="{00000000-0005-0000-0000-000030180000}"/>
    <cellStyle name="ItemTypeClass 5 3 4 4 4" xfId="12529" xr:uid="{00000000-0005-0000-0000-000031180000}"/>
    <cellStyle name="ItemTypeClass 5 3 4 4 5" xfId="12530" xr:uid="{00000000-0005-0000-0000-000032180000}"/>
    <cellStyle name="ItemTypeClass 5 3 4 4 6" xfId="12531" xr:uid="{00000000-0005-0000-0000-000033180000}"/>
    <cellStyle name="ItemTypeClass 5 3 4 5" xfId="12532" xr:uid="{00000000-0005-0000-0000-000034180000}"/>
    <cellStyle name="ItemTypeClass 5 3 4 6" xfId="12533" xr:uid="{00000000-0005-0000-0000-000035180000}"/>
    <cellStyle name="ItemTypeClass 5 3 4 7" xfId="12534" xr:uid="{00000000-0005-0000-0000-000036180000}"/>
    <cellStyle name="ItemTypeClass 5 3 4 8" xfId="12535" xr:uid="{00000000-0005-0000-0000-000037180000}"/>
    <cellStyle name="ItemTypeClass 5 3 4 9" xfId="12536" xr:uid="{00000000-0005-0000-0000-000038180000}"/>
    <cellStyle name="ItemTypeClass 5 3 5" xfId="12537" xr:uid="{00000000-0005-0000-0000-000039180000}"/>
    <cellStyle name="ItemTypeClass 5 3 5 2" xfId="12538" xr:uid="{00000000-0005-0000-0000-00003A180000}"/>
    <cellStyle name="ItemTypeClass 5 3 5 3" xfId="12539" xr:uid="{00000000-0005-0000-0000-00003B180000}"/>
    <cellStyle name="ItemTypeClass 5 3 5 4" xfId="12540" xr:uid="{00000000-0005-0000-0000-00003C180000}"/>
    <cellStyle name="ItemTypeClass 5 3 5 5" xfId="12541" xr:uid="{00000000-0005-0000-0000-00003D180000}"/>
    <cellStyle name="ItemTypeClass 5 3 6" xfId="12542" xr:uid="{00000000-0005-0000-0000-00003E180000}"/>
    <cellStyle name="ItemTypeClass 5 3 6 2" xfId="12543" xr:uid="{00000000-0005-0000-0000-00003F180000}"/>
    <cellStyle name="ItemTypeClass 5 3 6 3" xfId="12544" xr:uid="{00000000-0005-0000-0000-000040180000}"/>
    <cellStyle name="ItemTypeClass 5 3 6 4" xfId="12545" xr:uid="{00000000-0005-0000-0000-000041180000}"/>
    <cellStyle name="ItemTypeClass 5 3 6 5" xfId="12546" xr:uid="{00000000-0005-0000-0000-000042180000}"/>
    <cellStyle name="ItemTypeClass 5 3 6 6" xfId="12547" xr:uid="{00000000-0005-0000-0000-000043180000}"/>
    <cellStyle name="ItemTypeClass 5 3 7" xfId="12548" xr:uid="{00000000-0005-0000-0000-000044180000}"/>
    <cellStyle name="ItemTypeClass 5 3 7 2" xfId="12549" xr:uid="{00000000-0005-0000-0000-000045180000}"/>
    <cellStyle name="ItemTypeClass 5 3 7 3" xfId="12550" xr:uid="{00000000-0005-0000-0000-000046180000}"/>
    <cellStyle name="ItemTypeClass 5 3 7 4" xfId="12551" xr:uid="{00000000-0005-0000-0000-000047180000}"/>
    <cellStyle name="ItemTypeClass 5 3 7 5" xfId="12552" xr:uid="{00000000-0005-0000-0000-000048180000}"/>
    <cellStyle name="ItemTypeClass 5 3 7 6" xfId="12553" xr:uid="{00000000-0005-0000-0000-000049180000}"/>
    <cellStyle name="ItemTypeClass 5 3 8" xfId="12554" xr:uid="{00000000-0005-0000-0000-00004A180000}"/>
    <cellStyle name="ItemTypeClass 5 3 9" xfId="12555" xr:uid="{00000000-0005-0000-0000-00004B180000}"/>
    <cellStyle name="ItemTypeClass 5 4" xfId="12556" xr:uid="{00000000-0005-0000-0000-00004C180000}"/>
    <cellStyle name="ItemTypeClass 5 4 10" xfId="12557" xr:uid="{00000000-0005-0000-0000-00004D180000}"/>
    <cellStyle name="ItemTypeClass 5 4 11" xfId="12558" xr:uid="{00000000-0005-0000-0000-00004E180000}"/>
    <cellStyle name="ItemTypeClass 5 4 12" xfId="12559" xr:uid="{00000000-0005-0000-0000-00004F180000}"/>
    <cellStyle name="ItemTypeClass 5 4 2" xfId="12560" xr:uid="{00000000-0005-0000-0000-000050180000}"/>
    <cellStyle name="ItemTypeClass 5 4 2 2" xfId="12561" xr:uid="{00000000-0005-0000-0000-000051180000}"/>
    <cellStyle name="ItemTypeClass 5 4 2 3" xfId="12562" xr:uid="{00000000-0005-0000-0000-000052180000}"/>
    <cellStyle name="ItemTypeClass 5 4 2 4" xfId="12563" xr:uid="{00000000-0005-0000-0000-000053180000}"/>
    <cellStyle name="ItemTypeClass 5 4 2 5" xfId="12564" xr:uid="{00000000-0005-0000-0000-000054180000}"/>
    <cellStyle name="ItemTypeClass 5 4 3" xfId="12565" xr:uid="{00000000-0005-0000-0000-000055180000}"/>
    <cellStyle name="ItemTypeClass 5 4 3 2" xfId="12566" xr:uid="{00000000-0005-0000-0000-000056180000}"/>
    <cellStyle name="ItemTypeClass 5 4 3 3" xfId="12567" xr:uid="{00000000-0005-0000-0000-000057180000}"/>
    <cellStyle name="ItemTypeClass 5 4 3 4" xfId="12568" xr:uid="{00000000-0005-0000-0000-000058180000}"/>
    <cellStyle name="ItemTypeClass 5 4 3 5" xfId="12569" xr:uid="{00000000-0005-0000-0000-000059180000}"/>
    <cellStyle name="ItemTypeClass 5 4 3 6" xfId="12570" xr:uid="{00000000-0005-0000-0000-00005A180000}"/>
    <cellStyle name="ItemTypeClass 5 4 4" xfId="12571" xr:uid="{00000000-0005-0000-0000-00005B180000}"/>
    <cellStyle name="ItemTypeClass 5 4 4 2" xfId="12572" xr:uid="{00000000-0005-0000-0000-00005C180000}"/>
    <cellStyle name="ItemTypeClass 5 4 4 3" xfId="12573" xr:uid="{00000000-0005-0000-0000-00005D180000}"/>
    <cellStyle name="ItemTypeClass 5 4 4 4" xfId="12574" xr:uid="{00000000-0005-0000-0000-00005E180000}"/>
    <cellStyle name="ItemTypeClass 5 4 4 5" xfId="12575" xr:uid="{00000000-0005-0000-0000-00005F180000}"/>
    <cellStyle name="ItemTypeClass 5 4 4 6" xfId="12576" xr:uid="{00000000-0005-0000-0000-000060180000}"/>
    <cellStyle name="ItemTypeClass 5 4 5" xfId="12577" xr:uid="{00000000-0005-0000-0000-000061180000}"/>
    <cellStyle name="ItemTypeClass 5 4 6" xfId="12578" xr:uid="{00000000-0005-0000-0000-000062180000}"/>
    <cellStyle name="ItemTypeClass 5 4 7" xfId="12579" xr:uid="{00000000-0005-0000-0000-000063180000}"/>
    <cellStyle name="ItemTypeClass 5 4 8" xfId="12580" xr:uid="{00000000-0005-0000-0000-000064180000}"/>
    <cellStyle name="ItemTypeClass 5 4 9" xfId="12581" xr:uid="{00000000-0005-0000-0000-000065180000}"/>
    <cellStyle name="ItemTypeClass 5 5" xfId="12582" xr:uid="{00000000-0005-0000-0000-000066180000}"/>
    <cellStyle name="ItemTypeClass 5 5 10" xfId="12583" xr:uid="{00000000-0005-0000-0000-000067180000}"/>
    <cellStyle name="ItemTypeClass 5 5 11" xfId="12584" xr:uid="{00000000-0005-0000-0000-000068180000}"/>
    <cellStyle name="ItemTypeClass 5 5 12" xfId="12585" xr:uid="{00000000-0005-0000-0000-000069180000}"/>
    <cellStyle name="ItemTypeClass 5 5 2" xfId="12586" xr:uid="{00000000-0005-0000-0000-00006A180000}"/>
    <cellStyle name="ItemTypeClass 5 5 2 2" xfId="12587" xr:uid="{00000000-0005-0000-0000-00006B180000}"/>
    <cellStyle name="ItemTypeClass 5 5 2 3" xfId="12588" xr:uid="{00000000-0005-0000-0000-00006C180000}"/>
    <cellStyle name="ItemTypeClass 5 5 2 4" xfId="12589" xr:uid="{00000000-0005-0000-0000-00006D180000}"/>
    <cellStyle name="ItemTypeClass 5 5 2 5" xfId="12590" xr:uid="{00000000-0005-0000-0000-00006E180000}"/>
    <cellStyle name="ItemTypeClass 5 5 3" xfId="12591" xr:uid="{00000000-0005-0000-0000-00006F180000}"/>
    <cellStyle name="ItemTypeClass 5 5 3 2" xfId="12592" xr:uid="{00000000-0005-0000-0000-000070180000}"/>
    <cellStyle name="ItemTypeClass 5 5 3 3" xfId="12593" xr:uid="{00000000-0005-0000-0000-000071180000}"/>
    <cellStyle name="ItemTypeClass 5 5 3 4" xfId="12594" xr:uid="{00000000-0005-0000-0000-000072180000}"/>
    <cellStyle name="ItemTypeClass 5 5 3 5" xfId="12595" xr:uid="{00000000-0005-0000-0000-000073180000}"/>
    <cellStyle name="ItemTypeClass 5 5 3 6" xfId="12596" xr:uid="{00000000-0005-0000-0000-000074180000}"/>
    <cellStyle name="ItemTypeClass 5 5 4" xfId="12597" xr:uid="{00000000-0005-0000-0000-000075180000}"/>
    <cellStyle name="ItemTypeClass 5 5 4 2" xfId="12598" xr:uid="{00000000-0005-0000-0000-000076180000}"/>
    <cellStyle name="ItemTypeClass 5 5 4 3" xfId="12599" xr:uid="{00000000-0005-0000-0000-000077180000}"/>
    <cellStyle name="ItemTypeClass 5 5 4 4" xfId="12600" xr:uid="{00000000-0005-0000-0000-000078180000}"/>
    <cellStyle name="ItemTypeClass 5 5 4 5" xfId="12601" xr:uid="{00000000-0005-0000-0000-000079180000}"/>
    <cellStyle name="ItemTypeClass 5 5 4 6" xfId="12602" xr:uid="{00000000-0005-0000-0000-00007A180000}"/>
    <cellStyle name="ItemTypeClass 5 5 5" xfId="12603" xr:uid="{00000000-0005-0000-0000-00007B180000}"/>
    <cellStyle name="ItemTypeClass 5 5 6" xfId="12604" xr:uid="{00000000-0005-0000-0000-00007C180000}"/>
    <cellStyle name="ItemTypeClass 5 5 7" xfId="12605" xr:uid="{00000000-0005-0000-0000-00007D180000}"/>
    <cellStyle name="ItemTypeClass 5 5 8" xfId="12606" xr:uid="{00000000-0005-0000-0000-00007E180000}"/>
    <cellStyle name="ItemTypeClass 5 5 9" xfId="12607" xr:uid="{00000000-0005-0000-0000-00007F180000}"/>
    <cellStyle name="ItemTypeClass 5 6" xfId="12608" xr:uid="{00000000-0005-0000-0000-000080180000}"/>
    <cellStyle name="ItemTypeClass 5 6 10" xfId="12609" xr:uid="{00000000-0005-0000-0000-000081180000}"/>
    <cellStyle name="ItemTypeClass 5 6 11" xfId="12610" xr:uid="{00000000-0005-0000-0000-000082180000}"/>
    <cellStyle name="ItemTypeClass 5 6 12" xfId="12611" xr:uid="{00000000-0005-0000-0000-000083180000}"/>
    <cellStyle name="ItemTypeClass 5 6 2" xfId="12612" xr:uid="{00000000-0005-0000-0000-000084180000}"/>
    <cellStyle name="ItemTypeClass 5 6 2 2" xfId="12613" xr:uid="{00000000-0005-0000-0000-000085180000}"/>
    <cellStyle name="ItemTypeClass 5 6 2 3" xfId="12614" xr:uid="{00000000-0005-0000-0000-000086180000}"/>
    <cellStyle name="ItemTypeClass 5 6 2 4" xfId="12615" xr:uid="{00000000-0005-0000-0000-000087180000}"/>
    <cellStyle name="ItemTypeClass 5 6 2 5" xfId="12616" xr:uid="{00000000-0005-0000-0000-000088180000}"/>
    <cellStyle name="ItemTypeClass 5 6 3" xfId="12617" xr:uid="{00000000-0005-0000-0000-000089180000}"/>
    <cellStyle name="ItemTypeClass 5 6 3 2" xfId="12618" xr:uid="{00000000-0005-0000-0000-00008A180000}"/>
    <cellStyle name="ItemTypeClass 5 6 3 3" xfId="12619" xr:uid="{00000000-0005-0000-0000-00008B180000}"/>
    <cellStyle name="ItemTypeClass 5 6 3 4" xfId="12620" xr:uid="{00000000-0005-0000-0000-00008C180000}"/>
    <cellStyle name="ItemTypeClass 5 6 3 5" xfId="12621" xr:uid="{00000000-0005-0000-0000-00008D180000}"/>
    <cellStyle name="ItemTypeClass 5 6 3 6" xfId="12622" xr:uid="{00000000-0005-0000-0000-00008E180000}"/>
    <cellStyle name="ItemTypeClass 5 6 4" xfId="12623" xr:uid="{00000000-0005-0000-0000-00008F180000}"/>
    <cellStyle name="ItemTypeClass 5 6 4 2" xfId="12624" xr:uid="{00000000-0005-0000-0000-000090180000}"/>
    <cellStyle name="ItemTypeClass 5 6 4 3" xfId="12625" xr:uid="{00000000-0005-0000-0000-000091180000}"/>
    <cellStyle name="ItemTypeClass 5 6 4 4" xfId="12626" xr:uid="{00000000-0005-0000-0000-000092180000}"/>
    <cellStyle name="ItemTypeClass 5 6 4 5" xfId="12627" xr:uid="{00000000-0005-0000-0000-000093180000}"/>
    <cellStyle name="ItemTypeClass 5 6 4 6" xfId="12628" xr:uid="{00000000-0005-0000-0000-000094180000}"/>
    <cellStyle name="ItemTypeClass 5 6 5" xfId="12629" xr:uid="{00000000-0005-0000-0000-000095180000}"/>
    <cellStyle name="ItemTypeClass 5 6 6" xfId="12630" xr:uid="{00000000-0005-0000-0000-000096180000}"/>
    <cellStyle name="ItemTypeClass 5 6 7" xfId="12631" xr:uid="{00000000-0005-0000-0000-000097180000}"/>
    <cellStyle name="ItemTypeClass 5 6 8" xfId="12632" xr:uid="{00000000-0005-0000-0000-000098180000}"/>
    <cellStyle name="ItemTypeClass 5 6 9" xfId="12633" xr:uid="{00000000-0005-0000-0000-000099180000}"/>
    <cellStyle name="ItemTypeClass 5 7" xfId="12634" xr:uid="{00000000-0005-0000-0000-00009A180000}"/>
    <cellStyle name="ItemTypeClass 5 7 2" xfId="12635" xr:uid="{00000000-0005-0000-0000-00009B180000}"/>
    <cellStyle name="ItemTypeClass 5 7 3" xfId="12636" xr:uid="{00000000-0005-0000-0000-00009C180000}"/>
    <cellStyle name="ItemTypeClass 5 7 4" xfId="12637" xr:uid="{00000000-0005-0000-0000-00009D180000}"/>
    <cellStyle name="ItemTypeClass 5 7 5" xfId="12638" xr:uid="{00000000-0005-0000-0000-00009E180000}"/>
    <cellStyle name="ItemTypeClass 5 8" xfId="12639" xr:uid="{00000000-0005-0000-0000-00009F180000}"/>
    <cellStyle name="ItemTypeClass 5 8 2" xfId="12640" xr:uid="{00000000-0005-0000-0000-0000A0180000}"/>
    <cellStyle name="ItemTypeClass 5 8 3" xfId="12641" xr:uid="{00000000-0005-0000-0000-0000A1180000}"/>
    <cellStyle name="ItemTypeClass 5 8 4" xfId="12642" xr:uid="{00000000-0005-0000-0000-0000A2180000}"/>
    <cellStyle name="ItemTypeClass 5 8 5" xfId="12643" xr:uid="{00000000-0005-0000-0000-0000A3180000}"/>
    <cellStyle name="ItemTypeClass 5 8 6" xfId="12644" xr:uid="{00000000-0005-0000-0000-0000A4180000}"/>
    <cellStyle name="ItemTypeClass 5 9" xfId="12645" xr:uid="{00000000-0005-0000-0000-0000A5180000}"/>
    <cellStyle name="ItemTypeClass 5 9 2" xfId="12646" xr:uid="{00000000-0005-0000-0000-0000A6180000}"/>
    <cellStyle name="ItemTypeClass 5 9 3" xfId="12647" xr:uid="{00000000-0005-0000-0000-0000A7180000}"/>
    <cellStyle name="ItemTypeClass 5 9 4" xfId="12648" xr:uid="{00000000-0005-0000-0000-0000A8180000}"/>
    <cellStyle name="ItemTypeClass 5 9 5" xfId="12649" xr:uid="{00000000-0005-0000-0000-0000A9180000}"/>
    <cellStyle name="ItemTypeClass 5 9 6" xfId="12650" xr:uid="{00000000-0005-0000-0000-0000AA180000}"/>
    <cellStyle name="ItemTypeClass 6" xfId="12651" xr:uid="{00000000-0005-0000-0000-0000AB180000}"/>
    <cellStyle name="ItemTypeClass 6 10" xfId="12652" xr:uid="{00000000-0005-0000-0000-0000AC180000}"/>
    <cellStyle name="ItemTypeClass 6 11" xfId="12653" xr:uid="{00000000-0005-0000-0000-0000AD180000}"/>
    <cellStyle name="ItemTypeClass 6 12" xfId="12654" xr:uid="{00000000-0005-0000-0000-0000AE180000}"/>
    <cellStyle name="ItemTypeClass 6 13" xfId="12655" xr:uid="{00000000-0005-0000-0000-0000AF180000}"/>
    <cellStyle name="ItemTypeClass 6 14" xfId="12656" xr:uid="{00000000-0005-0000-0000-0000B0180000}"/>
    <cellStyle name="ItemTypeClass 6 15" xfId="12657" xr:uid="{00000000-0005-0000-0000-0000B1180000}"/>
    <cellStyle name="ItemTypeClass 6 2" xfId="12658" xr:uid="{00000000-0005-0000-0000-0000B2180000}"/>
    <cellStyle name="ItemTypeClass 6 2 10" xfId="12659" xr:uid="{00000000-0005-0000-0000-0000B3180000}"/>
    <cellStyle name="ItemTypeClass 6 2 11" xfId="12660" xr:uid="{00000000-0005-0000-0000-0000B4180000}"/>
    <cellStyle name="ItemTypeClass 6 2 12" xfId="12661" xr:uid="{00000000-0005-0000-0000-0000B5180000}"/>
    <cellStyle name="ItemTypeClass 6 2 2" xfId="12662" xr:uid="{00000000-0005-0000-0000-0000B6180000}"/>
    <cellStyle name="ItemTypeClass 6 2 2 2" xfId="12663" xr:uid="{00000000-0005-0000-0000-0000B7180000}"/>
    <cellStyle name="ItemTypeClass 6 2 2 3" xfId="12664" xr:uid="{00000000-0005-0000-0000-0000B8180000}"/>
    <cellStyle name="ItemTypeClass 6 2 2 4" xfId="12665" xr:uid="{00000000-0005-0000-0000-0000B9180000}"/>
    <cellStyle name="ItemTypeClass 6 2 2 5" xfId="12666" xr:uid="{00000000-0005-0000-0000-0000BA180000}"/>
    <cellStyle name="ItemTypeClass 6 2 3" xfId="12667" xr:uid="{00000000-0005-0000-0000-0000BB180000}"/>
    <cellStyle name="ItemTypeClass 6 2 3 2" xfId="12668" xr:uid="{00000000-0005-0000-0000-0000BC180000}"/>
    <cellStyle name="ItemTypeClass 6 2 3 3" xfId="12669" xr:uid="{00000000-0005-0000-0000-0000BD180000}"/>
    <cellStyle name="ItemTypeClass 6 2 3 4" xfId="12670" xr:uid="{00000000-0005-0000-0000-0000BE180000}"/>
    <cellStyle name="ItemTypeClass 6 2 3 5" xfId="12671" xr:uid="{00000000-0005-0000-0000-0000BF180000}"/>
    <cellStyle name="ItemTypeClass 6 2 3 6" xfId="12672" xr:uid="{00000000-0005-0000-0000-0000C0180000}"/>
    <cellStyle name="ItemTypeClass 6 2 4" xfId="12673" xr:uid="{00000000-0005-0000-0000-0000C1180000}"/>
    <cellStyle name="ItemTypeClass 6 2 4 2" xfId="12674" xr:uid="{00000000-0005-0000-0000-0000C2180000}"/>
    <cellStyle name="ItemTypeClass 6 2 4 3" xfId="12675" xr:uid="{00000000-0005-0000-0000-0000C3180000}"/>
    <cellStyle name="ItemTypeClass 6 2 4 4" xfId="12676" xr:uid="{00000000-0005-0000-0000-0000C4180000}"/>
    <cellStyle name="ItemTypeClass 6 2 4 5" xfId="12677" xr:uid="{00000000-0005-0000-0000-0000C5180000}"/>
    <cellStyle name="ItemTypeClass 6 2 4 6" xfId="12678" xr:uid="{00000000-0005-0000-0000-0000C6180000}"/>
    <cellStyle name="ItemTypeClass 6 2 5" xfId="12679" xr:uid="{00000000-0005-0000-0000-0000C7180000}"/>
    <cellStyle name="ItemTypeClass 6 2 6" xfId="12680" xr:uid="{00000000-0005-0000-0000-0000C8180000}"/>
    <cellStyle name="ItemTypeClass 6 2 7" xfId="12681" xr:uid="{00000000-0005-0000-0000-0000C9180000}"/>
    <cellStyle name="ItemTypeClass 6 2 8" xfId="12682" xr:uid="{00000000-0005-0000-0000-0000CA180000}"/>
    <cellStyle name="ItemTypeClass 6 2 9" xfId="12683" xr:uid="{00000000-0005-0000-0000-0000CB180000}"/>
    <cellStyle name="ItemTypeClass 6 3" xfId="12684" xr:uid="{00000000-0005-0000-0000-0000CC180000}"/>
    <cellStyle name="ItemTypeClass 6 3 10" xfId="12685" xr:uid="{00000000-0005-0000-0000-0000CD180000}"/>
    <cellStyle name="ItemTypeClass 6 3 11" xfId="12686" xr:uid="{00000000-0005-0000-0000-0000CE180000}"/>
    <cellStyle name="ItemTypeClass 6 3 12" xfId="12687" xr:uid="{00000000-0005-0000-0000-0000CF180000}"/>
    <cellStyle name="ItemTypeClass 6 3 2" xfId="12688" xr:uid="{00000000-0005-0000-0000-0000D0180000}"/>
    <cellStyle name="ItemTypeClass 6 3 2 2" xfId="12689" xr:uid="{00000000-0005-0000-0000-0000D1180000}"/>
    <cellStyle name="ItemTypeClass 6 3 2 3" xfId="12690" xr:uid="{00000000-0005-0000-0000-0000D2180000}"/>
    <cellStyle name="ItemTypeClass 6 3 2 4" xfId="12691" xr:uid="{00000000-0005-0000-0000-0000D3180000}"/>
    <cellStyle name="ItemTypeClass 6 3 2 5" xfId="12692" xr:uid="{00000000-0005-0000-0000-0000D4180000}"/>
    <cellStyle name="ItemTypeClass 6 3 3" xfId="12693" xr:uid="{00000000-0005-0000-0000-0000D5180000}"/>
    <cellStyle name="ItemTypeClass 6 3 3 2" xfId="12694" xr:uid="{00000000-0005-0000-0000-0000D6180000}"/>
    <cellStyle name="ItemTypeClass 6 3 3 3" xfId="12695" xr:uid="{00000000-0005-0000-0000-0000D7180000}"/>
    <cellStyle name="ItemTypeClass 6 3 3 4" xfId="12696" xr:uid="{00000000-0005-0000-0000-0000D8180000}"/>
    <cellStyle name="ItemTypeClass 6 3 3 5" xfId="12697" xr:uid="{00000000-0005-0000-0000-0000D9180000}"/>
    <cellStyle name="ItemTypeClass 6 3 3 6" xfId="12698" xr:uid="{00000000-0005-0000-0000-0000DA180000}"/>
    <cellStyle name="ItemTypeClass 6 3 4" xfId="12699" xr:uid="{00000000-0005-0000-0000-0000DB180000}"/>
    <cellStyle name="ItemTypeClass 6 3 4 2" xfId="12700" xr:uid="{00000000-0005-0000-0000-0000DC180000}"/>
    <cellStyle name="ItemTypeClass 6 3 4 3" xfId="12701" xr:uid="{00000000-0005-0000-0000-0000DD180000}"/>
    <cellStyle name="ItemTypeClass 6 3 4 4" xfId="12702" xr:uid="{00000000-0005-0000-0000-0000DE180000}"/>
    <cellStyle name="ItemTypeClass 6 3 4 5" xfId="12703" xr:uid="{00000000-0005-0000-0000-0000DF180000}"/>
    <cellStyle name="ItemTypeClass 6 3 4 6" xfId="12704" xr:uid="{00000000-0005-0000-0000-0000E0180000}"/>
    <cellStyle name="ItemTypeClass 6 3 5" xfId="12705" xr:uid="{00000000-0005-0000-0000-0000E1180000}"/>
    <cellStyle name="ItemTypeClass 6 3 6" xfId="12706" xr:uid="{00000000-0005-0000-0000-0000E2180000}"/>
    <cellStyle name="ItemTypeClass 6 3 7" xfId="12707" xr:uid="{00000000-0005-0000-0000-0000E3180000}"/>
    <cellStyle name="ItemTypeClass 6 3 8" xfId="12708" xr:uid="{00000000-0005-0000-0000-0000E4180000}"/>
    <cellStyle name="ItemTypeClass 6 3 9" xfId="12709" xr:uid="{00000000-0005-0000-0000-0000E5180000}"/>
    <cellStyle name="ItemTypeClass 6 4" xfId="12710" xr:uid="{00000000-0005-0000-0000-0000E6180000}"/>
    <cellStyle name="ItemTypeClass 6 4 10" xfId="12711" xr:uid="{00000000-0005-0000-0000-0000E7180000}"/>
    <cellStyle name="ItemTypeClass 6 4 11" xfId="12712" xr:uid="{00000000-0005-0000-0000-0000E8180000}"/>
    <cellStyle name="ItemTypeClass 6 4 12" xfId="12713" xr:uid="{00000000-0005-0000-0000-0000E9180000}"/>
    <cellStyle name="ItemTypeClass 6 4 2" xfId="12714" xr:uid="{00000000-0005-0000-0000-0000EA180000}"/>
    <cellStyle name="ItemTypeClass 6 4 2 2" xfId="12715" xr:uid="{00000000-0005-0000-0000-0000EB180000}"/>
    <cellStyle name="ItemTypeClass 6 4 2 3" xfId="12716" xr:uid="{00000000-0005-0000-0000-0000EC180000}"/>
    <cellStyle name="ItemTypeClass 6 4 2 4" xfId="12717" xr:uid="{00000000-0005-0000-0000-0000ED180000}"/>
    <cellStyle name="ItemTypeClass 6 4 2 5" xfId="12718" xr:uid="{00000000-0005-0000-0000-0000EE180000}"/>
    <cellStyle name="ItemTypeClass 6 4 3" xfId="12719" xr:uid="{00000000-0005-0000-0000-0000EF180000}"/>
    <cellStyle name="ItemTypeClass 6 4 3 2" xfId="12720" xr:uid="{00000000-0005-0000-0000-0000F0180000}"/>
    <cellStyle name="ItemTypeClass 6 4 3 3" xfId="12721" xr:uid="{00000000-0005-0000-0000-0000F1180000}"/>
    <cellStyle name="ItemTypeClass 6 4 3 4" xfId="12722" xr:uid="{00000000-0005-0000-0000-0000F2180000}"/>
    <cellStyle name="ItemTypeClass 6 4 3 5" xfId="12723" xr:uid="{00000000-0005-0000-0000-0000F3180000}"/>
    <cellStyle name="ItemTypeClass 6 4 3 6" xfId="12724" xr:uid="{00000000-0005-0000-0000-0000F4180000}"/>
    <cellStyle name="ItemTypeClass 6 4 4" xfId="12725" xr:uid="{00000000-0005-0000-0000-0000F5180000}"/>
    <cellStyle name="ItemTypeClass 6 4 4 2" xfId="12726" xr:uid="{00000000-0005-0000-0000-0000F6180000}"/>
    <cellStyle name="ItemTypeClass 6 4 4 3" xfId="12727" xr:uid="{00000000-0005-0000-0000-0000F7180000}"/>
    <cellStyle name="ItemTypeClass 6 4 4 4" xfId="12728" xr:uid="{00000000-0005-0000-0000-0000F8180000}"/>
    <cellStyle name="ItemTypeClass 6 4 4 5" xfId="12729" xr:uid="{00000000-0005-0000-0000-0000F9180000}"/>
    <cellStyle name="ItemTypeClass 6 4 4 6" xfId="12730" xr:uid="{00000000-0005-0000-0000-0000FA180000}"/>
    <cellStyle name="ItemTypeClass 6 4 5" xfId="12731" xr:uid="{00000000-0005-0000-0000-0000FB180000}"/>
    <cellStyle name="ItemTypeClass 6 4 6" xfId="12732" xr:uid="{00000000-0005-0000-0000-0000FC180000}"/>
    <cellStyle name="ItemTypeClass 6 4 7" xfId="12733" xr:uid="{00000000-0005-0000-0000-0000FD180000}"/>
    <cellStyle name="ItemTypeClass 6 4 8" xfId="12734" xr:uid="{00000000-0005-0000-0000-0000FE180000}"/>
    <cellStyle name="ItemTypeClass 6 4 9" xfId="12735" xr:uid="{00000000-0005-0000-0000-0000FF180000}"/>
    <cellStyle name="ItemTypeClass 6 5" xfId="12736" xr:uid="{00000000-0005-0000-0000-000000190000}"/>
    <cellStyle name="ItemTypeClass 6 5 2" xfId="12737" xr:uid="{00000000-0005-0000-0000-000001190000}"/>
    <cellStyle name="ItemTypeClass 6 5 3" xfId="12738" xr:uid="{00000000-0005-0000-0000-000002190000}"/>
    <cellStyle name="ItemTypeClass 6 5 4" xfId="12739" xr:uid="{00000000-0005-0000-0000-000003190000}"/>
    <cellStyle name="ItemTypeClass 6 5 5" xfId="12740" xr:uid="{00000000-0005-0000-0000-000004190000}"/>
    <cellStyle name="ItemTypeClass 6 6" xfId="12741" xr:uid="{00000000-0005-0000-0000-000005190000}"/>
    <cellStyle name="ItemTypeClass 6 6 2" xfId="12742" xr:uid="{00000000-0005-0000-0000-000006190000}"/>
    <cellStyle name="ItemTypeClass 6 6 3" xfId="12743" xr:uid="{00000000-0005-0000-0000-000007190000}"/>
    <cellStyle name="ItemTypeClass 6 6 4" xfId="12744" xr:uid="{00000000-0005-0000-0000-000008190000}"/>
    <cellStyle name="ItemTypeClass 6 6 5" xfId="12745" xr:uid="{00000000-0005-0000-0000-000009190000}"/>
    <cellStyle name="ItemTypeClass 6 6 6" xfId="12746" xr:uid="{00000000-0005-0000-0000-00000A190000}"/>
    <cellStyle name="ItemTypeClass 6 7" xfId="12747" xr:uid="{00000000-0005-0000-0000-00000B190000}"/>
    <cellStyle name="ItemTypeClass 6 7 2" xfId="12748" xr:uid="{00000000-0005-0000-0000-00000C190000}"/>
    <cellStyle name="ItemTypeClass 6 7 3" xfId="12749" xr:uid="{00000000-0005-0000-0000-00000D190000}"/>
    <cellStyle name="ItemTypeClass 6 7 4" xfId="12750" xr:uid="{00000000-0005-0000-0000-00000E190000}"/>
    <cellStyle name="ItemTypeClass 6 7 5" xfId="12751" xr:uid="{00000000-0005-0000-0000-00000F190000}"/>
    <cellStyle name="ItemTypeClass 6 7 6" xfId="12752" xr:uid="{00000000-0005-0000-0000-000010190000}"/>
    <cellStyle name="ItemTypeClass 6 8" xfId="12753" xr:uid="{00000000-0005-0000-0000-000011190000}"/>
    <cellStyle name="ItemTypeClass 6 9" xfId="12754" xr:uid="{00000000-0005-0000-0000-000012190000}"/>
    <cellStyle name="ItemTypeClass 7" xfId="12755" xr:uid="{00000000-0005-0000-0000-000013190000}"/>
    <cellStyle name="ItemTypeClass 7 10" xfId="12756" xr:uid="{00000000-0005-0000-0000-000014190000}"/>
    <cellStyle name="ItemTypeClass 7 11" xfId="12757" xr:uid="{00000000-0005-0000-0000-000015190000}"/>
    <cellStyle name="ItemTypeClass 7 12" xfId="12758" xr:uid="{00000000-0005-0000-0000-000016190000}"/>
    <cellStyle name="ItemTypeClass 7 2" xfId="12759" xr:uid="{00000000-0005-0000-0000-000017190000}"/>
    <cellStyle name="ItemTypeClass 7 2 2" xfId="12760" xr:uid="{00000000-0005-0000-0000-000018190000}"/>
    <cellStyle name="ItemTypeClass 7 2 3" xfId="12761" xr:uid="{00000000-0005-0000-0000-000019190000}"/>
    <cellStyle name="ItemTypeClass 7 2 4" xfId="12762" xr:uid="{00000000-0005-0000-0000-00001A190000}"/>
    <cellStyle name="ItemTypeClass 7 2 5" xfId="12763" xr:uid="{00000000-0005-0000-0000-00001B190000}"/>
    <cellStyle name="ItemTypeClass 7 3" xfId="12764" xr:uid="{00000000-0005-0000-0000-00001C190000}"/>
    <cellStyle name="ItemTypeClass 7 3 2" xfId="12765" xr:uid="{00000000-0005-0000-0000-00001D190000}"/>
    <cellStyle name="ItemTypeClass 7 3 3" xfId="12766" xr:uid="{00000000-0005-0000-0000-00001E190000}"/>
    <cellStyle name="ItemTypeClass 7 3 4" xfId="12767" xr:uid="{00000000-0005-0000-0000-00001F190000}"/>
    <cellStyle name="ItemTypeClass 7 3 5" xfId="12768" xr:uid="{00000000-0005-0000-0000-000020190000}"/>
    <cellStyle name="ItemTypeClass 7 3 6" xfId="12769" xr:uid="{00000000-0005-0000-0000-000021190000}"/>
    <cellStyle name="ItemTypeClass 7 4" xfId="12770" xr:uid="{00000000-0005-0000-0000-000022190000}"/>
    <cellStyle name="ItemTypeClass 7 4 2" xfId="12771" xr:uid="{00000000-0005-0000-0000-000023190000}"/>
    <cellStyle name="ItemTypeClass 7 4 3" xfId="12772" xr:uid="{00000000-0005-0000-0000-000024190000}"/>
    <cellStyle name="ItemTypeClass 7 4 4" xfId="12773" xr:uid="{00000000-0005-0000-0000-000025190000}"/>
    <cellStyle name="ItemTypeClass 7 4 5" xfId="12774" xr:uid="{00000000-0005-0000-0000-000026190000}"/>
    <cellStyle name="ItemTypeClass 7 4 6" xfId="12775" xr:uid="{00000000-0005-0000-0000-000027190000}"/>
    <cellStyle name="ItemTypeClass 7 5" xfId="12776" xr:uid="{00000000-0005-0000-0000-000028190000}"/>
    <cellStyle name="ItemTypeClass 7 6" xfId="12777" xr:uid="{00000000-0005-0000-0000-000029190000}"/>
    <cellStyle name="ItemTypeClass 7 7" xfId="12778" xr:uid="{00000000-0005-0000-0000-00002A190000}"/>
    <cellStyle name="ItemTypeClass 7 8" xfId="12779" xr:uid="{00000000-0005-0000-0000-00002B190000}"/>
    <cellStyle name="ItemTypeClass 7 9" xfId="12780" xr:uid="{00000000-0005-0000-0000-00002C190000}"/>
    <cellStyle name="ItemTypeClass 8" xfId="12781" xr:uid="{00000000-0005-0000-0000-00002D190000}"/>
    <cellStyle name="ItemTypeClass 8 2" xfId="12782" xr:uid="{00000000-0005-0000-0000-00002E190000}"/>
    <cellStyle name="ItemTypeClass 8 3" xfId="12783" xr:uid="{00000000-0005-0000-0000-00002F190000}"/>
    <cellStyle name="ItemTypeClass 8 4" xfId="12784" xr:uid="{00000000-0005-0000-0000-000030190000}"/>
    <cellStyle name="ItemTypeClass 8 5" xfId="12785" xr:uid="{00000000-0005-0000-0000-000031190000}"/>
    <cellStyle name="ItemTypeClass 8 6" xfId="12786" xr:uid="{00000000-0005-0000-0000-000032190000}"/>
    <cellStyle name="ItemTypeClass 9" xfId="12787" xr:uid="{00000000-0005-0000-0000-000033190000}"/>
    <cellStyle name="ItemTypeClass 9 2" xfId="12788" xr:uid="{00000000-0005-0000-0000-000034190000}"/>
    <cellStyle name="ItemTypeClass 9 3" xfId="12789" xr:uid="{00000000-0005-0000-0000-000035190000}"/>
    <cellStyle name="ItemTypeClass 9 4" xfId="12790" xr:uid="{00000000-0005-0000-0000-000036190000}"/>
    <cellStyle name="ItemTypeClass 9 5" xfId="12791" xr:uid="{00000000-0005-0000-0000-000037190000}"/>
    <cellStyle name="ItemTypeClass 9 6" xfId="12792" xr:uid="{00000000-0005-0000-0000-000038190000}"/>
    <cellStyle name="JMcMakinen Generation" xfId="12793" xr:uid="{00000000-0005-0000-0000-000039190000}"/>
    <cellStyle name="John" xfId="12794" xr:uid="{00000000-0005-0000-0000-00003A190000}"/>
    <cellStyle name="jon" xfId="12795" xr:uid="{00000000-0005-0000-0000-00003B190000}"/>
    <cellStyle name="Länkinm" xfId="12796" xr:uid="{00000000-0005-0000-0000-00003C190000}"/>
    <cellStyle name="Lien hypertexte" xfId="12797" xr:uid="{00000000-0005-0000-0000-00003D190000}"/>
    <cellStyle name="Lien hypertexte 2" xfId="12798" xr:uid="{00000000-0005-0000-0000-00003E190000}"/>
    <cellStyle name="Lien hypertexte 3" xfId="12799" xr:uid="{00000000-0005-0000-0000-00003F190000}"/>
    <cellStyle name="Lien hypertexte 4" xfId="12800" xr:uid="{00000000-0005-0000-0000-000040190000}"/>
    <cellStyle name="Lien hypertexte visité" xfId="12801" xr:uid="{00000000-0005-0000-0000-000041190000}"/>
    <cellStyle name="Lien hypertexte visité 2" xfId="12802" xr:uid="{00000000-0005-0000-0000-000042190000}"/>
    <cellStyle name="Lien hypertexte visité 3" xfId="12803" xr:uid="{00000000-0005-0000-0000-000043190000}"/>
    <cellStyle name="Lien hypertexte visité 4" xfId="12804" xr:uid="{00000000-0005-0000-0000-000044190000}"/>
    <cellStyle name="Lien hypertexte_2004 Pack - Beijing" xfId="12805" xr:uid="{00000000-0005-0000-0000-000045190000}"/>
    <cellStyle name="Line Item" xfId="12806" xr:uid="{00000000-0005-0000-0000-000046190000}"/>
    <cellStyle name="Line Item 2" xfId="12807" xr:uid="{00000000-0005-0000-0000-000047190000}"/>
    <cellStyle name="Line Item Input" xfId="12808" xr:uid="{00000000-0005-0000-0000-000048190000}"/>
    <cellStyle name="Line Item Input 2" xfId="12809" xr:uid="{00000000-0005-0000-0000-000049190000}"/>
    <cellStyle name="Link Currency (0)" xfId="12810" xr:uid="{00000000-0005-0000-0000-00004A190000}"/>
    <cellStyle name="Link Currency (2)" xfId="12811" xr:uid="{00000000-0005-0000-0000-00004B190000}"/>
    <cellStyle name="Link Units (0)" xfId="12812" xr:uid="{00000000-0005-0000-0000-00004C190000}"/>
    <cellStyle name="Link Units (1)" xfId="12813" xr:uid="{00000000-0005-0000-0000-00004D190000}"/>
    <cellStyle name="Link Units (2)" xfId="12814" xr:uid="{00000000-0005-0000-0000-00004E190000}"/>
    <cellStyle name="Linked Cell 2" xfId="577" xr:uid="{00000000-0005-0000-0000-00004F190000}"/>
    <cellStyle name="Linked Cell 2 2" xfId="578" xr:uid="{00000000-0005-0000-0000-000050190000}"/>
    <cellStyle name="Linked Cell 3" xfId="579" xr:uid="{00000000-0005-0000-0000-000051190000}"/>
    <cellStyle name="Linked Cell 3 2" xfId="580" xr:uid="{00000000-0005-0000-0000-000052190000}"/>
    <cellStyle name="Linked Cells" xfId="12815" xr:uid="{00000000-0005-0000-0000-000053190000}"/>
    <cellStyle name="Linked Cells 2" xfId="12816" xr:uid="{00000000-0005-0000-0000-000054190000}"/>
    <cellStyle name="Margin" xfId="12817" xr:uid="{00000000-0005-0000-0000-000055190000}"/>
    <cellStyle name="Migliaia (0)_DTI" xfId="12818" xr:uid="{00000000-0005-0000-0000-000056190000}"/>
    <cellStyle name="Millares [0] 2" xfId="12819" xr:uid="{00000000-0005-0000-0000-000057190000}"/>
    <cellStyle name="Millares 10" xfId="12820" xr:uid="{00000000-0005-0000-0000-000058190000}"/>
    <cellStyle name="Millares 11" xfId="12821" xr:uid="{00000000-0005-0000-0000-000059190000}"/>
    <cellStyle name="Millares 12" xfId="12822" xr:uid="{00000000-0005-0000-0000-00005A190000}"/>
    <cellStyle name="Millares 12 2" xfId="12823" xr:uid="{00000000-0005-0000-0000-00005B190000}"/>
    <cellStyle name="Millares 13" xfId="12824" xr:uid="{00000000-0005-0000-0000-00005C190000}"/>
    <cellStyle name="Millares 13 2" xfId="12825" xr:uid="{00000000-0005-0000-0000-00005D190000}"/>
    <cellStyle name="Millares 14" xfId="12826" xr:uid="{00000000-0005-0000-0000-00005E190000}"/>
    <cellStyle name="Millares 14 2" xfId="12827" xr:uid="{00000000-0005-0000-0000-00005F190000}"/>
    <cellStyle name="Millares 15" xfId="12828" xr:uid="{00000000-0005-0000-0000-000060190000}"/>
    <cellStyle name="Millares 15 2" xfId="12829" xr:uid="{00000000-0005-0000-0000-000061190000}"/>
    <cellStyle name="Millares 16" xfId="12830" xr:uid="{00000000-0005-0000-0000-000062190000}"/>
    <cellStyle name="Millares 16 2" xfId="12831" xr:uid="{00000000-0005-0000-0000-000063190000}"/>
    <cellStyle name="Millares 17" xfId="12832" xr:uid="{00000000-0005-0000-0000-000064190000}"/>
    <cellStyle name="Millares 17 2" xfId="12833" xr:uid="{00000000-0005-0000-0000-000065190000}"/>
    <cellStyle name="Millares 18" xfId="12834" xr:uid="{00000000-0005-0000-0000-000066190000}"/>
    <cellStyle name="Millares 19" xfId="12835" xr:uid="{00000000-0005-0000-0000-000067190000}"/>
    <cellStyle name="Millares 2" xfId="12836" xr:uid="{00000000-0005-0000-0000-000068190000}"/>
    <cellStyle name="Millares 2 2" xfId="12837" xr:uid="{00000000-0005-0000-0000-000069190000}"/>
    <cellStyle name="Millares 2 3" xfId="12838" xr:uid="{00000000-0005-0000-0000-00006A190000}"/>
    <cellStyle name="Millares 2_PSOSVL Rec" xfId="12839" xr:uid="{00000000-0005-0000-0000-00006B190000}"/>
    <cellStyle name="Millares 20" xfId="12840" xr:uid="{00000000-0005-0000-0000-00006C190000}"/>
    <cellStyle name="Millares 21" xfId="12841" xr:uid="{00000000-0005-0000-0000-00006D190000}"/>
    <cellStyle name="Millares 22" xfId="12842" xr:uid="{00000000-0005-0000-0000-00006E190000}"/>
    <cellStyle name="Millares 22 2" xfId="12843" xr:uid="{00000000-0005-0000-0000-00006F190000}"/>
    <cellStyle name="Millares 23" xfId="12844" xr:uid="{00000000-0005-0000-0000-000070190000}"/>
    <cellStyle name="Millares 24" xfId="12845" xr:uid="{00000000-0005-0000-0000-000071190000}"/>
    <cellStyle name="Millares 25" xfId="12846" xr:uid="{00000000-0005-0000-0000-000072190000}"/>
    <cellStyle name="Millares 26" xfId="12847" xr:uid="{00000000-0005-0000-0000-000073190000}"/>
    <cellStyle name="Millares 27" xfId="12848" xr:uid="{00000000-0005-0000-0000-000074190000}"/>
    <cellStyle name="Millares 28" xfId="12849" xr:uid="{00000000-0005-0000-0000-000075190000}"/>
    <cellStyle name="Millares 29" xfId="12850" xr:uid="{00000000-0005-0000-0000-000076190000}"/>
    <cellStyle name="Millares 3" xfId="12851" xr:uid="{00000000-0005-0000-0000-000077190000}"/>
    <cellStyle name="Millares 3 2" xfId="12852" xr:uid="{00000000-0005-0000-0000-000078190000}"/>
    <cellStyle name="Millares 30" xfId="12853" xr:uid="{00000000-0005-0000-0000-000079190000}"/>
    <cellStyle name="Millares 4" xfId="12854" xr:uid="{00000000-0005-0000-0000-00007A190000}"/>
    <cellStyle name="Millares 5" xfId="12855" xr:uid="{00000000-0005-0000-0000-00007B190000}"/>
    <cellStyle name="Millares 6" xfId="12856" xr:uid="{00000000-0005-0000-0000-00007C190000}"/>
    <cellStyle name="Millares 7" xfId="12857" xr:uid="{00000000-0005-0000-0000-00007D190000}"/>
    <cellStyle name="Millares 8" xfId="12858" xr:uid="{00000000-0005-0000-0000-00007E190000}"/>
    <cellStyle name="Millares 8 2" xfId="12859" xr:uid="{00000000-0005-0000-0000-00007F190000}"/>
    <cellStyle name="Millares 9" xfId="12860" xr:uid="{00000000-0005-0000-0000-000080190000}"/>
    <cellStyle name="Millares 9 2" xfId="12861" xr:uid="{00000000-0005-0000-0000-000081190000}"/>
    <cellStyle name="Milliers [0]_!!!GO" xfId="12862" xr:uid="{00000000-0005-0000-0000-000082190000}"/>
    <cellStyle name="Milliers_!!!GO" xfId="12863" xr:uid="{00000000-0005-0000-0000-000083190000}"/>
    <cellStyle name="MK" xfId="12864" xr:uid="{00000000-0005-0000-0000-000084190000}"/>
    <cellStyle name="MLComma0" xfId="12865" xr:uid="{00000000-0005-0000-0000-000085190000}"/>
    <cellStyle name="MLDollar0" xfId="12866" xr:uid="{00000000-0005-0000-0000-000086190000}"/>
    <cellStyle name="MLEuro0" xfId="12867" xr:uid="{00000000-0005-0000-0000-000087190000}"/>
    <cellStyle name="MLHeaderSection" xfId="12868" xr:uid="{00000000-0005-0000-0000-000088190000}"/>
    <cellStyle name="MLHeaderSection 10" xfId="12869" xr:uid="{00000000-0005-0000-0000-000089190000}"/>
    <cellStyle name="MLHeaderSection 10 2" xfId="12870" xr:uid="{00000000-0005-0000-0000-00008A190000}"/>
    <cellStyle name="MLHeaderSection 10 2 2" xfId="12871" xr:uid="{00000000-0005-0000-0000-00008B190000}"/>
    <cellStyle name="MLHeaderSection 10 2 3" xfId="12872" xr:uid="{00000000-0005-0000-0000-00008C190000}"/>
    <cellStyle name="MLHeaderSection 10 2 4" xfId="12873" xr:uid="{00000000-0005-0000-0000-00008D190000}"/>
    <cellStyle name="MLHeaderSection 10 2 5" xfId="12874" xr:uid="{00000000-0005-0000-0000-00008E190000}"/>
    <cellStyle name="MLHeaderSection 10 3" xfId="12875" xr:uid="{00000000-0005-0000-0000-00008F190000}"/>
    <cellStyle name="MLHeaderSection 10 3 2" xfId="12876" xr:uid="{00000000-0005-0000-0000-000090190000}"/>
    <cellStyle name="MLHeaderSection 10 3 3" xfId="12877" xr:uid="{00000000-0005-0000-0000-000091190000}"/>
    <cellStyle name="MLHeaderSection 10 3 4" xfId="12878" xr:uid="{00000000-0005-0000-0000-000092190000}"/>
    <cellStyle name="MLHeaderSection 10 3 5" xfId="12879" xr:uid="{00000000-0005-0000-0000-000093190000}"/>
    <cellStyle name="MLHeaderSection 10 4" xfId="12880" xr:uid="{00000000-0005-0000-0000-000094190000}"/>
    <cellStyle name="MLHeaderSection 10 4 2" xfId="12881" xr:uid="{00000000-0005-0000-0000-000095190000}"/>
    <cellStyle name="MLHeaderSection 10 4 3" xfId="12882" xr:uid="{00000000-0005-0000-0000-000096190000}"/>
    <cellStyle name="MLHeaderSection 10 4 4" xfId="12883" xr:uid="{00000000-0005-0000-0000-000097190000}"/>
    <cellStyle name="MLHeaderSection 10 4 5" xfId="12884" xr:uid="{00000000-0005-0000-0000-000098190000}"/>
    <cellStyle name="MLHeaderSection 10 5" xfId="12885" xr:uid="{00000000-0005-0000-0000-000099190000}"/>
    <cellStyle name="MLHeaderSection 10 6" xfId="12886" xr:uid="{00000000-0005-0000-0000-00009A190000}"/>
    <cellStyle name="MLHeaderSection 10 7" xfId="12887" xr:uid="{00000000-0005-0000-0000-00009B190000}"/>
    <cellStyle name="MLHeaderSection 10 8" xfId="12888" xr:uid="{00000000-0005-0000-0000-00009C190000}"/>
    <cellStyle name="MLHeaderSection 11" xfId="12889" xr:uid="{00000000-0005-0000-0000-00009D190000}"/>
    <cellStyle name="MLHeaderSection 11 2" xfId="12890" xr:uid="{00000000-0005-0000-0000-00009E190000}"/>
    <cellStyle name="MLHeaderSection 11 3" xfId="12891" xr:uid="{00000000-0005-0000-0000-00009F190000}"/>
    <cellStyle name="MLHeaderSection 11 4" xfId="12892" xr:uid="{00000000-0005-0000-0000-0000A0190000}"/>
    <cellStyle name="MLHeaderSection 11 5" xfId="12893" xr:uid="{00000000-0005-0000-0000-0000A1190000}"/>
    <cellStyle name="MLHeaderSection 12" xfId="12894" xr:uid="{00000000-0005-0000-0000-0000A2190000}"/>
    <cellStyle name="MLHeaderSection 12 2" xfId="12895" xr:uid="{00000000-0005-0000-0000-0000A3190000}"/>
    <cellStyle name="MLHeaderSection 12 3" xfId="12896" xr:uid="{00000000-0005-0000-0000-0000A4190000}"/>
    <cellStyle name="MLHeaderSection 12 4" xfId="12897" xr:uid="{00000000-0005-0000-0000-0000A5190000}"/>
    <cellStyle name="MLHeaderSection 12 5" xfId="12898" xr:uid="{00000000-0005-0000-0000-0000A6190000}"/>
    <cellStyle name="MLHeaderSection 13" xfId="12899" xr:uid="{00000000-0005-0000-0000-0000A7190000}"/>
    <cellStyle name="MLHeaderSection 13 2" xfId="12900" xr:uid="{00000000-0005-0000-0000-0000A8190000}"/>
    <cellStyle name="MLHeaderSection 13 3" xfId="12901" xr:uid="{00000000-0005-0000-0000-0000A9190000}"/>
    <cellStyle name="MLHeaderSection 13 4" xfId="12902" xr:uid="{00000000-0005-0000-0000-0000AA190000}"/>
    <cellStyle name="MLHeaderSection 13 5" xfId="12903" xr:uid="{00000000-0005-0000-0000-0000AB190000}"/>
    <cellStyle name="MLHeaderSection 14" xfId="12904" xr:uid="{00000000-0005-0000-0000-0000AC190000}"/>
    <cellStyle name="MLHeaderSection 15" xfId="12905" xr:uid="{00000000-0005-0000-0000-0000AD190000}"/>
    <cellStyle name="MLHeaderSection 16" xfId="12906" xr:uid="{00000000-0005-0000-0000-0000AE190000}"/>
    <cellStyle name="MLHeaderSection 17" xfId="12907" xr:uid="{00000000-0005-0000-0000-0000AF190000}"/>
    <cellStyle name="MLHeaderSection 2" xfId="12908" xr:uid="{00000000-0005-0000-0000-0000B0190000}"/>
    <cellStyle name="MLHeaderSection 2 10" xfId="12909" xr:uid="{00000000-0005-0000-0000-0000B1190000}"/>
    <cellStyle name="MLHeaderSection 2 10 2" xfId="12910" xr:uid="{00000000-0005-0000-0000-0000B2190000}"/>
    <cellStyle name="MLHeaderSection 2 10 3" xfId="12911" xr:uid="{00000000-0005-0000-0000-0000B3190000}"/>
    <cellStyle name="MLHeaderSection 2 10 4" xfId="12912" xr:uid="{00000000-0005-0000-0000-0000B4190000}"/>
    <cellStyle name="MLHeaderSection 2 10 5" xfId="12913" xr:uid="{00000000-0005-0000-0000-0000B5190000}"/>
    <cellStyle name="MLHeaderSection 2 11" xfId="12914" xr:uid="{00000000-0005-0000-0000-0000B6190000}"/>
    <cellStyle name="MLHeaderSection 2 11 2" xfId="12915" xr:uid="{00000000-0005-0000-0000-0000B7190000}"/>
    <cellStyle name="MLHeaderSection 2 11 3" xfId="12916" xr:uid="{00000000-0005-0000-0000-0000B8190000}"/>
    <cellStyle name="MLHeaderSection 2 11 4" xfId="12917" xr:uid="{00000000-0005-0000-0000-0000B9190000}"/>
    <cellStyle name="MLHeaderSection 2 11 5" xfId="12918" xr:uid="{00000000-0005-0000-0000-0000BA190000}"/>
    <cellStyle name="MLHeaderSection 2 12" xfId="12919" xr:uid="{00000000-0005-0000-0000-0000BB190000}"/>
    <cellStyle name="MLHeaderSection 2 12 2" xfId="12920" xr:uid="{00000000-0005-0000-0000-0000BC190000}"/>
    <cellStyle name="MLHeaderSection 2 12 3" xfId="12921" xr:uid="{00000000-0005-0000-0000-0000BD190000}"/>
    <cellStyle name="MLHeaderSection 2 12 4" xfId="12922" xr:uid="{00000000-0005-0000-0000-0000BE190000}"/>
    <cellStyle name="MLHeaderSection 2 12 5" xfId="12923" xr:uid="{00000000-0005-0000-0000-0000BF190000}"/>
    <cellStyle name="MLHeaderSection 2 13" xfId="12924" xr:uid="{00000000-0005-0000-0000-0000C0190000}"/>
    <cellStyle name="MLHeaderSection 2 14" xfId="12925" xr:uid="{00000000-0005-0000-0000-0000C1190000}"/>
    <cellStyle name="MLHeaderSection 2 15" xfId="12926" xr:uid="{00000000-0005-0000-0000-0000C2190000}"/>
    <cellStyle name="MLHeaderSection 2 16" xfId="12927" xr:uid="{00000000-0005-0000-0000-0000C3190000}"/>
    <cellStyle name="MLHeaderSection 2 2" xfId="12928" xr:uid="{00000000-0005-0000-0000-0000C4190000}"/>
    <cellStyle name="MLHeaderSection 2 2 10" xfId="12929" xr:uid="{00000000-0005-0000-0000-0000C5190000}"/>
    <cellStyle name="MLHeaderSection 2 2 2" xfId="12930" xr:uid="{00000000-0005-0000-0000-0000C6190000}"/>
    <cellStyle name="MLHeaderSection 2 2 2 2" xfId="12931" xr:uid="{00000000-0005-0000-0000-0000C7190000}"/>
    <cellStyle name="MLHeaderSection 2 2 2 2 2" xfId="12932" xr:uid="{00000000-0005-0000-0000-0000C8190000}"/>
    <cellStyle name="MLHeaderSection 2 2 2 2 3" xfId="12933" xr:uid="{00000000-0005-0000-0000-0000C9190000}"/>
    <cellStyle name="MLHeaderSection 2 2 2 2 4" xfId="12934" xr:uid="{00000000-0005-0000-0000-0000CA190000}"/>
    <cellStyle name="MLHeaderSection 2 2 2 2 5" xfId="12935" xr:uid="{00000000-0005-0000-0000-0000CB190000}"/>
    <cellStyle name="MLHeaderSection 2 2 2 3" xfId="12936" xr:uid="{00000000-0005-0000-0000-0000CC190000}"/>
    <cellStyle name="MLHeaderSection 2 2 2 3 2" xfId="12937" xr:uid="{00000000-0005-0000-0000-0000CD190000}"/>
    <cellStyle name="MLHeaderSection 2 2 2 3 3" xfId="12938" xr:uid="{00000000-0005-0000-0000-0000CE190000}"/>
    <cellStyle name="MLHeaderSection 2 2 2 3 4" xfId="12939" xr:uid="{00000000-0005-0000-0000-0000CF190000}"/>
    <cellStyle name="MLHeaderSection 2 2 2 3 5" xfId="12940" xr:uid="{00000000-0005-0000-0000-0000D0190000}"/>
    <cellStyle name="MLHeaderSection 2 2 2 4" xfId="12941" xr:uid="{00000000-0005-0000-0000-0000D1190000}"/>
    <cellStyle name="MLHeaderSection 2 2 2 4 2" xfId="12942" xr:uid="{00000000-0005-0000-0000-0000D2190000}"/>
    <cellStyle name="MLHeaderSection 2 2 2 4 3" xfId="12943" xr:uid="{00000000-0005-0000-0000-0000D3190000}"/>
    <cellStyle name="MLHeaderSection 2 2 2 4 4" xfId="12944" xr:uid="{00000000-0005-0000-0000-0000D4190000}"/>
    <cellStyle name="MLHeaderSection 2 2 2 4 5" xfId="12945" xr:uid="{00000000-0005-0000-0000-0000D5190000}"/>
    <cellStyle name="MLHeaderSection 2 2 2 5" xfId="12946" xr:uid="{00000000-0005-0000-0000-0000D6190000}"/>
    <cellStyle name="MLHeaderSection 2 2 2 6" xfId="12947" xr:uid="{00000000-0005-0000-0000-0000D7190000}"/>
    <cellStyle name="MLHeaderSection 2 2 2 7" xfId="12948" xr:uid="{00000000-0005-0000-0000-0000D8190000}"/>
    <cellStyle name="MLHeaderSection 2 2 2 8" xfId="12949" xr:uid="{00000000-0005-0000-0000-0000D9190000}"/>
    <cellStyle name="MLHeaderSection 2 2 3" xfId="12950" xr:uid="{00000000-0005-0000-0000-0000DA190000}"/>
    <cellStyle name="MLHeaderSection 2 2 3 2" xfId="12951" xr:uid="{00000000-0005-0000-0000-0000DB190000}"/>
    <cellStyle name="MLHeaderSection 2 2 3 2 2" xfId="12952" xr:uid="{00000000-0005-0000-0000-0000DC190000}"/>
    <cellStyle name="MLHeaderSection 2 2 3 2 3" xfId="12953" xr:uid="{00000000-0005-0000-0000-0000DD190000}"/>
    <cellStyle name="MLHeaderSection 2 2 3 2 4" xfId="12954" xr:uid="{00000000-0005-0000-0000-0000DE190000}"/>
    <cellStyle name="MLHeaderSection 2 2 3 2 5" xfId="12955" xr:uid="{00000000-0005-0000-0000-0000DF190000}"/>
    <cellStyle name="MLHeaderSection 2 2 3 3" xfId="12956" xr:uid="{00000000-0005-0000-0000-0000E0190000}"/>
    <cellStyle name="MLHeaderSection 2 2 3 3 2" xfId="12957" xr:uid="{00000000-0005-0000-0000-0000E1190000}"/>
    <cellStyle name="MLHeaderSection 2 2 3 3 3" xfId="12958" xr:uid="{00000000-0005-0000-0000-0000E2190000}"/>
    <cellStyle name="MLHeaderSection 2 2 3 3 4" xfId="12959" xr:uid="{00000000-0005-0000-0000-0000E3190000}"/>
    <cellStyle name="MLHeaderSection 2 2 3 3 5" xfId="12960" xr:uid="{00000000-0005-0000-0000-0000E4190000}"/>
    <cellStyle name="MLHeaderSection 2 2 3 4" xfId="12961" xr:uid="{00000000-0005-0000-0000-0000E5190000}"/>
    <cellStyle name="MLHeaderSection 2 2 3 4 2" xfId="12962" xr:uid="{00000000-0005-0000-0000-0000E6190000}"/>
    <cellStyle name="MLHeaderSection 2 2 3 4 3" xfId="12963" xr:uid="{00000000-0005-0000-0000-0000E7190000}"/>
    <cellStyle name="MLHeaderSection 2 2 3 4 4" xfId="12964" xr:uid="{00000000-0005-0000-0000-0000E8190000}"/>
    <cellStyle name="MLHeaderSection 2 2 3 4 5" xfId="12965" xr:uid="{00000000-0005-0000-0000-0000E9190000}"/>
    <cellStyle name="MLHeaderSection 2 2 3 5" xfId="12966" xr:uid="{00000000-0005-0000-0000-0000EA190000}"/>
    <cellStyle name="MLHeaderSection 2 2 3 6" xfId="12967" xr:uid="{00000000-0005-0000-0000-0000EB190000}"/>
    <cellStyle name="MLHeaderSection 2 2 3 7" xfId="12968" xr:uid="{00000000-0005-0000-0000-0000EC190000}"/>
    <cellStyle name="MLHeaderSection 2 2 3 8" xfId="12969" xr:uid="{00000000-0005-0000-0000-0000ED190000}"/>
    <cellStyle name="MLHeaderSection 2 2 4" xfId="12970" xr:uid="{00000000-0005-0000-0000-0000EE190000}"/>
    <cellStyle name="MLHeaderSection 2 2 4 2" xfId="12971" xr:uid="{00000000-0005-0000-0000-0000EF190000}"/>
    <cellStyle name="MLHeaderSection 2 2 4 3" xfId="12972" xr:uid="{00000000-0005-0000-0000-0000F0190000}"/>
    <cellStyle name="MLHeaderSection 2 2 4 4" xfId="12973" xr:uid="{00000000-0005-0000-0000-0000F1190000}"/>
    <cellStyle name="MLHeaderSection 2 2 4 5" xfId="12974" xr:uid="{00000000-0005-0000-0000-0000F2190000}"/>
    <cellStyle name="MLHeaderSection 2 2 5" xfId="12975" xr:uid="{00000000-0005-0000-0000-0000F3190000}"/>
    <cellStyle name="MLHeaderSection 2 2 5 2" xfId="12976" xr:uid="{00000000-0005-0000-0000-0000F4190000}"/>
    <cellStyle name="MLHeaderSection 2 2 5 3" xfId="12977" xr:uid="{00000000-0005-0000-0000-0000F5190000}"/>
    <cellStyle name="MLHeaderSection 2 2 5 4" xfId="12978" xr:uid="{00000000-0005-0000-0000-0000F6190000}"/>
    <cellStyle name="MLHeaderSection 2 2 5 5" xfId="12979" xr:uid="{00000000-0005-0000-0000-0000F7190000}"/>
    <cellStyle name="MLHeaderSection 2 2 6" xfId="12980" xr:uid="{00000000-0005-0000-0000-0000F8190000}"/>
    <cellStyle name="MLHeaderSection 2 2 6 2" xfId="12981" xr:uid="{00000000-0005-0000-0000-0000F9190000}"/>
    <cellStyle name="MLHeaderSection 2 2 6 3" xfId="12982" xr:uid="{00000000-0005-0000-0000-0000FA190000}"/>
    <cellStyle name="MLHeaderSection 2 2 6 4" xfId="12983" xr:uid="{00000000-0005-0000-0000-0000FB190000}"/>
    <cellStyle name="MLHeaderSection 2 2 6 5" xfId="12984" xr:uid="{00000000-0005-0000-0000-0000FC190000}"/>
    <cellStyle name="MLHeaderSection 2 2 7" xfId="12985" xr:uid="{00000000-0005-0000-0000-0000FD190000}"/>
    <cellStyle name="MLHeaderSection 2 2 8" xfId="12986" xr:uid="{00000000-0005-0000-0000-0000FE190000}"/>
    <cellStyle name="MLHeaderSection 2 2 9" xfId="12987" xr:uid="{00000000-0005-0000-0000-0000FF190000}"/>
    <cellStyle name="MLHeaderSection 2 3" xfId="12988" xr:uid="{00000000-0005-0000-0000-0000001A0000}"/>
    <cellStyle name="MLHeaderSection 2 3 10" xfId="12989" xr:uid="{00000000-0005-0000-0000-0000011A0000}"/>
    <cellStyle name="MLHeaderSection 2 3 2" xfId="12990" xr:uid="{00000000-0005-0000-0000-0000021A0000}"/>
    <cellStyle name="MLHeaderSection 2 3 2 2" xfId="12991" xr:uid="{00000000-0005-0000-0000-0000031A0000}"/>
    <cellStyle name="MLHeaderSection 2 3 2 2 2" xfId="12992" xr:uid="{00000000-0005-0000-0000-0000041A0000}"/>
    <cellStyle name="MLHeaderSection 2 3 2 2 3" xfId="12993" xr:uid="{00000000-0005-0000-0000-0000051A0000}"/>
    <cellStyle name="MLHeaderSection 2 3 2 2 4" xfId="12994" xr:uid="{00000000-0005-0000-0000-0000061A0000}"/>
    <cellStyle name="MLHeaderSection 2 3 2 2 5" xfId="12995" xr:uid="{00000000-0005-0000-0000-0000071A0000}"/>
    <cellStyle name="MLHeaderSection 2 3 2 3" xfId="12996" xr:uid="{00000000-0005-0000-0000-0000081A0000}"/>
    <cellStyle name="MLHeaderSection 2 3 2 3 2" xfId="12997" xr:uid="{00000000-0005-0000-0000-0000091A0000}"/>
    <cellStyle name="MLHeaderSection 2 3 2 3 3" xfId="12998" xr:uid="{00000000-0005-0000-0000-00000A1A0000}"/>
    <cellStyle name="MLHeaderSection 2 3 2 3 4" xfId="12999" xr:uid="{00000000-0005-0000-0000-00000B1A0000}"/>
    <cellStyle name="MLHeaderSection 2 3 2 3 5" xfId="13000" xr:uid="{00000000-0005-0000-0000-00000C1A0000}"/>
    <cellStyle name="MLHeaderSection 2 3 2 4" xfId="13001" xr:uid="{00000000-0005-0000-0000-00000D1A0000}"/>
    <cellStyle name="MLHeaderSection 2 3 2 4 2" xfId="13002" xr:uid="{00000000-0005-0000-0000-00000E1A0000}"/>
    <cellStyle name="MLHeaderSection 2 3 2 4 3" xfId="13003" xr:uid="{00000000-0005-0000-0000-00000F1A0000}"/>
    <cellStyle name="MLHeaderSection 2 3 2 4 4" xfId="13004" xr:uid="{00000000-0005-0000-0000-0000101A0000}"/>
    <cellStyle name="MLHeaderSection 2 3 2 4 5" xfId="13005" xr:uid="{00000000-0005-0000-0000-0000111A0000}"/>
    <cellStyle name="MLHeaderSection 2 3 2 5" xfId="13006" xr:uid="{00000000-0005-0000-0000-0000121A0000}"/>
    <cellStyle name="MLHeaderSection 2 3 2 6" xfId="13007" xr:uid="{00000000-0005-0000-0000-0000131A0000}"/>
    <cellStyle name="MLHeaderSection 2 3 2 7" xfId="13008" xr:uid="{00000000-0005-0000-0000-0000141A0000}"/>
    <cellStyle name="MLHeaderSection 2 3 2 8" xfId="13009" xr:uid="{00000000-0005-0000-0000-0000151A0000}"/>
    <cellStyle name="MLHeaderSection 2 3 3" xfId="13010" xr:uid="{00000000-0005-0000-0000-0000161A0000}"/>
    <cellStyle name="MLHeaderSection 2 3 3 2" xfId="13011" xr:uid="{00000000-0005-0000-0000-0000171A0000}"/>
    <cellStyle name="MLHeaderSection 2 3 3 2 2" xfId="13012" xr:uid="{00000000-0005-0000-0000-0000181A0000}"/>
    <cellStyle name="MLHeaderSection 2 3 3 2 3" xfId="13013" xr:uid="{00000000-0005-0000-0000-0000191A0000}"/>
    <cellStyle name="MLHeaderSection 2 3 3 2 4" xfId="13014" xr:uid="{00000000-0005-0000-0000-00001A1A0000}"/>
    <cellStyle name="MLHeaderSection 2 3 3 2 5" xfId="13015" xr:uid="{00000000-0005-0000-0000-00001B1A0000}"/>
    <cellStyle name="MLHeaderSection 2 3 3 3" xfId="13016" xr:uid="{00000000-0005-0000-0000-00001C1A0000}"/>
    <cellStyle name="MLHeaderSection 2 3 3 3 2" xfId="13017" xr:uid="{00000000-0005-0000-0000-00001D1A0000}"/>
    <cellStyle name="MLHeaderSection 2 3 3 3 3" xfId="13018" xr:uid="{00000000-0005-0000-0000-00001E1A0000}"/>
    <cellStyle name="MLHeaderSection 2 3 3 3 4" xfId="13019" xr:uid="{00000000-0005-0000-0000-00001F1A0000}"/>
    <cellStyle name="MLHeaderSection 2 3 3 3 5" xfId="13020" xr:uid="{00000000-0005-0000-0000-0000201A0000}"/>
    <cellStyle name="MLHeaderSection 2 3 3 4" xfId="13021" xr:uid="{00000000-0005-0000-0000-0000211A0000}"/>
    <cellStyle name="MLHeaderSection 2 3 3 4 2" xfId="13022" xr:uid="{00000000-0005-0000-0000-0000221A0000}"/>
    <cellStyle name="MLHeaderSection 2 3 3 4 3" xfId="13023" xr:uid="{00000000-0005-0000-0000-0000231A0000}"/>
    <cellStyle name="MLHeaderSection 2 3 3 4 4" xfId="13024" xr:uid="{00000000-0005-0000-0000-0000241A0000}"/>
    <cellStyle name="MLHeaderSection 2 3 3 4 5" xfId="13025" xr:uid="{00000000-0005-0000-0000-0000251A0000}"/>
    <cellStyle name="MLHeaderSection 2 3 3 5" xfId="13026" xr:uid="{00000000-0005-0000-0000-0000261A0000}"/>
    <cellStyle name="MLHeaderSection 2 3 3 6" xfId="13027" xr:uid="{00000000-0005-0000-0000-0000271A0000}"/>
    <cellStyle name="MLHeaderSection 2 3 3 7" xfId="13028" xr:uid="{00000000-0005-0000-0000-0000281A0000}"/>
    <cellStyle name="MLHeaderSection 2 3 3 8" xfId="13029" xr:uid="{00000000-0005-0000-0000-0000291A0000}"/>
    <cellStyle name="MLHeaderSection 2 3 4" xfId="13030" xr:uid="{00000000-0005-0000-0000-00002A1A0000}"/>
    <cellStyle name="MLHeaderSection 2 3 4 2" xfId="13031" xr:uid="{00000000-0005-0000-0000-00002B1A0000}"/>
    <cellStyle name="MLHeaderSection 2 3 4 3" xfId="13032" xr:uid="{00000000-0005-0000-0000-00002C1A0000}"/>
    <cellStyle name="MLHeaderSection 2 3 4 4" xfId="13033" xr:uid="{00000000-0005-0000-0000-00002D1A0000}"/>
    <cellStyle name="MLHeaderSection 2 3 4 5" xfId="13034" xr:uid="{00000000-0005-0000-0000-00002E1A0000}"/>
    <cellStyle name="MLHeaderSection 2 3 5" xfId="13035" xr:uid="{00000000-0005-0000-0000-00002F1A0000}"/>
    <cellStyle name="MLHeaderSection 2 3 5 2" xfId="13036" xr:uid="{00000000-0005-0000-0000-0000301A0000}"/>
    <cellStyle name="MLHeaderSection 2 3 5 3" xfId="13037" xr:uid="{00000000-0005-0000-0000-0000311A0000}"/>
    <cellStyle name="MLHeaderSection 2 3 5 4" xfId="13038" xr:uid="{00000000-0005-0000-0000-0000321A0000}"/>
    <cellStyle name="MLHeaderSection 2 3 5 5" xfId="13039" xr:uid="{00000000-0005-0000-0000-0000331A0000}"/>
    <cellStyle name="MLHeaderSection 2 3 6" xfId="13040" xr:uid="{00000000-0005-0000-0000-0000341A0000}"/>
    <cellStyle name="MLHeaderSection 2 3 6 2" xfId="13041" xr:uid="{00000000-0005-0000-0000-0000351A0000}"/>
    <cellStyle name="MLHeaderSection 2 3 6 3" xfId="13042" xr:uid="{00000000-0005-0000-0000-0000361A0000}"/>
    <cellStyle name="MLHeaderSection 2 3 6 4" xfId="13043" xr:uid="{00000000-0005-0000-0000-0000371A0000}"/>
    <cellStyle name="MLHeaderSection 2 3 6 5" xfId="13044" xr:uid="{00000000-0005-0000-0000-0000381A0000}"/>
    <cellStyle name="MLHeaderSection 2 3 7" xfId="13045" xr:uid="{00000000-0005-0000-0000-0000391A0000}"/>
    <cellStyle name="MLHeaderSection 2 3 8" xfId="13046" xr:uid="{00000000-0005-0000-0000-00003A1A0000}"/>
    <cellStyle name="MLHeaderSection 2 3 9" xfId="13047" xr:uid="{00000000-0005-0000-0000-00003B1A0000}"/>
    <cellStyle name="MLHeaderSection 2 4" xfId="13048" xr:uid="{00000000-0005-0000-0000-00003C1A0000}"/>
    <cellStyle name="MLHeaderSection 2 4 10" xfId="13049" xr:uid="{00000000-0005-0000-0000-00003D1A0000}"/>
    <cellStyle name="MLHeaderSection 2 4 2" xfId="13050" xr:uid="{00000000-0005-0000-0000-00003E1A0000}"/>
    <cellStyle name="MLHeaderSection 2 4 2 2" xfId="13051" xr:uid="{00000000-0005-0000-0000-00003F1A0000}"/>
    <cellStyle name="MLHeaderSection 2 4 2 2 2" xfId="13052" xr:uid="{00000000-0005-0000-0000-0000401A0000}"/>
    <cellStyle name="MLHeaderSection 2 4 2 2 3" xfId="13053" xr:uid="{00000000-0005-0000-0000-0000411A0000}"/>
    <cellStyle name="MLHeaderSection 2 4 2 2 4" xfId="13054" xr:uid="{00000000-0005-0000-0000-0000421A0000}"/>
    <cellStyle name="MLHeaderSection 2 4 2 2 5" xfId="13055" xr:uid="{00000000-0005-0000-0000-0000431A0000}"/>
    <cellStyle name="MLHeaderSection 2 4 2 3" xfId="13056" xr:uid="{00000000-0005-0000-0000-0000441A0000}"/>
    <cellStyle name="MLHeaderSection 2 4 2 3 2" xfId="13057" xr:uid="{00000000-0005-0000-0000-0000451A0000}"/>
    <cellStyle name="MLHeaderSection 2 4 2 3 3" xfId="13058" xr:uid="{00000000-0005-0000-0000-0000461A0000}"/>
    <cellStyle name="MLHeaderSection 2 4 2 3 4" xfId="13059" xr:uid="{00000000-0005-0000-0000-0000471A0000}"/>
    <cellStyle name="MLHeaderSection 2 4 2 3 5" xfId="13060" xr:uid="{00000000-0005-0000-0000-0000481A0000}"/>
    <cellStyle name="MLHeaderSection 2 4 2 4" xfId="13061" xr:uid="{00000000-0005-0000-0000-0000491A0000}"/>
    <cellStyle name="MLHeaderSection 2 4 2 4 2" xfId="13062" xr:uid="{00000000-0005-0000-0000-00004A1A0000}"/>
    <cellStyle name="MLHeaderSection 2 4 2 4 3" xfId="13063" xr:uid="{00000000-0005-0000-0000-00004B1A0000}"/>
    <cellStyle name="MLHeaderSection 2 4 2 4 4" xfId="13064" xr:uid="{00000000-0005-0000-0000-00004C1A0000}"/>
    <cellStyle name="MLHeaderSection 2 4 2 4 5" xfId="13065" xr:uid="{00000000-0005-0000-0000-00004D1A0000}"/>
    <cellStyle name="MLHeaderSection 2 4 2 5" xfId="13066" xr:uid="{00000000-0005-0000-0000-00004E1A0000}"/>
    <cellStyle name="MLHeaderSection 2 4 2 6" xfId="13067" xr:uid="{00000000-0005-0000-0000-00004F1A0000}"/>
    <cellStyle name="MLHeaderSection 2 4 2 7" xfId="13068" xr:uid="{00000000-0005-0000-0000-0000501A0000}"/>
    <cellStyle name="MLHeaderSection 2 4 2 8" xfId="13069" xr:uid="{00000000-0005-0000-0000-0000511A0000}"/>
    <cellStyle name="MLHeaderSection 2 4 3" xfId="13070" xr:uid="{00000000-0005-0000-0000-0000521A0000}"/>
    <cellStyle name="MLHeaderSection 2 4 3 2" xfId="13071" xr:uid="{00000000-0005-0000-0000-0000531A0000}"/>
    <cellStyle name="MLHeaderSection 2 4 3 2 2" xfId="13072" xr:uid="{00000000-0005-0000-0000-0000541A0000}"/>
    <cellStyle name="MLHeaderSection 2 4 3 2 3" xfId="13073" xr:uid="{00000000-0005-0000-0000-0000551A0000}"/>
    <cellStyle name="MLHeaderSection 2 4 3 2 4" xfId="13074" xr:uid="{00000000-0005-0000-0000-0000561A0000}"/>
    <cellStyle name="MLHeaderSection 2 4 3 2 5" xfId="13075" xr:uid="{00000000-0005-0000-0000-0000571A0000}"/>
    <cellStyle name="MLHeaderSection 2 4 3 3" xfId="13076" xr:uid="{00000000-0005-0000-0000-0000581A0000}"/>
    <cellStyle name="MLHeaderSection 2 4 3 3 2" xfId="13077" xr:uid="{00000000-0005-0000-0000-0000591A0000}"/>
    <cellStyle name="MLHeaderSection 2 4 3 3 3" xfId="13078" xr:uid="{00000000-0005-0000-0000-00005A1A0000}"/>
    <cellStyle name="MLHeaderSection 2 4 3 3 4" xfId="13079" xr:uid="{00000000-0005-0000-0000-00005B1A0000}"/>
    <cellStyle name="MLHeaderSection 2 4 3 3 5" xfId="13080" xr:uid="{00000000-0005-0000-0000-00005C1A0000}"/>
    <cellStyle name="MLHeaderSection 2 4 3 4" xfId="13081" xr:uid="{00000000-0005-0000-0000-00005D1A0000}"/>
    <cellStyle name="MLHeaderSection 2 4 3 4 2" xfId="13082" xr:uid="{00000000-0005-0000-0000-00005E1A0000}"/>
    <cellStyle name="MLHeaderSection 2 4 3 4 3" xfId="13083" xr:uid="{00000000-0005-0000-0000-00005F1A0000}"/>
    <cellStyle name="MLHeaderSection 2 4 3 4 4" xfId="13084" xr:uid="{00000000-0005-0000-0000-0000601A0000}"/>
    <cellStyle name="MLHeaderSection 2 4 3 4 5" xfId="13085" xr:uid="{00000000-0005-0000-0000-0000611A0000}"/>
    <cellStyle name="MLHeaderSection 2 4 3 5" xfId="13086" xr:uid="{00000000-0005-0000-0000-0000621A0000}"/>
    <cellStyle name="MLHeaderSection 2 4 3 6" xfId="13087" xr:uid="{00000000-0005-0000-0000-0000631A0000}"/>
    <cellStyle name="MLHeaderSection 2 4 3 7" xfId="13088" xr:uid="{00000000-0005-0000-0000-0000641A0000}"/>
    <cellStyle name="MLHeaderSection 2 4 3 8" xfId="13089" xr:uid="{00000000-0005-0000-0000-0000651A0000}"/>
    <cellStyle name="MLHeaderSection 2 4 4" xfId="13090" xr:uid="{00000000-0005-0000-0000-0000661A0000}"/>
    <cellStyle name="MLHeaderSection 2 4 4 2" xfId="13091" xr:uid="{00000000-0005-0000-0000-0000671A0000}"/>
    <cellStyle name="MLHeaderSection 2 4 4 3" xfId="13092" xr:uid="{00000000-0005-0000-0000-0000681A0000}"/>
    <cellStyle name="MLHeaderSection 2 4 4 4" xfId="13093" xr:uid="{00000000-0005-0000-0000-0000691A0000}"/>
    <cellStyle name="MLHeaderSection 2 4 4 5" xfId="13094" xr:uid="{00000000-0005-0000-0000-00006A1A0000}"/>
    <cellStyle name="MLHeaderSection 2 4 5" xfId="13095" xr:uid="{00000000-0005-0000-0000-00006B1A0000}"/>
    <cellStyle name="MLHeaderSection 2 4 5 2" xfId="13096" xr:uid="{00000000-0005-0000-0000-00006C1A0000}"/>
    <cellStyle name="MLHeaderSection 2 4 5 3" xfId="13097" xr:uid="{00000000-0005-0000-0000-00006D1A0000}"/>
    <cellStyle name="MLHeaderSection 2 4 5 4" xfId="13098" xr:uid="{00000000-0005-0000-0000-00006E1A0000}"/>
    <cellStyle name="MLHeaderSection 2 4 5 5" xfId="13099" xr:uid="{00000000-0005-0000-0000-00006F1A0000}"/>
    <cellStyle name="MLHeaderSection 2 4 6" xfId="13100" xr:uid="{00000000-0005-0000-0000-0000701A0000}"/>
    <cellStyle name="MLHeaderSection 2 4 6 2" xfId="13101" xr:uid="{00000000-0005-0000-0000-0000711A0000}"/>
    <cellStyle name="MLHeaderSection 2 4 6 3" xfId="13102" xr:uid="{00000000-0005-0000-0000-0000721A0000}"/>
    <cellStyle name="MLHeaderSection 2 4 6 4" xfId="13103" xr:uid="{00000000-0005-0000-0000-0000731A0000}"/>
    <cellStyle name="MLHeaderSection 2 4 6 5" xfId="13104" xr:uid="{00000000-0005-0000-0000-0000741A0000}"/>
    <cellStyle name="MLHeaderSection 2 4 7" xfId="13105" xr:uid="{00000000-0005-0000-0000-0000751A0000}"/>
    <cellStyle name="MLHeaderSection 2 4 8" xfId="13106" xr:uid="{00000000-0005-0000-0000-0000761A0000}"/>
    <cellStyle name="MLHeaderSection 2 4 9" xfId="13107" xr:uid="{00000000-0005-0000-0000-0000771A0000}"/>
    <cellStyle name="MLHeaderSection 2 5" xfId="13108" xr:uid="{00000000-0005-0000-0000-0000781A0000}"/>
    <cellStyle name="MLHeaderSection 2 5 10" xfId="13109" xr:uid="{00000000-0005-0000-0000-0000791A0000}"/>
    <cellStyle name="MLHeaderSection 2 5 2" xfId="13110" xr:uid="{00000000-0005-0000-0000-00007A1A0000}"/>
    <cellStyle name="MLHeaderSection 2 5 2 2" xfId="13111" xr:uid="{00000000-0005-0000-0000-00007B1A0000}"/>
    <cellStyle name="MLHeaderSection 2 5 2 2 2" xfId="13112" xr:uid="{00000000-0005-0000-0000-00007C1A0000}"/>
    <cellStyle name="MLHeaderSection 2 5 2 2 3" xfId="13113" xr:uid="{00000000-0005-0000-0000-00007D1A0000}"/>
    <cellStyle name="MLHeaderSection 2 5 2 2 4" xfId="13114" xr:uid="{00000000-0005-0000-0000-00007E1A0000}"/>
    <cellStyle name="MLHeaderSection 2 5 2 2 5" xfId="13115" xr:uid="{00000000-0005-0000-0000-00007F1A0000}"/>
    <cellStyle name="MLHeaderSection 2 5 2 3" xfId="13116" xr:uid="{00000000-0005-0000-0000-0000801A0000}"/>
    <cellStyle name="MLHeaderSection 2 5 2 3 2" xfId="13117" xr:uid="{00000000-0005-0000-0000-0000811A0000}"/>
    <cellStyle name="MLHeaderSection 2 5 2 3 3" xfId="13118" xr:uid="{00000000-0005-0000-0000-0000821A0000}"/>
    <cellStyle name="MLHeaderSection 2 5 2 3 4" xfId="13119" xr:uid="{00000000-0005-0000-0000-0000831A0000}"/>
    <cellStyle name="MLHeaderSection 2 5 2 3 5" xfId="13120" xr:uid="{00000000-0005-0000-0000-0000841A0000}"/>
    <cellStyle name="MLHeaderSection 2 5 2 4" xfId="13121" xr:uid="{00000000-0005-0000-0000-0000851A0000}"/>
    <cellStyle name="MLHeaderSection 2 5 2 4 2" xfId="13122" xr:uid="{00000000-0005-0000-0000-0000861A0000}"/>
    <cellStyle name="MLHeaderSection 2 5 2 4 3" xfId="13123" xr:uid="{00000000-0005-0000-0000-0000871A0000}"/>
    <cellStyle name="MLHeaderSection 2 5 2 4 4" xfId="13124" xr:uid="{00000000-0005-0000-0000-0000881A0000}"/>
    <cellStyle name="MLHeaderSection 2 5 2 4 5" xfId="13125" xr:uid="{00000000-0005-0000-0000-0000891A0000}"/>
    <cellStyle name="MLHeaderSection 2 5 2 5" xfId="13126" xr:uid="{00000000-0005-0000-0000-00008A1A0000}"/>
    <cellStyle name="MLHeaderSection 2 5 2 6" xfId="13127" xr:uid="{00000000-0005-0000-0000-00008B1A0000}"/>
    <cellStyle name="MLHeaderSection 2 5 2 7" xfId="13128" xr:uid="{00000000-0005-0000-0000-00008C1A0000}"/>
    <cellStyle name="MLHeaderSection 2 5 2 8" xfId="13129" xr:uid="{00000000-0005-0000-0000-00008D1A0000}"/>
    <cellStyle name="MLHeaderSection 2 5 3" xfId="13130" xr:uid="{00000000-0005-0000-0000-00008E1A0000}"/>
    <cellStyle name="MLHeaderSection 2 5 3 2" xfId="13131" xr:uid="{00000000-0005-0000-0000-00008F1A0000}"/>
    <cellStyle name="MLHeaderSection 2 5 3 2 2" xfId="13132" xr:uid="{00000000-0005-0000-0000-0000901A0000}"/>
    <cellStyle name="MLHeaderSection 2 5 3 2 3" xfId="13133" xr:uid="{00000000-0005-0000-0000-0000911A0000}"/>
    <cellStyle name="MLHeaderSection 2 5 3 2 4" xfId="13134" xr:uid="{00000000-0005-0000-0000-0000921A0000}"/>
    <cellStyle name="MLHeaderSection 2 5 3 2 5" xfId="13135" xr:uid="{00000000-0005-0000-0000-0000931A0000}"/>
    <cellStyle name="MLHeaderSection 2 5 3 3" xfId="13136" xr:uid="{00000000-0005-0000-0000-0000941A0000}"/>
    <cellStyle name="MLHeaderSection 2 5 3 3 2" xfId="13137" xr:uid="{00000000-0005-0000-0000-0000951A0000}"/>
    <cellStyle name="MLHeaderSection 2 5 3 3 3" xfId="13138" xr:uid="{00000000-0005-0000-0000-0000961A0000}"/>
    <cellStyle name="MLHeaderSection 2 5 3 3 4" xfId="13139" xr:uid="{00000000-0005-0000-0000-0000971A0000}"/>
    <cellStyle name="MLHeaderSection 2 5 3 3 5" xfId="13140" xr:uid="{00000000-0005-0000-0000-0000981A0000}"/>
    <cellStyle name="MLHeaderSection 2 5 3 4" xfId="13141" xr:uid="{00000000-0005-0000-0000-0000991A0000}"/>
    <cellStyle name="MLHeaderSection 2 5 3 4 2" xfId="13142" xr:uid="{00000000-0005-0000-0000-00009A1A0000}"/>
    <cellStyle name="MLHeaderSection 2 5 3 4 3" xfId="13143" xr:uid="{00000000-0005-0000-0000-00009B1A0000}"/>
    <cellStyle name="MLHeaderSection 2 5 3 4 4" xfId="13144" xr:uid="{00000000-0005-0000-0000-00009C1A0000}"/>
    <cellStyle name="MLHeaderSection 2 5 3 4 5" xfId="13145" xr:uid="{00000000-0005-0000-0000-00009D1A0000}"/>
    <cellStyle name="MLHeaderSection 2 5 3 5" xfId="13146" xr:uid="{00000000-0005-0000-0000-00009E1A0000}"/>
    <cellStyle name="MLHeaderSection 2 5 3 6" xfId="13147" xr:uid="{00000000-0005-0000-0000-00009F1A0000}"/>
    <cellStyle name="MLHeaderSection 2 5 3 7" xfId="13148" xr:uid="{00000000-0005-0000-0000-0000A01A0000}"/>
    <cellStyle name="MLHeaderSection 2 5 3 8" xfId="13149" xr:uid="{00000000-0005-0000-0000-0000A11A0000}"/>
    <cellStyle name="MLHeaderSection 2 5 4" xfId="13150" xr:uid="{00000000-0005-0000-0000-0000A21A0000}"/>
    <cellStyle name="MLHeaderSection 2 5 4 2" xfId="13151" xr:uid="{00000000-0005-0000-0000-0000A31A0000}"/>
    <cellStyle name="MLHeaderSection 2 5 4 3" xfId="13152" xr:uid="{00000000-0005-0000-0000-0000A41A0000}"/>
    <cellStyle name="MLHeaderSection 2 5 4 4" xfId="13153" xr:uid="{00000000-0005-0000-0000-0000A51A0000}"/>
    <cellStyle name="MLHeaderSection 2 5 4 5" xfId="13154" xr:uid="{00000000-0005-0000-0000-0000A61A0000}"/>
    <cellStyle name="MLHeaderSection 2 5 5" xfId="13155" xr:uid="{00000000-0005-0000-0000-0000A71A0000}"/>
    <cellStyle name="MLHeaderSection 2 5 5 2" xfId="13156" xr:uid="{00000000-0005-0000-0000-0000A81A0000}"/>
    <cellStyle name="MLHeaderSection 2 5 5 3" xfId="13157" xr:uid="{00000000-0005-0000-0000-0000A91A0000}"/>
    <cellStyle name="MLHeaderSection 2 5 5 4" xfId="13158" xr:uid="{00000000-0005-0000-0000-0000AA1A0000}"/>
    <cellStyle name="MLHeaderSection 2 5 5 5" xfId="13159" xr:uid="{00000000-0005-0000-0000-0000AB1A0000}"/>
    <cellStyle name="MLHeaderSection 2 5 6" xfId="13160" xr:uid="{00000000-0005-0000-0000-0000AC1A0000}"/>
    <cellStyle name="MLHeaderSection 2 5 6 2" xfId="13161" xr:uid="{00000000-0005-0000-0000-0000AD1A0000}"/>
    <cellStyle name="MLHeaderSection 2 5 6 3" xfId="13162" xr:uid="{00000000-0005-0000-0000-0000AE1A0000}"/>
    <cellStyle name="MLHeaderSection 2 5 6 4" xfId="13163" xr:uid="{00000000-0005-0000-0000-0000AF1A0000}"/>
    <cellStyle name="MLHeaderSection 2 5 6 5" xfId="13164" xr:uid="{00000000-0005-0000-0000-0000B01A0000}"/>
    <cellStyle name="MLHeaderSection 2 5 7" xfId="13165" xr:uid="{00000000-0005-0000-0000-0000B11A0000}"/>
    <cellStyle name="MLHeaderSection 2 5 8" xfId="13166" xr:uid="{00000000-0005-0000-0000-0000B21A0000}"/>
    <cellStyle name="MLHeaderSection 2 5 9" xfId="13167" xr:uid="{00000000-0005-0000-0000-0000B31A0000}"/>
    <cellStyle name="MLHeaderSection 2 6" xfId="13168" xr:uid="{00000000-0005-0000-0000-0000B41A0000}"/>
    <cellStyle name="MLHeaderSection 2 6 10" xfId="13169" xr:uid="{00000000-0005-0000-0000-0000B51A0000}"/>
    <cellStyle name="MLHeaderSection 2 6 2" xfId="13170" xr:uid="{00000000-0005-0000-0000-0000B61A0000}"/>
    <cellStyle name="MLHeaderSection 2 6 2 2" xfId="13171" xr:uid="{00000000-0005-0000-0000-0000B71A0000}"/>
    <cellStyle name="MLHeaderSection 2 6 2 2 2" xfId="13172" xr:uid="{00000000-0005-0000-0000-0000B81A0000}"/>
    <cellStyle name="MLHeaderSection 2 6 2 2 3" xfId="13173" xr:uid="{00000000-0005-0000-0000-0000B91A0000}"/>
    <cellStyle name="MLHeaderSection 2 6 2 2 4" xfId="13174" xr:uid="{00000000-0005-0000-0000-0000BA1A0000}"/>
    <cellStyle name="MLHeaderSection 2 6 2 2 5" xfId="13175" xr:uid="{00000000-0005-0000-0000-0000BB1A0000}"/>
    <cellStyle name="MLHeaderSection 2 6 2 3" xfId="13176" xr:uid="{00000000-0005-0000-0000-0000BC1A0000}"/>
    <cellStyle name="MLHeaderSection 2 6 2 3 2" xfId="13177" xr:uid="{00000000-0005-0000-0000-0000BD1A0000}"/>
    <cellStyle name="MLHeaderSection 2 6 2 3 3" xfId="13178" xr:uid="{00000000-0005-0000-0000-0000BE1A0000}"/>
    <cellStyle name="MLHeaderSection 2 6 2 3 4" xfId="13179" xr:uid="{00000000-0005-0000-0000-0000BF1A0000}"/>
    <cellStyle name="MLHeaderSection 2 6 2 3 5" xfId="13180" xr:uid="{00000000-0005-0000-0000-0000C01A0000}"/>
    <cellStyle name="MLHeaderSection 2 6 2 4" xfId="13181" xr:uid="{00000000-0005-0000-0000-0000C11A0000}"/>
    <cellStyle name="MLHeaderSection 2 6 2 4 2" xfId="13182" xr:uid="{00000000-0005-0000-0000-0000C21A0000}"/>
    <cellStyle name="MLHeaderSection 2 6 2 4 3" xfId="13183" xr:uid="{00000000-0005-0000-0000-0000C31A0000}"/>
    <cellStyle name="MLHeaderSection 2 6 2 4 4" xfId="13184" xr:uid="{00000000-0005-0000-0000-0000C41A0000}"/>
    <cellStyle name="MLHeaderSection 2 6 2 4 5" xfId="13185" xr:uid="{00000000-0005-0000-0000-0000C51A0000}"/>
    <cellStyle name="MLHeaderSection 2 6 2 5" xfId="13186" xr:uid="{00000000-0005-0000-0000-0000C61A0000}"/>
    <cellStyle name="MLHeaderSection 2 6 2 6" xfId="13187" xr:uid="{00000000-0005-0000-0000-0000C71A0000}"/>
    <cellStyle name="MLHeaderSection 2 6 2 7" xfId="13188" xr:uid="{00000000-0005-0000-0000-0000C81A0000}"/>
    <cellStyle name="MLHeaderSection 2 6 2 8" xfId="13189" xr:uid="{00000000-0005-0000-0000-0000C91A0000}"/>
    <cellStyle name="MLHeaderSection 2 6 3" xfId="13190" xr:uid="{00000000-0005-0000-0000-0000CA1A0000}"/>
    <cellStyle name="MLHeaderSection 2 6 3 2" xfId="13191" xr:uid="{00000000-0005-0000-0000-0000CB1A0000}"/>
    <cellStyle name="MLHeaderSection 2 6 3 2 2" xfId="13192" xr:uid="{00000000-0005-0000-0000-0000CC1A0000}"/>
    <cellStyle name="MLHeaderSection 2 6 3 2 3" xfId="13193" xr:uid="{00000000-0005-0000-0000-0000CD1A0000}"/>
    <cellStyle name="MLHeaderSection 2 6 3 2 4" xfId="13194" xr:uid="{00000000-0005-0000-0000-0000CE1A0000}"/>
    <cellStyle name="MLHeaderSection 2 6 3 2 5" xfId="13195" xr:uid="{00000000-0005-0000-0000-0000CF1A0000}"/>
    <cellStyle name="MLHeaderSection 2 6 3 3" xfId="13196" xr:uid="{00000000-0005-0000-0000-0000D01A0000}"/>
    <cellStyle name="MLHeaderSection 2 6 3 3 2" xfId="13197" xr:uid="{00000000-0005-0000-0000-0000D11A0000}"/>
    <cellStyle name="MLHeaderSection 2 6 3 3 3" xfId="13198" xr:uid="{00000000-0005-0000-0000-0000D21A0000}"/>
    <cellStyle name="MLHeaderSection 2 6 3 3 4" xfId="13199" xr:uid="{00000000-0005-0000-0000-0000D31A0000}"/>
    <cellStyle name="MLHeaderSection 2 6 3 3 5" xfId="13200" xr:uid="{00000000-0005-0000-0000-0000D41A0000}"/>
    <cellStyle name="MLHeaderSection 2 6 3 4" xfId="13201" xr:uid="{00000000-0005-0000-0000-0000D51A0000}"/>
    <cellStyle name="MLHeaderSection 2 6 3 4 2" xfId="13202" xr:uid="{00000000-0005-0000-0000-0000D61A0000}"/>
    <cellStyle name="MLHeaderSection 2 6 3 4 3" xfId="13203" xr:uid="{00000000-0005-0000-0000-0000D71A0000}"/>
    <cellStyle name="MLHeaderSection 2 6 3 4 4" xfId="13204" xr:uid="{00000000-0005-0000-0000-0000D81A0000}"/>
    <cellStyle name="MLHeaderSection 2 6 3 4 5" xfId="13205" xr:uid="{00000000-0005-0000-0000-0000D91A0000}"/>
    <cellStyle name="MLHeaderSection 2 6 3 5" xfId="13206" xr:uid="{00000000-0005-0000-0000-0000DA1A0000}"/>
    <cellStyle name="MLHeaderSection 2 6 3 6" xfId="13207" xr:uid="{00000000-0005-0000-0000-0000DB1A0000}"/>
    <cellStyle name="MLHeaderSection 2 6 3 7" xfId="13208" xr:uid="{00000000-0005-0000-0000-0000DC1A0000}"/>
    <cellStyle name="MLHeaderSection 2 6 3 8" xfId="13209" xr:uid="{00000000-0005-0000-0000-0000DD1A0000}"/>
    <cellStyle name="MLHeaderSection 2 6 4" xfId="13210" xr:uid="{00000000-0005-0000-0000-0000DE1A0000}"/>
    <cellStyle name="MLHeaderSection 2 6 4 2" xfId="13211" xr:uid="{00000000-0005-0000-0000-0000DF1A0000}"/>
    <cellStyle name="MLHeaderSection 2 6 4 3" xfId="13212" xr:uid="{00000000-0005-0000-0000-0000E01A0000}"/>
    <cellStyle name="MLHeaderSection 2 6 4 4" xfId="13213" xr:uid="{00000000-0005-0000-0000-0000E11A0000}"/>
    <cellStyle name="MLHeaderSection 2 6 4 5" xfId="13214" xr:uid="{00000000-0005-0000-0000-0000E21A0000}"/>
    <cellStyle name="MLHeaderSection 2 6 5" xfId="13215" xr:uid="{00000000-0005-0000-0000-0000E31A0000}"/>
    <cellStyle name="MLHeaderSection 2 6 5 2" xfId="13216" xr:uid="{00000000-0005-0000-0000-0000E41A0000}"/>
    <cellStyle name="MLHeaderSection 2 6 5 3" xfId="13217" xr:uid="{00000000-0005-0000-0000-0000E51A0000}"/>
    <cellStyle name="MLHeaderSection 2 6 5 4" xfId="13218" xr:uid="{00000000-0005-0000-0000-0000E61A0000}"/>
    <cellStyle name="MLHeaderSection 2 6 5 5" xfId="13219" xr:uid="{00000000-0005-0000-0000-0000E71A0000}"/>
    <cellStyle name="MLHeaderSection 2 6 6" xfId="13220" xr:uid="{00000000-0005-0000-0000-0000E81A0000}"/>
    <cellStyle name="MLHeaderSection 2 6 6 2" xfId="13221" xr:uid="{00000000-0005-0000-0000-0000E91A0000}"/>
    <cellStyle name="MLHeaderSection 2 6 6 3" xfId="13222" xr:uid="{00000000-0005-0000-0000-0000EA1A0000}"/>
    <cellStyle name="MLHeaderSection 2 6 6 4" xfId="13223" xr:uid="{00000000-0005-0000-0000-0000EB1A0000}"/>
    <cellStyle name="MLHeaderSection 2 6 6 5" xfId="13224" xr:uid="{00000000-0005-0000-0000-0000EC1A0000}"/>
    <cellStyle name="MLHeaderSection 2 6 7" xfId="13225" xr:uid="{00000000-0005-0000-0000-0000ED1A0000}"/>
    <cellStyle name="MLHeaderSection 2 6 8" xfId="13226" xr:uid="{00000000-0005-0000-0000-0000EE1A0000}"/>
    <cellStyle name="MLHeaderSection 2 6 9" xfId="13227" xr:uid="{00000000-0005-0000-0000-0000EF1A0000}"/>
    <cellStyle name="MLHeaderSection 2 7" xfId="13228" xr:uid="{00000000-0005-0000-0000-0000F01A0000}"/>
    <cellStyle name="MLHeaderSection 2 7 10" xfId="13229" xr:uid="{00000000-0005-0000-0000-0000F11A0000}"/>
    <cellStyle name="MLHeaderSection 2 7 2" xfId="13230" xr:uid="{00000000-0005-0000-0000-0000F21A0000}"/>
    <cellStyle name="MLHeaderSection 2 7 2 2" xfId="13231" xr:uid="{00000000-0005-0000-0000-0000F31A0000}"/>
    <cellStyle name="MLHeaderSection 2 7 2 2 2" xfId="13232" xr:uid="{00000000-0005-0000-0000-0000F41A0000}"/>
    <cellStyle name="MLHeaderSection 2 7 2 2 3" xfId="13233" xr:uid="{00000000-0005-0000-0000-0000F51A0000}"/>
    <cellStyle name="MLHeaderSection 2 7 2 2 4" xfId="13234" xr:uid="{00000000-0005-0000-0000-0000F61A0000}"/>
    <cellStyle name="MLHeaderSection 2 7 2 2 5" xfId="13235" xr:uid="{00000000-0005-0000-0000-0000F71A0000}"/>
    <cellStyle name="MLHeaderSection 2 7 2 3" xfId="13236" xr:uid="{00000000-0005-0000-0000-0000F81A0000}"/>
    <cellStyle name="MLHeaderSection 2 7 2 3 2" xfId="13237" xr:uid="{00000000-0005-0000-0000-0000F91A0000}"/>
    <cellStyle name="MLHeaderSection 2 7 2 3 3" xfId="13238" xr:uid="{00000000-0005-0000-0000-0000FA1A0000}"/>
    <cellStyle name="MLHeaderSection 2 7 2 3 4" xfId="13239" xr:uid="{00000000-0005-0000-0000-0000FB1A0000}"/>
    <cellStyle name="MLHeaderSection 2 7 2 3 5" xfId="13240" xr:uid="{00000000-0005-0000-0000-0000FC1A0000}"/>
    <cellStyle name="MLHeaderSection 2 7 2 4" xfId="13241" xr:uid="{00000000-0005-0000-0000-0000FD1A0000}"/>
    <cellStyle name="MLHeaderSection 2 7 2 4 2" xfId="13242" xr:uid="{00000000-0005-0000-0000-0000FE1A0000}"/>
    <cellStyle name="MLHeaderSection 2 7 2 4 3" xfId="13243" xr:uid="{00000000-0005-0000-0000-0000FF1A0000}"/>
    <cellStyle name="MLHeaderSection 2 7 2 4 4" xfId="13244" xr:uid="{00000000-0005-0000-0000-0000001B0000}"/>
    <cellStyle name="MLHeaderSection 2 7 2 4 5" xfId="13245" xr:uid="{00000000-0005-0000-0000-0000011B0000}"/>
    <cellStyle name="MLHeaderSection 2 7 2 5" xfId="13246" xr:uid="{00000000-0005-0000-0000-0000021B0000}"/>
    <cellStyle name="MLHeaderSection 2 7 2 6" xfId="13247" xr:uid="{00000000-0005-0000-0000-0000031B0000}"/>
    <cellStyle name="MLHeaderSection 2 7 2 7" xfId="13248" xr:uid="{00000000-0005-0000-0000-0000041B0000}"/>
    <cellStyle name="MLHeaderSection 2 7 2 8" xfId="13249" xr:uid="{00000000-0005-0000-0000-0000051B0000}"/>
    <cellStyle name="MLHeaderSection 2 7 3" xfId="13250" xr:uid="{00000000-0005-0000-0000-0000061B0000}"/>
    <cellStyle name="MLHeaderSection 2 7 3 2" xfId="13251" xr:uid="{00000000-0005-0000-0000-0000071B0000}"/>
    <cellStyle name="MLHeaderSection 2 7 3 2 2" xfId="13252" xr:uid="{00000000-0005-0000-0000-0000081B0000}"/>
    <cellStyle name="MLHeaderSection 2 7 3 2 3" xfId="13253" xr:uid="{00000000-0005-0000-0000-0000091B0000}"/>
    <cellStyle name="MLHeaderSection 2 7 3 2 4" xfId="13254" xr:uid="{00000000-0005-0000-0000-00000A1B0000}"/>
    <cellStyle name="MLHeaderSection 2 7 3 2 5" xfId="13255" xr:uid="{00000000-0005-0000-0000-00000B1B0000}"/>
    <cellStyle name="MLHeaderSection 2 7 3 3" xfId="13256" xr:uid="{00000000-0005-0000-0000-00000C1B0000}"/>
    <cellStyle name="MLHeaderSection 2 7 3 3 2" xfId="13257" xr:uid="{00000000-0005-0000-0000-00000D1B0000}"/>
    <cellStyle name="MLHeaderSection 2 7 3 3 3" xfId="13258" xr:uid="{00000000-0005-0000-0000-00000E1B0000}"/>
    <cellStyle name="MLHeaderSection 2 7 3 3 4" xfId="13259" xr:uid="{00000000-0005-0000-0000-00000F1B0000}"/>
    <cellStyle name="MLHeaderSection 2 7 3 3 5" xfId="13260" xr:uid="{00000000-0005-0000-0000-0000101B0000}"/>
    <cellStyle name="MLHeaderSection 2 7 3 4" xfId="13261" xr:uid="{00000000-0005-0000-0000-0000111B0000}"/>
    <cellStyle name="MLHeaderSection 2 7 3 4 2" xfId="13262" xr:uid="{00000000-0005-0000-0000-0000121B0000}"/>
    <cellStyle name="MLHeaderSection 2 7 3 4 3" xfId="13263" xr:uid="{00000000-0005-0000-0000-0000131B0000}"/>
    <cellStyle name="MLHeaderSection 2 7 3 4 4" xfId="13264" xr:uid="{00000000-0005-0000-0000-0000141B0000}"/>
    <cellStyle name="MLHeaderSection 2 7 3 4 5" xfId="13265" xr:uid="{00000000-0005-0000-0000-0000151B0000}"/>
    <cellStyle name="MLHeaderSection 2 7 3 5" xfId="13266" xr:uid="{00000000-0005-0000-0000-0000161B0000}"/>
    <cellStyle name="MLHeaderSection 2 7 3 6" xfId="13267" xr:uid="{00000000-0005-0000-0000-0000171B0000}"/>
    <cellStyle name="MLHeaderSection 2 7 3 7" xfId="13268" xr:uid="{00000000-0005-0000-0000-0000181B0000}"/>
    <cellStyle name="MLHeaderSection 2 7 3 8" xfId="13269" xr:uid="{00000000-0005-0000-0000-0000191B0000}"/>
    <cellStyle name="MLHeaderSection 2 7 4" xfId="13270" xr:uid="{00000000-0005-0000-0000-00001A1B0000}"/>
    <cellStyle name="MLHeaderSection 2 7 4 2" xfId="13271" xr:uid="{00000000-0005-0000-0000-00001B1B0000}"/>
    <cellStyle name="MLHeaderSection 2 7 4 3" xfId="13272" xr:uid="{00000000-0005-0000-0000-00001C1B0000}"/>
    <cellStyle name="MLHeaderSection 2 7 4 4" xfId="13273" xr:uid="{00000000-0005-0000-0000-00001D1B0000}"/>
    <cellStyle name="MLHeaderSection 2 7 4 5" xfId="13274" xr:uid="{00000000-0005-0000-0000-00001E1B0000}"/>
    <cellStyle name="MLHeaderSection 2 7 5" xfId="13275" xr:uid="{00000000-0005-0000-0000-00001F1B0000}"/>
    <cellStyle name="MLHeaderSection 2 7 5 2" xfId="13276" xr:uid="{00000000-0005-0000-0000-0000201B0000}"/>
    <cellStyle name="MLHeaderSection 2 7 5 3" xfId="13277" xr:uid="{00000000-0005-0000-0000-0000211B0000}"/>
    <cellStyle name="MLHeaderSection 2 7 5 4" xfId="13278" xr:uid="{00000000-0005-0000-0000-0000221B0000}"/>
    <cellStyle name="MLHeaderSection 2 7 5 5" xfId="13279" xr:uid="{00000000-0005-0000-0000-0000231B0000}"/>
    <cellStyle name="MLHeaderSection 2 7 6" xfId="13280" xr:uid="{00000000-0005-0000-0000-0000241B0000}"/>
    <cellStyle name="MLHeaderSection 2 7 6 2" xfId="13281" xr:uid="{00000000-0005-0000-0000-0000251B0000}"/>
    <cellStyle name="MLHeaderSection 2 7 6 3" xfId="13282" xr:uid="{00000000-0005-0000-0000-0000261B0000}"/>
    <cellStyle name="MLHeaderSection 2 7 6 4" xfId="13283" xr:uid="{00000000-0005-0000-0000-0000271B0000}"/>
    <cellStyle name="MLHeaderSection 2 7 6 5" xfId="13284" xr:uid="{00000000-0005-0000-0000-0000281B0000}"/>
    <cellStyle name="MLHeaderSection 2 7 7" xfId="13285" xr:uid="{00000000-0005-0000-0000-0000291B0000}"/>
    <cellStyle name="MLHeaderSection 2 7 8" xfId="13286" xr:uid="{00000000-0005-0000-0000-00002A1B0000}"/>
    <cellStyle name="MLHeaderSection 2 7 9" xfId="13287" xr:uid="{00000000-0005-0000-0000-00002B1B0000}"/>
    <cellStyle name="MLHeaderSection 2 8" xfId="13288" xr:uid="{00000000-0005-0000-0000-00002C1B0000}"/>
    <cellStyle name="MLHeaderSection 2 8 2" xfId="13289" xr:uid="{00000000-0005-0000-0000-00002D1B0000}"/>
    <cellStyle name="MLHeaderSection 2 8 2 2" xfId="13290" xr:uid="{00000000-0005-0000-0000-00002E1B0000}"/>
    <cellStyle name="MLHeaderSection 2 8 2 3" xfId="13291" xr:uid="{00000000-0005-0000-0000-00002F1B0000}"/>
    <cellStyle name="MLHeaderSection 2 8 2 4" xfId="13292" xr:uid="{00000000-0005-0000-0000-0000301B0000}"/>
    <cellStyle name="MLHeaderSection 2 8 2 5" xfId="13293" xr:uid="{00000000-0005-0000-0000-0000311B0000}"/>
    <cellStyle name="MLHeaderSection 2 8 3" xfId="13294" xr:uid="{00000000-0005-0000-0000-0000321B0000}"/>
    <cellStyle name="MLHeaderSection 2 8 3 2" xfId="13295" xr:uid="{00000000-0005-0000-0000-0000331B0000}"/>
    <cellStyle name="MLHeaderSection 2 8 3 3" xfId="13296" xr:uid="{00000000-0005-0000-0000-0000341B0000}"/>
    <cellStyle name="MLHeaderSection 2 8 3 4" xfId="13297" xr:uid="{00000000-0005-0000-0000-0000351B0000}"/>
    <cellStyle name="MLHeaderSection 2 8 3 5" xfId="13298" xr:uid="{00000000-0005-0000-0000-0000361B0000}"/>
    <cellStyle name="MLHeaderSection 2 8 4" xfId="13299" xr:uid="{00000000-0005-0000-0000-0000371B0000}"/>
    <cellStyle name="MLHeaderSection 2 8 4 2" xfId="13300" xr:uid="{00000000-0005-0000-0000-0000381B0000}"/>
    <cellStyle name="MLHeaderSection 2 8 4 3" xfId="13301" xr:uid="{00000000-0005-0000-0000-0000391B0000}"/>
    <cellStyle name="MLHeaderSection 2 8 4 4" xfId="13302" xr:uid="{00000000-0005-0000-0000-00003A1B0000}"/>
    <cellStyle name="MLHeaderSection 2 8 4 5" xfId="13303" xr:uid="{00000000-0005-0000-0000-00003B1B0000}"/>
    <cellStyle name="MLHeaderSection 2 8 5" xfId="13304" xr:uid="{00000000-0005-0000-0000-00003C1B0000}"/>
    <cellStyle name="MLHeaderSection 2 8 6" xfId="13305" xr:uid="{00000000-0005-0000-0000-00003D1B0000}"/>
    <cellStyle name="MLHeaderSection 2 8 7" xfId="13306" xr:uid="{00000000-0005-0000-0000-00003E1B0000}"/>
    <cellStyle name="MLHeaderSection 2 8 8" xfId="13307" xr:uid="{00000000-0005-0000-0000-00003F1B0000}"/>
    <cellStyle name="MLHeaderSection 2 9" xfId="13308" xr:uid="{00000000-0005-0000-0000-0000401B0000}"/>
    <cellStyle name="MLHeaderSection 2 9 2" xfId="13309" xr:uid="{00000000-0005-0000-0000-0000411B0000}"/>
    <cellStyle name="MLHeaderSection 2 9 2 2" xfId="13310" xr:uid="{00000000-0005-0000-0000-0000421B0000}"/>
    <cellStyle name="MLHeaderSection 2 9 2 3" xfId="13311" xr:uid="{00000000-0005-0000-0000-0000431B0000}"/>
    <cellStyle name="MLHeaderSection 2 9 2 4" xfId="13312" xr:uid="{00000000-0005-0000-0000-0000441B0000}"/>
    <cellStyle name="MLHeaderSection 2 9 2 5" xfId="13313" xr:uid="{00000000-0005-0000-0000-0000451B0000}"/>
    <cellStyle name="MLHeaderSection 2 9 3" xfId="13314" xr:uid="{00000000-0005-0000-0000-0000461B0000}"/>
    <cellStyle name="MLHeaderSection 2 9 3 2" xfId="13315" xr:uid="{00000000-0005-0000-0000-0000471B0000}"/>
    <cellStyle name="MLHeaderSection 2 9 3 3" xfId="13316" xr:uid="{00000000-0005-0000-0000-0000481B0000}"/>
    <cellStyle name="MLHeaderSection 2 9 3 4" xfId="13317" xr:uid="{00000000-0005-0000-0000-0000491B0000}"/>
    <cellStyle name="MLHeaderSection 2 9 3 5" xfId="13318" xr:uid="{00000000-0005-0000-0000-00004A1B0000}"/>
    <cellStyle name="MLHeaderSection 2 9 4" xfId="13319" xr:uid="{00000000-0005-0000-0000-00004B1B0000}"/>
    <cellStyle name="MLHeaderSection 2 9 4 2" xfId="13320" xr:uid="{00000000-0005-0000-0000-00004C1B0000}"/>
    <cellStyle name="MLHeaderSection 2 9 4 3" xfId="13321" xr:uid="{00000000-0005-0000-0000-00004D1B0000}"/>
    <cellStyle name="MLHeaderSection 2 9 4 4" xfId="13322" xr:uid="{00000000-0005-0000-0000-00004E1B0000}"/>
    <cellStyle name="MLHeaderSection 2 9 4 5" xfId="13323" xr:uid="{00000000-0005-0000-0000-00004F1B0000}"/>
    <cellStyle name="MLHeaderSection 2 9 5" xfId="13324" xr:uid="{00000000-0005-0000-0000-0000501B0000}"/>
    <cellStyle name="MLHeaderSection 2 9 6" xfId="13325" xr:uid="{00000000-0005-0000-0000-0000511B0000}"/>
    <cellStyle name="MLHeaderSection 2 9 7" xfId="13326" xr:uid="{00000000-0005-0000-0000-0000521B0000}"/>
    <cellStyle name="MLHeaderSection 2 9 8" xfId="13327" xr:uid="{00000000-0005-0000-0000-0000531B0000}"/>
    <cellStyle name="MLHeaderSection 3" xfId="13328" xr:uid="{00000000-0005-0000-0000-0000541B0000}"/>
    <cellStyle name="MLHeaderSection 3 10" xfId="13329" xr:uid="{00000000-0005-0000-0000-0000551B0000}"/>
    <cellStyle name="MLHeaderSection 3 2" xfId="13330" xr:uid="{00000000-0005-0000-0000-0000561B0000}"/>
    <cellStyle name="MLHeaderSection 3 2 2" xfId="13331" xr:uid="{00000000-0005-0000-0000-0000571B0000}"/>
    <cellStyle name="MLHeaderSection 3 2 2 2" xfId="13332" xr:uid="{00000000-0005-0000-0000-0000581B0000}"/>
    <cellStyle name="MLHeaderSection 3 2 2 3" xfId="13333" xr:uid="{00000000-0005-0000-0000-0000591B0000}"/>
    <cellStyle name="MLHeaderSection 3 2 2 4" xfId="13334" xr:uid="{00000000-0005-0000-0000-00005A1B0000}"/>
    <cellStyle name="MLHeaderSection 3 2 2 5" xfId="13335" xr:uid="{00000000-0005-0000-0000-00005B1B0000}"/>
    <cellStyle name="MLHeaderSection 3 2 3" xfId="13336" xr:uid="{00000000-0005-0000-0000-00005C1B0000}"/>
    <cellStyle name="MLHeaderSection 3 2 3 2" xfId="13337" xr:uid="{00000000-0005-0000-0000-00005D1B0000}"/>
    <cellStyle name="MLHeaderSection 3 2 3 3" xfId="13338" xr:uid="{00000000-0005-0000-0000-00005E1B0000}"/>
    <cellStyle name="MLHeaderSection 3 2 3 4" xfId="13339" xr:uid="{00000000-0005-0000-0000-00005F1B0000}"/>
    <cellStyle name="MLHeaderSection 3 2 3 5" xfId="13340" xr:uid="{00000000-0005-0000-0000-0000601B0000}"/>
    <cellStyle name="MLHeaderSection 3 2 4" xfId="13341" xr:uid="{00000000-0005-0000-0000-0000611B0000}"/>
    <cellStyle name="MLHeaderSection 3 2 4 2" xfId="13342" xr:uid="{00000000-0005-0000-0000-0000621B0000}"/>
    <cellStyle name="MLHeaderSection 3 2 4 3" xfId="13343" xr:uid="{00000000-0005-0000-0000-0000631B0000}"/>
    <cellStyle name="MLHeaderSection 3 2 4 4" xfId="13344" xr:uid="{00000000-0005-0000-0000-0000641B0000}"/>
    <cellStyle name="MLHeaderSection 3 2 4 5" xfId="13345" xr:uid="{00000000-0005-0000-0000-0000651B0000}"/>
    <cellStyle name="MLHeaderSection 3 2 5" xfId="13346" xr:uid="{00000000-0005-0000-0000-0000661B0000}"/>
    <cellStyle name="MLHeaderSection 3 2 6" xfId="13347" xr:uid="{00000000-0005-0000-0000-0000671B0000}"/>
    <cellStyle name="MLHeaderSection 3 2 7" xfId="13348" xr:uid="{00000000-0005-0000-0000-0000681B0000}"/>
    <cellStyle name="MLHeaderSection 3 2 8" xfId="13349" xr:uid="{00000000-0005-0000-0000-0000691B0000}"/>
    <cellStyle name="MLHeaderSection 3 3" xfId="13350" xr:uid="{00000000-0005-0000-0000-00006A1B0000}"/>
    <cellStyle name="MLHeaderSection 3 3 2" xfId="13351" xr:uid="{00000000-0005-0000-0000-00006B1B0000}"/>
    <cellStyle name="MLHeaderSection 3 3 2 2" xfId="13352" xr:uid="{00000000-0005-0000-0000-00006C1B0000}"/>
    <cellStyle name="MLHeaderSection 3 3 2 3" xfId="13353" xr:uid="{00000000-0005-0000-0000-00006D1B0000}"/>
    <cellStyle name="MLHeaderSection 3 3 2 4" xfId="13354" xr:uid="{00000000-0005-0000-0000-00006E1B0000}"/>
    <cellStyle name="MLHeaderSection 3 3 2 5" xfId="13355" xr:uid="{00000000-0005-0000-0000-00006F1B0000}"/>
    <cellStyle name="MLHeaderSection 3 3 3" xfId="13356" xr:uid="{00000000-0005-0000-0000-0000701B0000}"/>
    <cellStyle name="MLHeaderSection 3 3 3 2" xfId="13357" xr:uid="{00000000-0005-0000-0000-0000711B0000}"/>
    <cellStyle name="MLHeaderSection 3 3 3 3" xfId="13358" xr:uid="{00000000-0005-0000-0000-0000721B0000}"/>
    <cellStyle name="MLHeaderSection 3 3 3 4" xfId="13359" xr:uid="{00000000-0005-0000-0000-0000731B0000}"/>
    <cellStyle name="MLHeaderSection 3 3 3 5" xfId="13360" xr:uid="{00000000-0005-0000-0000-0000741B0000}"/>
    <cellStyle name="MLHeaderSection 3 3 4" xfId="13361" xr:uid="{00000000-0005-0000-0000-0000751B0000}"/>
    <cellStyle name="MLHeaderSection 3 3 4 2" xfId="13362" xr:uid="{00000000-0005-0000-0000-0000761B0000}"/>
    <cellStyle name="MLHeaderSection 3 3 4 3" xfId="13363" xr:uid="{00000000-0005-0000-0000-0000771B0000}"/>
    <cellStyle name="MLHeaderSection 3 3 4 4" xfId="13364" xr:uid="{00000000-0005-0000-0000-0000781B0000}"/>
    <cellStyle name="MLHeaderSection 3 3 4 5" xfId="13365" xr:uid="{00000000-0005-0000-0000-0000791B0000}"/>
    <cellStyle name="MLHeaderSection 3 3 5" xfId="13366" xr:uid="{00000000-0005-0000-0000-00007A1B0000}"/>
    <cellStyle name="MLHeaderSection 3 3 6" xfId="13367" xr:uid="{00000000-0005-0000-0000-00007B1B0000}"/>
    <cellStyle name="MLHeaderSection 3 3 7" xfId="13368" xr:uid="{00000000-0005-0000-0000-00007C1B0000}"/>
    <cellStyle name="MLHeaderSection 3 3 8" xfId="13369" xr:uid="{00000000-0005-0000-0000-00007D1B0000}"/>
    <cellStyle name="MLHeaderSection 3 4" xfId="13370" xr:uid="{00000000-0005-0000-0000-00007E1B0000}"/>
    <cellStyle name="MLHeaderSection 3 4 2" xfId="13371" xr:uid="{00000000-0005-0000-0000-00007F1B0000}"/>
    <cellStyle name="MLHeaderSection 3 4 3" xfId="13372" xr:uid="{00000000-0005-0000-0000-0000801B0000}"/>
    <cellStyle name="MLHeaderSection 3 4 4" xfId="13373" xr:uid="{00000000-0005-0000-0000-0000811B0000}"/>
    <cellStyle name="MLHeaderSection 3 4 5" xfId="13374" xr:uid="{00000000-0005-0000-0000-0000821B0000}"/>
    <cellStyle name="MLHeaderSection 3 5" xfId="13375" xr:uid="{00000000-0005-0000-0000-0000831B0000}"/>
    <cellStyle name="MLHeaderSection 3 5 2" xfId="13376" xr:uid="{00000000-0005-0000-0000-0000841B0000}"/>
    <cellStyle name="MLHeaderSection 3 5 3" xfId="13377" xr:uid="{00000000-0005-0000-0000-0000851B0000}"/>
    <cellStyle name="MLHeaderSection 3 5 4" xfId="13378" xr:uid="{00000000-0005-0000-0000-0000861B0000}"/>
    <cellStyle name="MLHeaderSection 3 5 5" xfId="13379" xr:uid="{00000000-0005-0000-0000-0000871B0000}"/>
    <cellStyle name="MLHeaderSection 3 6" xfId="13380" xr:uid="{00000000-0005-0000-0000-0000881B0000}"/>
    <cellStyle name="MLHeaderSection 3 6 2" xfId="13381" xr:uid="{00000000-0005-0000-0000-0000891B0000}"/>
    <cellStyle name="MLHeaderSection 3 6 3" xfId="13382" xr:uid="{00000000-0005-0000-0000-00008A1B0000}"/>
    <cellStyle name="MLHeaderSection 3 6 4" xfId="13383" xr:uid="{00000000-0005-0000-0000-00008B1B0000}"/>
    <cellStyle name="MLHeaderSection 3 6 5" xfId="13384" xr:uid="{00000000-0005-0000-0000-00008C1B0000}"/>
    <cellStyle name="MLHeaderSection 3 7" xfId="13385" xr:uid="{00000000-0005-0000-0000-00008D1B0000}"/>
    <cellStyle name="MLHeaderSection 3 8" xfId="13386" xr:uid="{00000000-0005-0000-0000-00008E1B0000}"/>
    <cellStyle name="MLHeaderSection 3 9" xfId="13387" xr:uid="{00000000-0005-0000-0000-00008F1B0000}"/>
    <cellStyle name="MLHeaderSection 4" xfId="13388" xr:uid="{00000000-0005-0000-0000-0000901B0000}"/>
    <cellStyle name="MLHeaderSection 4 10" xfId="13389" xr:uid="{00000000-0005-0000-0000-0000911B0000}"/>
    <cellStyle name="MLHeaderSection 4 2" xfId="13390" xr:uid="{00000000-0005-0000-0000-0000921B0000}"/>
    <cellStyle name="MLHeaderSection 4 2 2" xfId="13391" xr:uid="{00000000-0005-0000-0000-0000931B0000}"/>
    <cellStyle name="MLHeaderSection 4 2 2 2" xfId="13392" xr:uid="{00000000-0005-0000-0000-0000941B0000}"/>
    <cellStyle name="MLHeaderSection 4 2 2 3" xfId="13393" xr:uid="{00000000-0005-0000-0000-0000951B0000}"/>
    <cellStyle name="MLHeaderSection 4 2 2 4" xfId="13394" xr:uid="{00000000-0005-0000-0000-0000961B0000}"/>
    <cellStyle name="MLHeaderSection 4 2 2 5" xfId="13395" xr:uid="{00000000-0005-0000-0000-0000971B0000}"/>
    <cellStyle name="MLHeaderSection 4 2 3" xfId="13396" xr:uid="{00000000-0005-0000-0000-0000981B0000}"/>
    <cellStyle name="MLHeaderSection 4 2 3 2" xfId="13397" xr:uid="{00000000-0005-0000-0000-0000991B0000}"/>
    <cellStyle name="MLHeaderSection 4 2 3 3" xfId="13398" xr:uid="{00000000-0005-0000-0000-00009A1B0000}"/>
    <cellStyle name="MLHeaderSection 4 2 3 4" xfId="13399" xr:uid="{00000000-0005-0000-0000-00009B1B0000}"/>
    <cellStyle name="MLHeaderSection 4 2 3 5" xfId="13400" xr:uid="{00000000-0005-0000-0000-00009C1B0000}"/>
    <cellStyle name="MLHeaderSection 4 2 4" xfId="13401" xr:uid="{00000000-0005-0000-0000-00009D1B0000}"/>
    <cellStyle name="MLHeaderSection 4 2 4 2" xfId="13402" xr:uid="{00000000-0005-0000-0000-00009E1B0000}"/>
    <cellStyle name="MLHeaderSection 4 2 4 3" xfId="13403" xr:uid="{00000000-0005-0000-0000-00009F1B0000}"/>
    <cellStyle name="MLHeaderSection 4 2 4 4" xfId="13404" xr:uid="{00000000-0005-0000-0000-0000A01B0000}"/>
    <cellStyle name="MLHeaderSection 4 2 4 5" xfId="13405" xr:uid="{00000000-0005-0000-0000-0000A11B0000}"/>
    <cellStyle name="MLHeaderSection 4 2 5" xfId="13406" xr:uid="{00000000-0005-0000-0000-0000A21B0000}"/>
    <cellStyle name="MLHeaderSection 4 2 6" xfId="13407" xr:uid="{00000000-0005-0000-0000-0000A31B0000}"/>
    <cellStyle name="MLHeaderSection 4 2 7" xfId="13408" xr:uid="{00000000-0005-0000-0000-0000A41B0000}"/>
    <cellStyle name="MLHeaderSection 4 2 8" xfId="13409" xr:uid="{00000000-0005-0000-0000-0000A51B0000}"/>
    <cellStyle name="MLHeaderSection 4 3" xfId="13410" xr:uid="{00000000-0005-0000-0000-0000A61B0000}"/>
    <cellStyle name="MLHeaderSection 4 3 2" xfId="13411" xr:uid="{00000000-0005-0000-0000-0000A71B0000}"/>
    <cellStyle name="MLHeaderSection 4 3 2 2" xfId="13412" xr:uid="{00000000-0005-0000-0000-0000A81B0000}"/>
    <cellStyle name="MLHeaderSection 4 3 2 3" xfId="13413" xr:uid="{00000000-0005-0000-0000-0000A91B0000}"/>
    <cellStyle name="MLHeaderSection 4 3 2 4" xfId="13414" xr:uid="{00000000-0005-0000-0000-0000AA1B0000}"/>
    <cellStyle name="MLHeaderSection 4 3 2 5" xfId="13415" xr:uid="{00000000-0005-0000-0000-0000AB1B0000}"/>
    <cellStyle name="MLHeaderSection 4 3 3" xfId="13416" xr:uid="{00000000-0005-0000-0000-0000AC1B0000}"/>
    <cellStyle name="MLHeaderSection 4 3 3 2" xfId="13417" xr:uid="{00000000-0005-0000-0000-0000AD1B0000}"/>
    <cellStyle name="MLHeaderSection 4 3 3 3" xfId="13418" xr:uid="{00000000-0005-0000-0000-0000AE1B0000}"/>
    <cellStyle name="MLHeaderSection 4 3 3 4" xfId="13419" xr:uid="{00000000-0005-0000-0000-0000AF1B0000}"/>
    <cellStyle name="MLHeaderSection 4 3 3 5" xfId="13420" xr:uid="{00000000-0005-0000-0000-0000B01B0000}"/>
    <cellStyle name="MLHeaderSection 4 3 4" xfId="13421" xr:uid="{00000000-0005-0000-0000-0000B11B0000}"/>
    <cellStyle name="MLHeaderSection 4 3 4 2" xfId="13422" xr:uid="{00000000-0005-0000-0000-0000B21B0000}"/>
    <cellStyle name="MLHeaderSection 4 3 4 3" xfId="13423" xr:uid="{00000000-0005-0000-0000-0000B31B0000}"/>
    <cellStyle name="MLHeaderSection 4 3 4 4" xfId="13424" xr:uid="{00000000-0005-0000-0000-0000B41B0000}"/>
    <cellStyle name="MLHeaderSection 4 3 4 5" xfId="13425" xr:uid="{00000000-0005-0000-0000-0000B51B0000}"/>
    <cellStyle name="MLHeaderSection 4 3 5" xfId="13426" xr:uid="{00000000-0005-0000-0000-0000B61B0000}"/>
    <cellStyle name="MLHeaderSection 4 3 6" xfId="13427" xr:uid="{00000000-0005-0000-0000-0000B71B0000}"/>
    <cellStyle name="MLHeaderSection 4 3 7" xfId="13428" xr:uid="{00000000-0005-0000-0000-0000B81B0000}"/>
    <cellStyle name="MLHeaderSection 4 3 8" xfId="13429" xr:uid="{00000000-0005-0000-0000-0000B91B0000}"/>
    <cellStyle name="MLHeaderSection 4 4" xfId="13430" xr:uid="{00000000-0005-0000-0000-0000BA1B0000}"/>
    <cellStyle name="MLHeaderSection 4 4 2" xfId="13431" xr:uid="{00000000-0005-0000-0000-0000BB1B0000}"/>
    <cellStyle name="MLHeaderSection 4 4 3" xfId="13432" xr:uid="{00000000-0005-0000-0000-0000BC1B0000}"/>
    <cellStyle name="MLHeaderSection 4 4 4" xfId="13433" xr:uid="{00000000-0005-0000-0000-0000BD1B0000}"/>
    <cellStyle name="MLHeaderSection 4 4 5" xfId="13434" xr:uid="{00000000-0005-0000-0000-0000BE1B0000}"/>
    <cellStyle name="MLHeaderSection 4 5" xfId="13435" xr:uid="{00000000-0005-0000-0000-0000BF1B0000}"/>
    <cellStyle name="MLHeaderSection 4 5 2" xfId="13436" xr:uid="{00000000-0005-0000-0000-0000C01B0000}"/>
    <cellStyle name="MLHeaderSection 4 5 3" xfId="13437" xr:uid="{00000000-0005-0000-0000-0000C11B0000}"/>
    <cellStyle name="MLHeaderSection 4 5 4" xfId="13438" xr:uid="{00000000-0005-0000-0000-0000C21B0000}"/>
    <cellStyle name="MLHeaderSection 4 5 5" xfId="13439" xr:uid="{00000000-0005-0000-0000-0000C31B0000}"/>
    <cellStyle name="MLHeaderSection 4 6" xfId="13440" xr:uid="{00000000-0005-0000-0000-0000C41B0000}"/>
    <cellStyle name="MLHeaderSection 4 6 2" xfId="13441" xr:uid="{00000000-0005-0000-0000-0000C51B0000}"/>
    <cellStyle name="MLHeaderSection 4 6 3" xfId="13442" xr:uid="{00000000-0005-0000-0000-0000C61B0000}"/>
    <cellStyle name="MLHeaderSection 4 6 4" xfId="13443" xr:uid="{00000000-0005-0000-0000-0000C71B0000}"/>
    <cellStyle name="MLHeaderSection 4 6 5" xfId="13444" xr:uid="{00000000-0005-0000-0000-0000C81B0000}"/>
    <cellStyle name="MLHeaderSection 4 7" xfId="13445" xr:uid="{00000000-0005-0000-0000-0000C91B0000}"/>
    <cellStyle name="MLHeaderSection 4 8" xfId="13446" xr:uid="{00000000-0005-0000-0000-0000CA1B0000}"/>
    <cellStyle name="MLHeaderSection 4 9" xfId="13447" xr:uid="{00000000-0005-0000-0000-0000CB1B0000}"/>
    <cellStyle name="MLHeaderSection 5" xfId="13448" xr:uid="{00000000-0005-0000-0000-0000CC1B0000}"/>
    <cellStyle name="MLHeaderSection 5 10" xfId="13449" xr:uid="{00000000-0005-0000-0000-0000CD1B0000}"/>
    <cellStyle name="MLHeaderSection 5 2" xfId="13450" xr:uid="{00000000-0005-0000-0000-0000CE1B0000}"/>
    <cellStyle name="MLHeaderSection 5 2 2" xfId="13451" xr:uid="{00000000-0005-0000-0000-0000CF1B0000}"/>
    <cellStyle name="MLHeaderSection 5 2 2 2" xfId="13452" xr:uid="{00000000-0005-0000-0000-0000D01B0000}"/>
    <cellStyle name="MLHeaderSection 5 2 2 3" xfId="13453" xr:uid="{00000000-0005-0000-0000-0000D11B0000}"/>
    <cellStyle name="MLHeaderSection 5 2 2 4" xfId="13454" xr:uid="{00000000-0005-0000-0000-0000D21B0000}"/>
    <cellStyle name="MLHeaderSection 5 2 2 5" xfId="13455" xr:uid="{00000000-0005-0000-0000-0000D31B0000}"/>
    <cellStyle name="MLHeaderSection 5 2 3" xfId="13456" xr:uid="{00000000-0005-0000-0000-0000D41B0000}"/>
    <cellStyle name="MLHeaderSection 5 2 3 2" xfId="13457" xr:uid="{00000000-0005-0000-0000-0000D51B0000}"/>
    <cellStyle name="MLHeaderSection 5 2 3 3" xfId="13458" xr:uid="{00000000-0005-0000-0000-0000D61B0000}"/>
    <cellStyle name="MLHeaderSection 5 2 3 4" xfId="13459" xr:uid="{00000000-0005-0000-0000-0000D71B0000}"/>
    <cellStyle name="MLHeaderSection 5 2 3 5" xfId="13460" xr:uid="{00000000-0005-0000-0000-0000D81B0000}"/>
    <cellStyle name="MLHeaderSection 5 2 4" xfId="13461" xr:uid="{00000000-0005-0000-0000-0000D91B0000}"/>
    <cellStyle name="MLHeaderSection 5 2 4 2" xfId="13462" xr:uid="{00000000-0005-0000-0000-0000DA1B0000}"/>
    <cellStyle name="MLHeaderSection 5 2 4 3" xfId="13463" xr:uid="{00000000-0005-0000-0000-0000DB1B0000}"/>
    <cellStyle name="MLHeaderSection 5 2 4 4" xfId="13464" xr:uid="{00000000-0005-0000-0000-0000DC1B0000}"/>
    <cellStyle name="MLHeaderSection 5 2 4 5" xfId="13465" xr:uid="{00000000-0005-0000-0000-0000DD1B0000}"/>
    <cellStyle name="MLHeaderSection 5 2 5" xfId="13466" xr:uid="{00000000-0005-0000-0000-0000DE1B0000}"/>
    <cellStyle name="MLHeaderSection 5 2 6" xfId="13467" xr:uid="{00000000-0005-0000-0000-0000DF1B0000}"/>
    <cellStyle name="MLHeaderSection 5 2 7" xfId="13468" xr:uid="{00000000-0005-0000-0000-0000E01B0000}"/>
    <cellStyle name="MLHeaderSection 5 2 8" xfId="13469" xr:uid="{00000000-0005-0000-0000-0000E11B0000}"/>
    <cellStyle name="MLHeaderSection 5 3" xfId="13470" xr:uid="{00000000-0005-0000-0000-0000E21B0000}"/>
    <cellStyle name="MLHeaderSection 5 3 2" xfId="13471" xr:uid="{00000000-0005-0000-0000-0000E31B0000}"/>
    <cellStyle name="MLHeaderSection 5 3 2 2" xfId="13472" xr:uid="{00000000-0005-0000-0000-0000E41B0000}"/>
    <cellStyle name="MLHeaderSection 5 3 2 3" xfId="13473" xr:uid="{00000000-0005-0000-0000-0000E51B0000}"/>
    <cellStyle name="MLHeaderSection 5 3 2 4" xfId="13474" xr:uid="{00000000-0005-0000-0000-0000E61B0000}"/>
    <cellStyle name="MLHeaderSection 5 3 2 5" xfId="13475" xr:uid="{00000000-0005-0000-0000-0000E71B0000}"/>
    <cellStyle name="MLHeaderSection 5 3 3" xfId="13476" xr:uid="{00000000-0005-0000-0000-0000E81B0000}"/>
    <cellStyle name="MLHeaderSection 5 3 3 2" xfId="13477" xr:uid="{00000000-0005-0000-0000-0000E91B0000}"/>
    <cellStyle name="MLHeaderSection 5 3 3 3" xfId="13478" xr:uid="{00000000-0005-0000-0000-0000EA1B0000}"/>
    <cellStyle name="MLHeaderSection 5 3 3 4" xfId="13479" xr:uid="{00000000-0005-0000-0000-0000EB1B0000}"/>
    <cellStyle name="MLHeaderSection 5 3 3 5" xfId="13480" xr:uid="{00000000-0005-0000-0000-0000EC1B0000}"/>
    <cellStyle name="MLHeaderSection 5 3 4" xfId="13481" xr:uid="{00000000-0005-0000-0000-0000ED1B0000}"/>
    <cellStyle name="MLHeaderSection 5 3 4 2" xfId="13482" xr:uid="{00000000-0005-0000-0000-0000EE1B0000}"/>
    <cellStyle name="MLHeaderSection 5 3 4 3" xfId="13483" xr:uid="{00000000-0005-0000-0000-0000EF1B0000}"/>
    <cellStyle name="MLHeaderSection 5 3 4 4" xfId="13484" xr:uid="{00000000-0005-0000-0000-0000F01B0000}"/>
    <cellStyle name="MLHeaderSection 5 3 4 5" xfId="13485" xr:uid="{00000000-0005-0000-0000-0000F11B0000}"/>
    <cellStyle name="MLHeaderSection 5 3 5" xfId="13486" xr:uid="{00000000-0005-0000-0000-0000F21B0000}"/>
    <cellStyle name="MLHeaderSection 5 3 6" xfId="13487" xr:uid="{00000000-0005-0000-0000-0000F31B0000}"/>
    <cellStyle name="MLHeaderSection 5 3 7" xfId="13488" xr:uid="{00000000-0005-0000-0000-0000F41B0000}"/>
    <cellStyle name="MLHeaderSection 5 3 8" xfId="13489" xr:uid="{00000000-0005-0000-0000-0000F51B0000}"/>
    <cellStyle name="MLHeaderSection 5 4" xfId="13490" xr:uid="{00000000-0005-0000-0000-0000F61B0000}"/>
    <cellStyle name="MLHeaderSection 5 4 2" xfId="13491" xr:uid="{00000000-0005-0000-0000-0000F71B0000}"/>
    <cellStyle name="MLHeaderSection 5 4 3" xfId="13492" xr:uid="{00000000-0005-0000-0000-0000F81B0000}"/>
    <cellStyle name="MLHeaderSection 5 4 4" xfId="13493" xr:uid="{00000000-0005-0000-0000-0000F91B0000}"/>
    <cellStyle name="MLHeaderSection 5 4 5" xfId="13494" xr:uid="{00000000-0005-0000-0000-0000FA1B0000}"/>
    <cellStyle name="MLHeaderSection 5 5" xfId="13495" xr:uid="{00000000-0005-0000-0000-0000FB1B0000}"/>
    <cellStyle name="MLHeaderSection 5 5 2" xfId="13496" xr:uid="{00000000-0005-0000-0000-0000FC1B0000}"/>
    <cellStyle name="MLHeaderSection 5 5 3" xfId="13497" xr:uid="{00000000-0005-0000-0000-0000FD1B0000}"/>
    <cellStyle name="MLHeaderSection 5 5 4" xfId="13498" xr:uid="{00000000-0005-0000-0000-0000FE1B0000}"/>
    <cellStyle name="MLHeaderSection 5 5 5" xfId="13499" xr:uid="{00000000-0005-0000-0000-0000FF1B0000}"/>
    <cellStyle name="MLHeaderSection 5 6" xfId="13500" xr:uid="{00000000-0005-0000-0000-0000001C0000}"/>
    <cellStyle name="MLHeaderSection 5 6 2" xfId="13501" xr:uid="{00000000-0005-0000-0000-0000011C0000}"/>
    <cellStyle name="MLHeaderSection 5 6 3" xfId="13502" xr:uid="{00000000-0005-0000-0000-0000021C0000}"/>
    <cellStyle name="MLHeaderSection 5 6 4" xfId="13503" xr:uid="{00000000-0005-0000-0000-0000031C0000}"/>
    <cellStyle name="MLHeaderSection 5 6 5" xfId="13504" xr:uid="{00000000-0005-0000-0000-0000041C0000}"/>
    <cellStyle name="MLHeaderSection 5 7" xfId="13505" xr:uid="{00000000-0005-0000-0000-0000051C0000}"/>
    <cellStyle name="MLHeaderSection 5 8" xfId="13506" xr:uid="{00000000-0005-0000-0000-0000061C0000}"/>
    <cellStyle name="MLHeaderSection 5 9" xfId="13507" xr:uid="{00000000-0005-0000-0000-0000071C0000}"/>
    <cellStyle name="MLHeaderSection 6" xfId="13508" xr:uid="{00000000-0005-0000-0000-0000081C0000}"/>
    <cellStyle name="MLHeaderSection 6 10" xfId="13509" xr:uid="{00000000-0005-0000-0000-0000091C0000}"/>
    <cellStyle name="MLHeaderSection 6 2" xfId="13510" xr:uid="{00000000-0005-0000-0000-00000A1C0000}"/>
    <cellStyle name="MLHeaderSection 6 2 2" xfId="13511" xr:uid="{00000000-0005-0000-0000-00000B1C0000}"/>
    <cellStyle name="MLHeaderSection 6 2 2 2" xfId="13512" xr:uid="{00000000-0005-0000-0000-00000C1C0000}"/>
    <cellStyle name="MLHeaderSection 6 2 2 3" xfId="13513" xr:uid="{00000000-0005-0000-0000-00000D1C0000}"/>
    <cellStyle name="MLHeaderSection 6 2 2 4" xfId="13514" xr:uid="{00000000-0005-0000-0000-00000E1C0000}"/>
    <cellStyle name="MLHeaderSection 6 2 2 5" xfId="13515" xr:uid="{00000000-0005-0000-0000-00000F1C0000}"/>
    <cellStyle name="MLHeaderSection 6 2 3" xfId="13516" xr:uid="{00000000-0005-0000-0000-0000101C0000}"/>
    <cellStyle name="MLHeaderSection 6 2 3 2" xfId="13517" xr:uid="{00000000-0005-0000-0000-0000111C0000}"/>
    <cellStyle name="MLHeaderSection 6 2 3 3" xfId="13518" xr:uid="{00000000-0005-0000-0000-0000121C0000}"/>
    <cellStyle name="MLHeaderSection 6 2 3 4" xfId="13519" xr:uid="{00000000-0005-0000-0000-0000131C0000}"/>
    <cellStyle name="MLHeaderSection 6 2 3 5" xfId="13520" xr:uid="{00000000-0005-0000-0000-0000141C0000}"/>
    <cellStyle name="MLHeaderSection 6 2 4" xfId="13521" xr:uid="{00000000-0005-0000-0000-0000151C0000}"/>
    <cellStyle name="MLHeaderSection 6 2 4 2" xfId="13522" xr:uid="{00000000-0005-0000-0000-0000161C0000}"/>
    <cellStyle name="MLHeaderSection 6 2 4 3" xfId="13523" xr:uid="{00000000-0005-0000-0000-0000171C0000}"/>
    <cellStyle name="MLHeaderSection 6 2 4 4" xfId="13524" xr:uid="{00000000-0005-0000-0000-0000181C0000}"/>
    <cellStyle name="MLHeaderSection 6 2 4 5" xfId="13525" xr:uid="{00000000-0005-0000-0000-0000191C0000}"/>
    <cellStyle name="MLHeaderSection 6 2 5" xfId="13526" xr:uid="{00000000-0005-0000-0000-00001A1C0000}"/>
    <cellStyle name="MLHeaderSection 6 2 6" xfId="13527" xr:uid="{00000000-0005-0000-0000-00001B1C0000}"/>
    <cellStyle name="MLHeaderSection 6 2 7" xfId="13528" xr:uid="{00000000-0005-0000-0000-00001C1C0000}"/>
    <cellStyle name="MLHeaderSection 6 2 8" xfId="13529" xr:uid="{00000000-0005-0000-0000-00001D1C0000}"/>
    <cellStyle name="MLHeaderSection 6 3" xfId="13530" xr:uid="{00000000-0005-0000-0000-00001E1C0000}"/>
    <cellStyle name="MLHeaderSection 6 3 2" xfId="13531" xr:uid="{00000000-0005-0000-0000-00001F1C0000}"/>
    <cellStyle name="MLHeaderSection 6 3 2 2" xfId="13532" xr:uid="{00000000-0005-0000-0000-0000201C0000}"/>
    <cellStyle name="MLHeaderSection 6 3 2 3" xfId="13533" xr:uid="{00000000-0005-0000-0000-0000211C0000}"/>
    <cellStyle name="MLHeaderSection 6 3 2 4" xfId="13534" xr:uid="{00000000-0005-0000-0000-0000221C0000}"/>
    <cellStyle name="MLHeaderSection 6 3 2 5" xfId="13535" xr:uid="{00000000-0005-0000-0000-0000231C0000}"/>
    <cellStyle name="MLHeaderSection 6 3 3" xfId="13536" xr:uid="{00000000-0005-0000-0000-0000241C0000}"/>
    <cellStyle name="MLHeaderSection 6 3 3 2" xfId="13537" xr:uid="{00000000-0005-0000-0000-0000251C0000}"/>
    <cellStyle name="MLHeaderSection 6 3 3 3" xfId="13538" xr:uid="{00000000-0005-0000-0000-0000261C0000}"/>
    <cellStyle name="MLHeaderSection 6 3 3 4" xfId="13539" xr:uid="{00000000-0005-0000-0000-0000271C0000}"/>
    <cellStyle name="MLHeaderSection 6 3 3 5" xfId="13540" xr:uid="{00000000-0005-0000-0000-0000281C0000}"/>
    <cellStyle name="MLHeaderSection 6 3 4" xfId="13541" xr:uid="{00000000-0005-0000-0000-0000291C0000}"/>
    <cellStyle name="MLHeaderSection 6 3 4 2" xfId="13542" xr:uid="{00000000-0005-0000-0000-00002A1C0000}"/>
    <cellStyle name="MLHeaderSection 6 3 4 3" xfId="13543" xr:uid="{00000000-0005-0000-0000-00002B1C0000}"/>
    <cellStyle name="MLHeaderSection 6 3 4 4" xfId="13544" xr:uid="{00000000-0005-0000-0000-00002C1C0000}"/>
    <cellStyle name="MLHeaderSection 6 3 4 5" xfId="13545" xr:uid="{00000000-0005-0000-0000-00002D1C0000}"/>
    <cellStyle name="MLHeaderSection 6 3 5" xfId="13546" xr:uid="{00000000-0005-0000-0000-00002E1C0000}"/>
    <cellStyle name="MLHeaderSection 6 3 6" xfId="13547" xr:uid="{00000000-0005-0000-0000-00002F1C0000}"/>
    <cellStyle name="MLHeaderSection 6 3 7" xfId="13548" xr:uid="{00000000-0005-0000-0000-0000301C0000}"/>
    <cellStyle name="MLHeaderSection 6 3 8" xfId="13549" xr:uid="{00000000-0005-0000-0000-0000311C0000}"/>
    <cellStyle name="MLHeaderSection 6 4" xfId="13550" xr:uid="{00000000-0005-0000-0000-0000321C0000}"/>
    <cellStyle name="MLHeaderSection 6 4 2" xfId="13551" xr:uid="{00000000-0005-0000-0000-0000331C0000}"/>
    <cellStyle name="MLHeaderSection 6 4 3" xfId="13552" xr:uid="{00000000-0005-0000-0000-0000341C0000}"/>
    <cellStyle name="MLHeaderSection 6 4 4" xfId="13553" xr:uid="{00000000-0005-0000-0000-0000351C0000}"/>
    <cellStyle name="MLHeaderSection 6 4 5" xfId="13554" xr:uid="{00000000-0005-0000-0000-0000361C0000}"/>
    <cellStyle name="MLHeaderSection 6 5" xfId="13555" xr:uid="{00000000-0005-0000-0000-0000371C0000}"/>
    <cellStyle name="MLHeaderSection 6 5 2" xfId="13556" xr:uid="{00000000-0005-0000-0000-0000381C0000}"/>
    <cellStyle name="MLHeaderSection 6 5 3" xfId="13557" xr:uid="{00000000-0005-0000-0000-0000391C0000}"/>
    <cellStyle name="MLHeaderSection 6 5 4" xfId="13558" xr:uid="{00000000-0005-0000-0000-00003A1C0000}"/>
    <cellStyle name="MLHeaderSection 6 5 5" xfId="13559" xr:uid="{00000000-0005-0000-0000-00003B1C0000}"/>
    <cellStyle name="MLHeaderSection 6 6" xfId="13560" xr:uid="{00000000-0005-0000-0000-00003C1C0000}"/>
    <cellStyle name="MLHeaderSection 6 6 2" xfId="13561" xr:uid="{00000000-0005-0000-0000-00003D1C0000}"/>
    <cellStyle name="MLHeaderSection 6 6 3" xfId="13562" xr:uid="{00000000-0005-0000-0000-00003E1C0000}"/>
    <cellStyle name="MLHeaderSection 6 6 4" xfId="13563" xr:uid="{00000000-0005-0000-0000-00003F1C0000}"/>
    <cellStyle name="MLHeaderSection 6 6 5" xfId="13564" xr:uid="{00000000-0005-0000-0000-0000401C0000}"/>
    <cellStyle name="MLHeaderSection 6 7" xfId="13565" xr:uid="{00000000-0005-0000-0000-0000411C0000}"/>
    <cellStyle name="MLHeaderSection 6 8" xfId="13566" xr:uid="{00000000-0005-0000-0000-0000421C0000}"/>
    <cellStyle name="MLHeaderSection 6 9" xfId="13567" xr:uid="{00000000-0005-0000-0000-0000431C0000}"/>
    <cellStyle name="MLHeaderSection 7" xfId="13568" xr:uid="{00000000-0005-0000-0000-0000441C0000}"/>
    <cellStyle name="MLHeaderSection 7 10" xfId="13569" xr:uid="{00000000-0005-0000-0000-0000451C0000}"/>
    <cellStyle name="MLHeaderSection 7 2" xfId="13570" xr:uid="{00000000-0005-0000-0000-0000461C0000}"/>
    <cellStyle name="MLHeaderSection 7 2 2" xfId="13571" xr:uid="{00000000-0005-0000-0000-0000471C0000}"/>
    <cellStyle name="MLHeaderSection 7 2 2 2" xfId="13572" xr:uid="{00000000-0005-0000-0000-0000481C0000}"/>
    <cellStyle name="MLHeaderSection 7 2 2 3" xfId="13573" xr:uid="{00000000-0005-0000-0000-0000491C0000}"/>
    <cellStyle name="MLHeaderSection 7 2 2 4" xfId="13574" xr:uid="{00000000-0005-0000-0000-00004A1C0000}"/>
    <cellStyle name="MLHeaderSection 7 2 2 5" xfId="13575" xr:uid="{00000000-0005-0000-0000-00004B1C0000}"/>
    <cellStyle name="MLHeaderSection 7 2 3" xfId="13576" xr:uid="{00000000-0005-0000-0000-00004C1C0000}"/>
    <cellStyle name="MLHeaderSection 7 2 3 2" xfId="13577" xr:uid="{00000000-0005-0000-0000-00004D1C0000}"/>
    <cellStyle name="MLHeaderSection 7 2 3 3" xfId="13578" xr:uid="{00000000-0005-0000-0000-00004E1C0000}"/>
    <cellStyle name="MLHeaderSection 7 2 3 4" xfId="13579" xr:uid="{00000000-0005-0000-0000-00004F1C0000}"/>
    <cellStyle name="MLHeaderSection 7 2 3 5" xfId="13580" xr:uid="{00000000-0005-0000-0000-0000501C0000}"/>
    <cellStyle name="MLHeaderSection 7 2 4" xfId="13581" xr:uid="{00000000-0005-0000-0000-0000511C0000}"/>
    <cellStyle name="MLHeaderSection 7 2 4 2" xfId="13582" xr:uid="{00000000-0005-0000-0000-0000521C0000}"/>
    <cellStyle name="MLHeaderSection 7 2 4 3" xfId="13583" xr:uid="{00000000-0005-0000-0000-0000531C0000}"/>
    <cellStyle name="MLHeaderSection 7 2 4 4" xfId="13584" xr:uid="{00000000-0005-0000-0000-0000541C0000}"/>
    <cellStyle name="MLHeaderSection 7 2 4 5" xfId="13585" xr:uid="{00000000-0005-0000-0000-0000551C0000}"/>
    <cellStyle name="MLHeaderSection 7 2 5" xfId="13586" xr:uid="{00000000-0005-0000-0000-0000561C0000}"/>
    <cellStyle name="MLHeaderSection 7 2 6" xfId="13587" xr:uid="{00000000-0005-0000-0000-0000571C0000}"/>
    <cellStyle name="MLHeaderSection 7 2 7" xfId="13588" xr:uid="{00000000-0005-0000-0000-0000581C0000}"/>
    <cellStyle name="MLHeaderSection 7 2 8" xfId="13589" xr:uid="{00000000-0005-0000-0000-0000591C0000}"/>
    <cellStyle name="MLHeaderSection 7 3" xfId="13590" xr:uid="{00000000-0005-0000-0000-00005A1C0000}"/>
    <cellStyle name="MLHeaderSection 7 3 2" xfId="13591" xr:uid="{00000000-0005-0000-0000-00005B1C0000}"/>
    <cellStyle name="MLHeaderSection 7 3 2 2" xfId="13592" xr:uid="{00000000-0005-0000-0000-00005C1C0000}"/>
    <cellStyle name="MLHeaderSection 7 3 2 3" xfId="13593" xr:uid="{00000000-0005-0000-0000-00005D1C0000}"/>
    <cellStyle name="MLHeaderSection 7 3 2 4" xfId="13594" xr:uid="{00000000-0005-0000-0000-00005E1C0000}"/>
    <cellStyle name="MLHeaderSection 7 3 2 5" xfId="13595" xr:uid="{00000000-0005-0000-0000-00005F1C0000}"/>
    <cellStyle name="MLHeaderSection 7 3 3" xfId="13596" xr:uid="{00000000-0005-0000-0000-0000601C0000}"/>
    <cellStyle name="MLHeaderSection 7 3 3 2" xfId="13597" xr:uid="{00000000-0005-0000-0000-0000611C0000}"/>
    <cellStyle name="MLHeaderSection 7 3 3 3" xfId="13598" xr:uid="{00000000-0005-0000-0000-0000621C0000}"/>
    <cellStyle name="MLHeaderSection 7 3 3 4" xfId="13599" xr:uid="{00000000-0005-0000-0000-0000631C0000}"/>
    <cellStyle name="MLHeaderSection 7 3 3 5" xfId="13600" xr:uid="{00000000-0005-0000-0000-0000641C0000}"/>
    <cellStyle name="MLHeaderSection 7 3 4" xfId="13601" xr:uid="{00000000-0005-0000-0000-0000651C0000}"/>
    <cellStyle name="MLHeaderSection 7 3 4 2" xfId="13602" xr:uid="{00000000-0005-0000-0000-0000661C0000}"/>
    <cellStyle name="MLHeaderSection 7 3 4 3" xfId="13603" xr:uid="{00000000-0005-0000-0000-0000671C0000}"/>
    <cellStyle name="MLHeaderSection 7 3 4 4" xfId="13604" xr:uid="{00000000-0005-0000-0000-0000681C0000}"/>
    <cellStyle name="MLHeaderSection 7 3 4 5" xfId="13605" xr:uid="{00000000-0005-0000-0000-0000691C0000}"/>
    <cellStyle name="MLHeaderSection 7 3 5" xfId="13606" xr:uid="{00000000-0005-0000-0000-00006A1C0000}"/>
    <cellStyle name="MLHeaderSection 7 3 6" xfId="13607" xr:uid="{00000000-0005-0000-0000-00006B1C0000}"/>
    <cellStyle name="MLHeaderSection 7 3 7" xfId="13608" xr:uid="{00000000-0005-0000-0000-00006C1C0000}"/>
    <cellStyle name="MLHeaderSection 7 3 8" xfId="13609" xr:uid="{00000000-0005-0000-0000-00006D1C0000}"/>
    <cellStyle name="MLHeaderSection 7 4" xfId="13610" xr:uid="{00000000-0005-0000-0000-00006E1C0000}"/>
    <cellStyle name="MLHeaderSection 7 4 2" xfId="13611" xr:uid="{00000000-0005-0000-0000-00006F1C0000}"/>
    <cellStyle name="MLHeaderSection 7 4 3" xfId="13612" xr:uid="{00000000-0005-0000-0000-0000701C0000}"/>
    <cellStyle name="MLHeaderSection 7 4 4" xfId="13613" xr:uid="{00000000-0005-0000-0000-0000711C0000}"/>
    <cellStyle name="MLHeaderSection 7 4 5" xfId="13614" xr:uid="{00000000-0005-0000-0000-0000721C0000}"/>
    <cellStyle name="MLHeaderSection 7 5" xfId="13615" xr:uid="{00000000-0005-0000-0000-0000731C0000}"/>
    <cellStyle name="MLHeaderSection 7 5 2" xfId="13616" xr:uid="{00000000-0005-0000-0000-0000741C0000}"/>
    <cellStyle name="MLHeaderSection 7 5 3" xfId="13617" xr:uid="{00000000-0005-0000-0000-0000751C0000}"/>
    <cellStyle name="MLHeaderSection 7 5 4" xfId="13618" xr:uid="{00000000-0005-0000-0000-0000761C0000}"/>
    <cellStyle name="MLHeaderSection 7 5 5" xfId="13619" xr:uid="{00000000-0005-0000-0000-0000771C0000}"/>
    <cellStyle name="MLHeaderSection 7 6" xfId="13620" xr:uid="{00000000-0005-0000-0000-0000781C0000}"/>
    <cellStyle name="MLHeaderSection 7 6 2" xfId="13621" xr:uid="{00000000-0005-0000-0000-0000791C0000}"/>
    <cellStyle name="MLHeaderSection 7 6 3" xfId="13622" xr:uid="{00000000-0005-0000-0000-00007A1C0000}"/>
    <cellStyle name="MLHeaderSection 7 6 4" xfId="13623" xr:uid="{00000000-0005-0000-0000-00007B1C0000}"/>
    <cellStyle name="MLHeaderSection 7 6 5" xfId="13624" xr:uid="{00000000-0005-0000-0000-00007C1C0000}"/>
    <cellStyle name="MLHeaderSection 7 7" xfId="13625" xr:uid="{00000000-0005-0000-0000-00007D1C0000}"/>
    <cellStyle name="MLHeaderSection 7 8" xfId="13626" xr:uid="{00000000-0005-0000-0000-00007E1C0000}"/>
    <cellStyle name="MLHeaderSection 7 9" xfId="13627" xr:uid="{00000000-0005-0000-0000-00007F1C0000}"/>
    <cellStyle name="MLHeaderSection 8" xfId="13628" xr:uid="{00000000-0005-0000-0000-0000801C0000}"/>
    <cellStyle name="MLHeaderSection 8 10" xfId="13629" xr:uid="{00000000-0005-0000-0000-0000811C0000}"/>
    <cellStyle name="MLHeaderSection 8 2" xfId="13630" xr:uid="{00000000-0005-0000-0000-0000821C0000}"/>
    <cellStyle name="MLHeaderSection 8 2 2" xfId="13631" xr:uid="{00000000-0005-0000-0000-0000831C0000}"/>
    <cellStyle name="MLHeaderSection 8 2 2 2" xfId="13632" xr:uid="{00000000-0005-0000-0000-0000841C0000}"/>
    <cellStyle name="MLHeaderSection 8 2 2 3" xfId="13633" xr:uid="{00000000-0005-0000-0000-0000851C0000}"/>
    <cellStyle name="MLHeaderSection 8 2 2 4" xfId="13634" xr:uid="{00000000-0005-0000-0000-0000861C0000}"/>
    <cellStyle name="MLHeaderSection 8 2 2 5" xfId="13635" xr:uid="{00000000-0005-0000-0000-0000871C0000}"/>
    <cellStyle name="MLHeaderSection 8 2 3" xfId="13636" xr:uid="{00000000-0005-0000-0000-0000881C0000}"/>
    <cellStyle name="MLHeaderSection 8 2 3 2" xfId="13637" xr:uid="{00000000-0005-0000-0000-0000891C0000}"/>
    <cellStyle name="MLHeaderSection 8 2 3 3" xfId="13638" xr:uid="{00000000-0005-0000-0000-00008A1C0000}"/>
    <cellStyle name="MLHeaderSection 8 2 3 4" xfId="13639" xr:uid="{00000000-0005-0000-0000-00008B1C0000}"/>
    <cellStyle name="MLHeaderSection 8 2 3 5" xfId="13640" xr:uid="{00000000-0005-0000-0000-00008C1C0000}"/>
    <cellStyle name="MLHeaderSection 8 2 4" xfId="13641" xr:uid="{00000000-0005-0000-0000-00008D1C0000}"/>
    <cellStyle name="MLHeaderSection 8 2 4 2" xfId="13642" xr:uid="{00000000-0005-0000-0000-00008E1C0000}"/>
    <cellStyle name="MLHeaderSection 8 2 4 3" xfId="13643" xr:uid="{00000000-0005-0000-0000-00008F1C0000}"/>
    <cellStyle name="MLHeaderSection 8 2 4 4" xfId="13644" xr:uid="{00000000-0005-0000-0000-0000901C0000}"/>
    <cellStyle name="MLHeaderSection 8 2 4 5" xfId="13645" xr:uid="{00000000-0005-0000-0000-0000911C0000}"/>
    <cellStyle name="MLHeaderSection 8 2 5" xfId="13646" xr:uid="{00000000-0005-0000-0000-0000921C0000}"/>
    <cellStyle name="MLHeaderSection 8 2 6" xfId="13647" xr:uid="{00000000-0005-0000-0000-0000931C0000}"/>
    <cellStyle name="MLHeaderSection 8 2 7" xfId="13648" xr:uid="{00000000-0005-0000-0000-0000941C0000}"/>
    <cellStyle name="MLHeaderSection 8 2 8" xfId="13649" xr:uid="{00000000-0005-0000-0000-0000951C0000}"/>
    <cellStyle name="MLHeaderSection 8 3" xfId="13650" xr:uid="{00000000-0005-0000-0000-0000961C0000}"/>
    <cellStyle name="MLHeaderSection 8 3 2" xfId="13651" xr:uid="{00000000-0005-0000-0000-0000971C0000}"/>
    <cellStyle name="MLHeaderSection 8 3 2 2" xfId="13652" xr:uid="{00000000-0005-0000-0000-0000981C0000}"/>
    <cellStyle name="MLHeaderSection 8 3 2 3" xfId="13653" xr:uid="{00000000-0005-0000-0000-0000991C0000}"/>
    <cellStyle name="MLHeaderSection 8 3 2 4" xfId="13654" xr:uid="{00000000-0005-0000-0000-00009A1C0000}"/>
    <cellStyle name="MLHeaderSection 8 3 2 5" xfId="13655" xr:uid="{00000000-0005-0000-0000-00009B1C0000}"/>
    <cellStyle name="MLHeaderSection 8 3 3" xfId="13656" xr:uid="{00000000-0005-0000-0000-00009C1C0000}"/>
    <cellStyle name="MLHeaderSection 8 3 3 2" xfId="13657" xr:uid="{00000000-0005-0000-0000-00009D1C0000}"/>
    <cellStyle name="MLHeaderSection 8 3 3 3" xfId="13658" xr:uid="{00000000-0005-0000-0000-00009E1C0000}"/>
    <cellStyle name="MLHeaderSection 8 3 3 4" xfId="13659" xr:uid="{00000000-0005-0000-0000-00009F1C0000}"/>
    <cellStyle name="MLHeaderSection 8 3 3 5" xfId="13660" xr:uid="{00000000-0005-0000-0000-0000A01C0000}"/>
    <cellStyle name="MLHeaderSection 8 3 4" xfId="13661" xr:uid="{00000000-0005-0000-0000-0000A11C0000}"/>
    <cellStyle name="MLHeaderSection 8 3 4 2" xfId="13662" xr:uid="{00000000-0005-0000-0000-0000A21C0000}"/>
    <cellStyle name="MLHeaderSection 8 3 4 3" xfId="13663" xr:uid="{00000000-0005-0000-0000-0000A31C0000}"/>
    <cellStyle name="MLHeaderSection 8 3 4 4" xfId="13664" xr:uid="{00000000-0005-0000-0000-0000A41C0000}"/>
    <cellStyle name="MLHeaderSection 8 3 4 5" xfId="13665" xr:uid="{00000000-0005-0000-0000-0000A51C0000}"/>
    <cellStyle name="MLHeaderSection 8 3 5" xfId="13666" xr:uid="{00000000-0005-0000-0000-0000A61C0000}"/>
    <cellStyle name="MLHeaderSection 8 3 6" xfId="13667" xr:uid="{00000000-0005-0000-0000-0000A71C0000}"/>
    <cellStyle name="MLHeaderSection 8 3 7" xfId="13668" xr:uid="{00000000-0005-0000-0000-0000A81C0000}"/>
    <cellStyle name="MLHeaderSection 8 3 8" xfId="13669" xr:uid="{00000000-0005-0000-0000-0000A91C0000}"/>
    <cellStyle name="MLHeaderSection 8 4" xfId="13670" xr:uid="{00000000-0005-0000-0000-0000AA1C0000}"/>
    <cellStyle name="MLHeaderSection 8 4 2" xfId="13671" xr:uid="{00000000-0005-0000-0000-0000AB1C0000}"/>
    <cellStyle name="MLHeaderSection 8 4 3" xfId="13672" xr:uid="{00000000-0005-0000-0000-0000AC1C0000}"/>
    <cellStyle name="MLHeaderSection 8 4 4" xfId="13673" xr:uid="{00000000-0005-0000-0000-0000AD1C0000}"/>
    <cellStyle name="MLHeaderSection 8 4 5" xfId="13674" xr:uid="{00000000-0005-0000-0000-0000AE1C0000}"/>
    <cellStyle name="MLHeaderSection 8 5" xfId="13675" xr:uid="{00000000-0005-0000-0000-0000AF1C0000}"/>
    <cellStyle name="MLHeaderSection 8 5 2" xfId="13676" xr:uid="{00000000-0005-0000-0000-0000B01C0000}"/>
    <cellStyle name="MLHeaderSection 8 5 3" xfId="13677" xr:uid="{00000000-0005-0000-0000-0000B11C0000}"/>
    <cellStyle name="MLHeaderSection 8 5 4" xfId="13678" xr:uid="{00000000-0005-0000-0000-0000B21C0000}"/>
    <cellStyle name="MLHeaderSection 8 5 5" xfId="13679" xr:uid="{00000000-0005-0000-0000-0000B31C0000}"/>
    <cellStyle name="MLHeaderSection 8 6" xfId="13680" xr:uid="{00000000-0005-0000-0000-0000B41C0000}"/>
    <cellStyle name="MLHeaderSection 8 6 2" xfId="13681" xr:uid="{00000000-0005-0000-0000-0000B51C0000}"/>
    <cellStyle name="MLHeaderSection 8 6 3" xfId="13682" xr:uid="{00000000-0005-0000-0000-0000B61C0000}"/>
    <cellStyle name="MLHeaderSection 8 6 4" xfId="13683" xr:uid="{00000000-0005-0000-0000-0000B71C0000}"/>
    <cellStyle name="MLHeaderSection 8 6 5" xfId="13684" xr:uid="{00000000-0005-0000-0000-0000B81C0000}"/>
    <cellStyle name="MLHeaderSection 8 7" xfId="13685" xr:uid="{00000000-0005-0000-0000-0000B91C0000}"/>
    <cellStyle name="MLHeaderSection 8 8" xfId="13686" xr:uid="{00000000-0005-0000-0000-0000BA1C0000}"/>
    <cellStyle name="MLHeaderSection 8 9" xfId="13687" xr:uid="{00000000-0005-0000-0000-0000BB1C0000}"/>
    <cellStyle name="MLHeaderSection 9" xfId="13688" xr:uid="{00000000-0005-0000-0000-0000BC1C0000}"/>
    <cellStyle name="MLHeaderSection 9 2" xfId="13689" xr:uid="{00000000-0005-0000-0000-0000BD1C0000}"/>
    <cellStyle name="MLHeaderSection 9 2 2" xfId="13690" xr:uid="{00000000-0005-0000-0000-0000BE1C0000}"/>
    <cellStyle name="MLHeaderSection 9 2 3" xfId="13691" xr:uid="{00000000-0005-0000-0000-0000BF1C0000}"/>
    <cellStyle name="MLHeaderSection 9 2 4" xfId="13692" xr:uid="{00000000-0005-0000-0000-0000C01C0000}"/>
    <cellStyle name="MLHeaderSection 9 2 5" xfId="13693" xr:uid="{00000000-0005-0000-0000-0000C11C0000}"/>
    <cellStyle name="MLHeaderSection 9 3" xfId="13694" xr:uid="{00000000-0005-0000-0000-0000C21C0000}"/>
    <cellStyle name="MLHeaderSection 9 3 2" xfId="13695" xr:uid="{00000000-0005-0000-0000-0000C31C0000}"/>
    <cellStyle name="MLHeaderSection 9 3 3" xfId="13696" xr:uid="{00000000-0005-0000-0000-0000C41C0000}"/>
    <cellStyle name="MLHeaderSection 9 3 4" xfId="13697" xr:uid="{00000000-0005-0000-0000-0000C51C0000}"/>
    <cellStyle name="MLHeaderSection 9 3 5" xfId="13698" xr:uid="{00000000-0005-0000-0000-0000C61C0000}"/>
    <cellStyle name="MLHeaderSection 9 4" xfId="13699" xr:uid="{00000000-0005-0000-0000-0000C71C0000}"/>
    <cellStyle name="MLHeaderSection 9 4 2" xfId="13700" xr:uid="{00000000-0005-0000-0000-0000C81C0000}"/>
    <cellStyle name="MLHeaderSection 9 4 3" xfId="13701" xr:uid="{00000000-0005-0000-0000-0000C91C0000}"/>
    <cellStyle name="MLHeaderSection 9 4 4" xfId="13702" xr:uid="{00000000-0005-0000-0000-0000CA1C0000}"/>
    <cellStyle name="MLHeaderSection 9 4 5" xfId="13703" xr:uid="{00000000-0005-0000-0000-0000CB1C0000}"/>
    <cellStyle name="MLHeaderSection 9 5" xfId="13704" xr:uid="{00000000-0005-0000-0000-0000CC1C0000}"/>
    <cellStyle name="MLHeaderSection 9 6" xfId="13705" xr:uid="{00000000-0005-0000-0000-0000CD1C0000}"/>
    <cellStyle name="MLHeaderSection 9 7" xfId="13706" xr:uid="{00000000-0005-0000-0000-0000CE1C0000}"/>
    <cellStyle name="MLHeaderSection 9 8" xfId="13707" xr:uid="{00000000-0005-0000-0000-0000CF1C0000}"/>
    <cellStyle name="MLMultiple0" xfId="13708" xr:uid="{00000000-0005-0000-0000-0000D01C0000}"/>
    <cellStyle name="MLPercent0" xfId="13709" xr:uid="{00000000-0005-0000-0000-0000D11C0000}"/>
    <cellStyle name="MLPound0" xfId="13710" xr:uid="{00000000-0005-0000-0000-0000D21C0000}"/>
    <cellStyle name="MLYen0" xfId="13711" xr:uid="{00000000-0005-0000-0000-0000D31C0000}"/>
    <cellStyle name="mmm" xfId="13712" xr:uid="{00000000-0005-0000-0000-0000D41C0000}"/>
    <cellStyle name="Model Name" xfId="13713" xr:uid="{00000000-0005-0000-0000-0000D51C0000}"/>
    <cellStyle name="Model Name 2" xfId="13714" xr:uid="{00000000-0005-0000-0000-0000D61C0000}"/>
    <cellStyle name="Model_Calculation" xfId="13715" xr:uid="{00000000-0005-0000-0000-0000D71C0000}"/>
    <cellStyle name="Moeda [0]_05" xfId="13716" xr:uid="{00000000-0005-0000-0000-0000D81C0000}"/>
    <cellStyle name="Moeda_05" xfId="13717" xr:uid="{00000000-0005-0000-0000-0000D91C0000}"/>
    <cellStyle name="Mon?aire [0]_!!!GO" xfId="13718" xr:uid="{00000000-0005-0000-0000-0000DA1C0000}"/>
    <cellStyle name="Mon?aire_!!!GO" xfId="13719" xr:uid="{00000000-0005-0000-0000-0000DB1C0000}"/>
    <cellStyle name="Moneda0" xfId="13720" xr:uid="{00000000-0005-0000-0000-0000DC1C0000}"/>
    <cellStyle name="Monétaire [0]_!!!GO" xfId="13721" xr:uid="{00000000-0005-0000-0000-0000DD1C0000}"/>
    <cellStyle name="Monétaire_!!!GO" xfId="13722" xr:uid="{00000000-0005-0000-0000-0000DE1C0000}"/>
    <cellStyle name="Monetario0" xfId="13723" xr:uid="{00000000-0005-0000-0000-0000DF1C0000}"/>
    <cellStyle name="Month" xfId="13724" xr:uid="{00000000-0005-0000-0000-0000E01C0000}"/>
    <cellStyle name="Month 2" xfId="13725" xr:uid="{00000000-0005-0000-0000-0000E11C0000}"/>
    <cellStyle name="Neutral 2" xfId="581" xr:uid="{00000000-0005-0000-0000-0000E21C0000}"/>
    <cellStyle name="Neutral 2 2" xfId="582" xr:uid="{00000000-0005-0000-0000-0000E31C0000}"/>
    <cellStyle name="Neutral 3" xfId="583" xr:uid="{00000000-0005-0000-0000-0000E41C0000}"/>
    <cellStyle name="Neutral 3 2" xfId="584" xr:uid="{00000000-0005-0000-0000-0000E51C0000}"/>
    <cellStyle name="Normal" xfId="0" builtinId="0"/>
    <cellStyle name="Normal 10" xfId="585" xr:uid="{00000000-0005-0000-0000-0000E71C0000}"/>
    <cellStyle name="Normal 10 2" xfId="586" xr:uid="{00000000-0005-0000-0000-0000E81C0000}"/>
    <cellStyle name="Normal 10 2 2" xfId="2649" xr:uid="{00000000-0005-0000-0000-0000E91C0000}"/>
    <cellStyle name="Normal 10 2 2 2" xfId="5723" xr:uid="{00000000-0005-0000-0000-0000EA1C0000}"/>
    <cellStyle name="Normal 10 2 3" xfId="4193" xr:uid="{00000000-0005-0000-0000-0000EB1C0000}"/>
    <cellStyle name="Normal 10 3" xfId="587" xr:uid="{00000000-0005-0000-0000-0000EC1C0000}"/>
    <cellStyle name="Normal 10 3 2" xfId="2650" xr:uid="{00000000-0005-0000-0000-0000ED1C0000}"/>
    <cellStyle name="Normal 10 3 2 2" xfId="5724" xr:uid="{00000000-0005-0000-0000-0000EE1C0000}"/>
    <cellStyle name="Normal 10 3 3" xfId="4194" xr:uid="{00000000-0005-0000-0000-0000EF1C0000}"/>
    <cellStyle name="Normal 11" xfId="588" xr:uid="{00000000-0005-0000-0000-0000F01C0000}"/>
    <cellStyle name="Normal 12" xfId="589" xr:uid="{00000000-0005-0000-0000-0000F11C0000}"/>
    <cellStyle name="Normal 12 2" xfId="13726" xr:uid="{00000000-0005-0000-0000-0000F21C0000}"/>
    <cellStyle name="Normal 12 2 2" xfId="13727" xr:uid="{00000000-0005-0000-0000-0000F31C0000}"/>
    <cellStyle name="Normal 13" xfId="590" xr:uid="{00000000-0005-0000-0000-0000F41C0000}"/>
    <cellStyle name="Normal 13 2" xfId="13728" xr:uid="{00000000-0005-0000-0000-0000F51C0000}"/>
    <cellStyle name="Normal 14" xfId="591" xr:uid="{00000000-0005-0000-0000-0000F61C0000}"/>
    <cellStyle name="Normal 14 2" xfId="13729" xr:uid="{00000000-0005-0000-0000-0000F71C0000}"/>
    <cellStyle name="Normal 14 3" xfId="13730" xr:uid="{00000000-0005-0000-0000-0000F81C0000}"/>
    <cellStyle name="Normal 15" xfId="592" xr:uid="{00000000-0005-0000-0000-0000F91C0000}"/>
    <cellStyle name="Normal 15 2" xfId="2651" xr:uid="{00000000-0005-0000-0000-0000FA1C0000}"/>
    <cellStyle name="Normal 15 2 2" xfId="5725" xr:uid="{00000000-0005-0000-0000-0000FB1C0000}"/>
    <cellStyle name="Normal 15 3" xfId="4195" xr:uid="{00000000-0005-0000-0000-0000FC1C0000}"/>
    <cellStyle name="Normal 16" xfId="7169" xr:uid="{00000000-0005-0000-0000-0000FD1C0000}"/>
    <cellStyle name="Normal 17" xfId="7171" xr:uid="{00000000-0005-0000-0000-0000FE1C0000}"/>
    <cellStyle name="Normal 18" xfId="13779" xr:uid="{99E8D532-89B2-48F5-ABA0-2A030AC424BC}"/>
    <cellStyle name="Normal 19" xfId="13780" xr:uid="{FF070369-C804-43B9-8424-8BDADB8A0076}"/>
    <cellStyle name="Normal 19 2" xfId="13781" xr:uid="{872BF478-4EC5-4BF7-A723-E6DA766913C5}"/>
    <cellStyle name="Normal 2" xfId="593" xr:uid="{00000000-0005-0000-0000-0000FF1C0000}"/>
    <cellStyle name="Normal 2 10" xfId="594" xr:uid="{00000000-0005-0000-0000-0000001D0000}"/>
    <cellStyle name="Normal 2 10 2" xfId="595" xr:uid="{00000000-0005-0000-0000-0000011D0000}"/>
    <cellStyle name="Normal 2 10 2 2" xfId="596" xr:uid="{00000000-0005-0000-0000-0000021D0000}"/>
    <cellStyle name="Normal 2 10 2 2 2" xfId="2655" xr:uid="{00000000-0005-0000-0000-0000031D0000}"/>
    <cellStyle name="Normal 2 10 2 2 2 2" xfId="5729" xr:uid="{00000000-0005-0000-0000-0000041D0000}"/>
    <cellStyle name="Normal 2 10 2 2 3" xfId="4199" xr:uid="{00000000-0005-0000-0000-0000051D0000}"/>
    <cellStyle name="Normal 2 10 2 3" xfId="2654" xr:uid="{00000000-0005-0000-0000-0000061D0000}"/>
    <cellStyle name="Normal 2 10 2 3 2" xfId="5728" xr:uid="{00000000-0005-0000-0000-0000071D0000}"/>
    <cellStyle name="Normal 2 10 2 4" xfId="4198" xr:uid="{00000000-0005-0000-0000-0000081D0000}"/>
    <cellStyle name="Normal 2 10 3" xfId="597" xr:uid="{00000000-0005-0000-0000-0000091D0000}"/>
    <cellStyle name="Normal 2 10 3 2" xfId="598" xr:uid="{00000000-0005-0000-0000-00000A1D0000}"/>
    <cellStyle name="Normal 2 10 3 2 2" xfId="2657" xr:uid="{00000000-0005-0000-0000-00000B1D0000}"/>
    <cellStyle name="Normal 2 10 3 2 2 2" xfId="5731" xr:uid="{00000000-0005-0000-0000-00000C1D0000}"/>
    <cellStyle name="Normal 2 10 3 2 3" xfId="4201" xr:uid="{00000000-0005-0000-0000-00000D1D0000}"/>
    <cellStyle name="Normal 2 10 3 3" xfId="2656" xr:uid="{00000000-0005-0000-0000-00000E1D0000}"/>
    <cellStyle name="Normal 2 10 3 3 2" xfId="5730" xr:uid="{00000000-0005-0000-0000-00000F1D0000}"/>
    <cellStyle name="Normal 2 10 3 4" xfId="4200" xr:uid="{00000000-0005-0000-0000-0000101D0000}"/>
    <cellStyle name="Normal 2 10 4" xfId="599" xr:uid="{00000000-0005-0000-0000-0000111D0000}"/>
    <cellStyle name="Normal 2 10 4 2" xfId="2658" xr:uid="{00000000-0005-0000-0000-0000121D0000}"/>
    <cellStyle name="Normal 2 10 4 2 2" xfId="5732" xr:uid="{00000000-0005-0000-0000-0000131D0000}"/>
    <cellStyle name="Normal 2 10 4 3" xfId="4202" xr:uid="{00000000-0005-0000-0000-0000141D0000}"/>
    <cellStyle name="Normal 2 10 5" xfId="600" xr:uid="{00000000-0005-0000-0000-0000151D0000}"/>
    <cellStyle name="Normal 2 10 5 2" xfId="2659" xr:uid="{00000000-0005-0000-0000-0000161D0000}"/>
    <cellStyle name="Normal 2 10 5 2 2" xfId="5733" xr:uid="{00000000-0005-0000-0000-0000171D0000}"/>
    <cellStyle name="Normal 2 10 5 3" xfId="4203" xr:uid="{00000000-0005-0000-0000-0000181D0000}"/>
    <cellStyle name="Normal 2 10 6" xfId="2653" xr:uid="{00000000-0005-0000-0000-0000191D0000}"/>
    <cellStyle name="Normal 2 10 6 2" xfId="5727" xr:uid="{00000000-0005-0000-0000-00001A1D0000}"/>
    <cellStyle name="Normal 2 10 7" xfId="4197" xr:uid="{00000000-0005-0000-0000-00001B1D0000}"/>
    <cellStyle name="Normal 2 10 8" xfId="7170" xr:uid="{00000000-0005-0000-0000-00001C1D0000}"/>
    <cellStyle name="Normal 2 11" xfId="601" xr:uid="{00000000-0005-0000-0000-00001D1D0000}"/>
    <cellStyle name="Normal 2 11 2" xfId="602" xr:uid="{00000000-0005-0000-0000-00001E1D0000}"/>
    <cellStyle name="Normal 2 11 2 2" xfId="603" xr:uid="{00000000-0005-0000-0000-00001F1D0000}"/>
    <cellStyle name="Normal 2 11 2 2 2" xfId="2662" xr:uid="{00000000-0005-0000-0000-0000201D0000}"/>
    <cellStyle name="Normal 2 11 2 2 2 2" xfId="5736" xr:uid="{00000000-0005-0000-0000-0000211D0000}"/>
    <cellStyle name="Normal 2 11 2 2 3" xfId="4206" xr:uid="{00000000-0005-0000-0000-0000221D0000}"/>
    <cellStyle name="Normal 2 11 2 3" xfId="2661" xr:uid="{00000000-0005-0000-0000-0000231D0000}"/>
    <cellStyle name="Normal 2 11 2 3 2" xfId="5735" xr:uid="{00000000-0005-0000-0000-0000241D0000}"/>
    <cellStyle name="Normal 2 11 2 4" xfId="4205" xr:uid="{00000000-0005-0000-0000-0000251D0000}"/>
    <cellStyle name="Normal 2 11 3" xfId="604" xr:uid="{00000000-0005-0000-0000-0000261D0000}"/>
    <cellStyle name="Normal 2 11 3 2" xfId="605" xr:uid="{00000000-0005-0000-0000-0000271D0000}"/>
    <cellStyle name="Normal 2 11 3 2 2" xfId="2664" xr:uid="{00000000-0005-0000-0000-0000281D0000}"/>
    <cellStyle name="Normal 2 11 3 2 2 2" xfId="5738" xr:uid="{00000000-0005-0000-0000-0000291D0000}"/>
    <cellStyle name="Normal 2 11 3 2 3" xfId="4208" xr:uid="{00000000-0005-0000-0000-00002A1D0000}"/>
    <cellStyle name="Normal 2 11 3 3" xfId="2663" xr:uid="{00000000-0005-0000-0000-00002B1D0000}"/>
    <cellStyle name="Normal 2 11 3 3 2" xfId="5737" xr:uid="{00000000-0005-0000-0000-00002C1D0000}"/>
    <cellStyle name="Normal 2 11 3 4" xfId="4207" xr:uid="{00000000-0005-0000-0000-00002D1D0000}"/>
    <cellStyle name="Normal 2 11 4" xfId="606" xr:uid="{00000000-0005-0000-0000-00002E1D0000}"/>
    <cellStyle name="Normal 2 11 4 2" xfId="2665" xr:uid="{00000000-0005-0000-0000-00002F1D0000}"/>
    <cellStyle name="Normal 2 11 4 2 2" xfId="5739" xr:uid="{00000000-0005-0000-0000-0000301D0000}"/>
    <cellStyle name="Normal 2 11 4 3" xfId="4209" xr:uid="{00000000-0005-0000-0000-0000311D0000}"/>
    <cellStyle name="Normal 2 11 5" xfId="607" xr:uid="{00000000-0005-0000-0000-0000321D0000}"/>
    <cellStyle name="Normal 2 11 5 2" xfId="2666" xr:uid="{00000000-0005-0000-0000-0000331D0000}"/>
    <cellStyle name="Normal 2 11 5 2 2" xfId="5740" xr:uid="{00000000-0005-0000-0000-0000341D0000}"/>
    <cellStyle name="Normal 2 11 5 3" xfId="4210" xr:uid="{00000000-0005-0000-0000-0000351D0000}"/>
    <cellStyle name="Normal 2 11 6" xfId="2660" xr:uid="{00000000-0005-0000-0000-0000361D0000}"/>
    <cellStyle name="Normal 2 11 6 2" xfId="5734" xr:uid="{00000000-0005-0000-0000-0000371D0000}"/>
    <cellStyle name="Normal 2 11 7" xfId="4204" xr:uid="{00000000-0005-0000-0000-0000381D0000}"/>
    <cellStyle name="Normal 2 12" xfId="608" xr:uid="{00000000-0005-0000-0000-0000391D0000}"/>
    <cellStyle name="Normal 2 12 2" xfId="609" xr:uid="{00000000-0005-0000-0000-00003A1D0000}"/>
    <cellStyle name="Normal 2 12 2 2" xfId="610" xr:uid="{00000000-0005-0000-0000-00003B1D0000}"/>
    <cellStyle name="Normal 2 12 2 2 2" xfId="2669" xr:uid="{00000000-0005-0000-0000-00003C1D0000}"/>
    <cellStyle name="Normal 2 12 2 2 2 2" xfId="5743" xr:uid="{00000000-0005-0000-0000-00003D1D0000}"/>
    <cellStyle name="Normal 2 12 2 2 3" xfId="4213" xr:uid="{00000000-0005-0000-0000-00003E1D0000}"/>
    <cellStyle name="Normal 2 12 2 3" xfId="2668" xr:uid="{00000000-0005-0000-0000-00003F1D0000}"/>
    <cellStyle name="Normal 2 12 2 3 2" xfId="5742" xr:uid="{00000000-0005-0000-0000-0000401D0000}"/>
    <cellStyle name="Normal 2 12 2 4" xfId="4212" xr:uid="{00000000-0005-0000-0000-0000411D0000}"/>
    <cellStyle name="Normal 2 12 3" xfId="611" xr:uid="{00000000-0005-0000-0000-0000421D0000}"/>
    <cellStyle name="Normal 2 12 3 2" xfId="612" xr:uid="{00000000-0005-0000-0000-0000431D0000}"/>
    <cellStyle name="Normal 2 12 3 2 2" xfId="2671" xr:uid="{00000000-0005-0000-0000-0000441D0000}"/>
    <cellStyle name="Normal 2 12 3 2 2 2" xfId="5745" xr:uid="{00000000-0005-0000-0000-0000451D0000}"/>
    <cellStyle name="Normal 2 12 3 2 3" xfId="4215" xr:uid="{00000000-0005-0000-0000-0000461D0000}"/>
    <cellStyle name="Normal 2 12 3 3" xfId="2670" xr:uid="{00000000-0005-0000-0000-0000471D0000}"/>
    <cellStyle name="Normal 2 12 3 3 2" xfId="5744" xr:uid="{00000000-0005-0000-0000-0000481D0000}"/>
    <cellStyle name="Normal 2 12 3 4" xfId="4214" xr:uid="{00000000-0005-0000-0000-0000491D0000}"/>
    <cellStyle name="Normal 2 12 4" xfId="613" xr:uid="{00000000-0005-0000-0000-00004A1D0000}"/>
    <cellStyle name="Normal 2 12 4 2" xfId="2672" xr:uid="{00000000-0005-0000-0000-00004B1D0000}"/>
    <cellStyle name="Normal 2 12 4 2 2" xfId="5746" xr:uid="{00000000-0005-0000-0000-00004C1D0000}"/>
    <cellStyle name="Normal 2 12 4 3" xfId="4216" xr:uid="{00000000-0005-0000-0000-00004D1D0000}"/>
    <cellStyle name="Normal 2 12 5" xfId="614" xr:uid="{00000000-0005-0000-0000-00004E1D0000}"/>
    <cellStyle name="Normal 2 12 5 2" xfId="2673" xr:uid="{00000000-0005-0000-0000-00004F1D0000}"/>
    <cellStyle name="Normal 2 12 5 2 2" xfId="5747" xr:uid="{00000000-0005-0000-0000-0000501D0000}"/>
    <cellStyle name="Normal 2 12 5 3" xfId="4217" xr:uid="{00000000-0005-0000-0000-0000511D0000}"/>
    <cellStyle name="Normal 2 12 6" xfId="2667" xr:uid="{00000000-0005-0000-0000-0000521D0000}"/>
    <cellStyle name="Normal 2 12 6 2" xfId="5741" xr:uid="{00000000-0005-0000-0000-0000531D0000}"/>
    <cellStyle name="Normal 2 12 7" xfId="4211" xr:uid="{00000000-0005-0000-0000-0000541D0000}"/>
    <cellStyle name="Normal 2 13" xfId="615" xr:uid="{00000000-0005-0000-0000-0000551D0000}"/>
    <cellStyle name="Normal 2 13 2" xfId="616" xr:uid="{00000000-0005-0000-0000-0000561D0000}"/>
    <cellStyle name="Normal 2 13 2 2" xfId="617" xr:uid="{00000000-0005-0000-0000-0000571D0000}"/>
    <cellStyle name="Normal 2 13 2 2 2" xfId="2676" xr:uid="{00000000-0005-0000-0000-0000581D0000}"/>
    <cellStyle name="Normal 2 13 2 2 2 2" xfId="5750" xr:uid="{00000000-0005-0000-0000-0000591D0000}"/>
    <cellStyle name="Normal 2 13 2 2 3" xfId="4220" xr:uid="{00000000-0005-0000-0000-00005A1D0000}"/>
    <cellStyle name="Normal 2 13 2 3" xfId="2675" xr:uid="{00000000-0005-0000-0000-00005B1D0000}"/>
    <cellStyle name="Normal 2 13 2 3 2" xfId="5749" xr:uid="{00000000-0005-0000-0000-00005C1D0000}"/>
    <cellStyle name="Normal 2 13 2 4" xfId="4219" xr:uid="{00000000-0005-0000-0000-00005D1D0000}"/>
    <cellStyle name="Normal 2 13 3" xfId="618" xr:uid="{00000000-0005-0000-0000-00005E1D0000}"/>
    <cellStyle name="Normal 2 13 3 2" xfId="619" xr:uid="{00000000-0005-0000-0000-00005F1D0000}"/>
    <cellStyle name="Normal 2 13 3 2 2" xfId="2678" xr:uid="{00000000-0005-0000-0000-0000601D0000}"/>
    <cellStyle name="Normal 2 13 3 2 2 2" xfId="5752" xr:uid="{00000000-0005-0000-0000-0000611D0000}"/>
    <cellStyle name="Normal 2 13 3 2 3" xfId="4222" xr:uid="{00000000-0005-0000-0000-0000621D0000}"/>
    <cellStyle name="Normal 2 13 3 3" xfId="2677" xr:uid="{00000000-0005-0000-0000-0000631D0000}"/>
    <cellStyle name="Normal 2 13 3 3 2" xfId="5751" xr:uid="{00000000-0005-0000-0000-0000641D0000}"/>
    <cellStyle name="Normal 2 13 3 4" xfId="4221" xr:uid="{00000000-0005-0000-0000-0000651D0000}"/>
    <cellStyle name="Normal 2 13 4" xfId="620" xr:uid="{00000000-0005-0000-0000-0000661D0000}"/>
    <cellStyle name="Normal 2 13 4 2" xfId="2679" xr:uid="{00000000-0005-0000-0000-0000671D0000}"/>
    <cellStyle name="Normal 2 13 4 2 2" xfId="5753" xr:uid="{00000000-0005-0000-0000-0000681D0000}"/>
    <cellStyle name="Normal 2 13 4 3" xfId="4223" xr:uid="{00000000-0005-0000-0000-0000691D0000}"/>
    <cellStyle name="Normal 2 13 5" xfId="621" xr:uid="{00000000-0005-0000-0000-00006A1D0000}"/>
    <cellStyle name="Normal 2 13 5 2" xfId="2680" xr:uid="{00000000-0005-0000-0000-00006B1D0000}"/>
    <cellStyle name="Normal 2 13 5 2 2" xfId="5754" xr:uid="{00000000-0005-0000-0000-00006C1D0000}"/>
    <cellStyle name="Normal 2 13 5 3" xfId="4224" xr:uid="{00000000-0005-0000-0000-00006D1D0000}"/>
    <cellStyle name="Normal 2 13 6" xfId="2674" xr:uid="{00000000-0005-0000-0000-00006E1D0000}"/>
    <cellStyle name="Normal 2 13 6 2" xfId="5748" xr:uid="{00000000-0005-0000-0000-00006F1D0000}"/>
    <cellStyle name="Normal 2 13 7" xfId="4218" xr:uid="{00000000-0005-0000-0000-0000701D0000}"/>
    <cellStyle name="Normal 2 14" xfId="622" xr:uid="{00000000-0005-0000-0000-0000711D0000}"/>
    <cellStyle name="Normal 2 14 2" xfId="623" xr:uid="{00000000-0005-0000-0000-0000721D0000}"/>
    <cellStyle name="Normal 2 14 2 2" xfId="624" xr:uid="{00000000-0005-0000-0000-0000731D0000}"/>
    <cellStyle name="Normal 2 14 2 2 2" xfId="2683" xr:uid="{00000000-0005-0000-0000-0000741D0000}"/>
    <cellStyle name="Normal 2 14 2 2 2 2" xfId="5757" xr:uid="{00000000-0005-0000-0000-0000751D0000}"/>
    <cellStyle name="Normal 2 14 2 2 3" xfId="4227" xr:uid="{00000000-0005-0000-0000-0000761D0000}"/>
    <cellStyle name="Normal 2 14 2 3" xfId="2682" xr:uid="{00000000-0005-0000-0000-0000771D0000}"/>
    <cellStyle name="Normal 2 14 2 3 2" xfId="5756" xr:uid="{00000000-0005-0000-0000-0000781D0000}"/>
    <cellStyle name="Normal 2 14 2 4" xfId="4226" xr:uid="{00000000-0005-0000-0000-0000791D0000}"/>
    <cellStyle name="Normal 2 14 3" xfId="625" xr:uid="{00000000-0005-0000-0000-00007A1D0000}"/>
    <cellStyle name="Normal 2 14 3 2" xfId="626" xr:uid="{00000000-0005-0000-0000-00007B1D0000}"/>
    <cellStyle name="Normal 2 14 3 2 2" xfId="2685" xr:uid="{00000000-0005-0000-0000-00007C1D0000}"/>
    <cellStyle name="Normal 2 14 3 2 2 2" xfId="5759" xr:uid="{00000000-0005-0000-0000-00007D1D0000}"/>
    <cellStyle name="Normal 2 14 3 2 3" xfId="4229" xr:uid="{00000000-0005-0000-0000-00007E1D0000}"/>
    <cellStyle name="Normal 2 14 3 3" xfId="2684" xr:uid="{00000000-0005-0000-0000-00007F1D0000}"/>
    <cellStyle name="Normal 2 14 3 3 2" xfId="5758" xr:uid="{00000000-0005-0000-0000-0000801D0000}"/>
    <cellStyle name="Normal 2 14 3 4" xfId="4228" xr:uid="{00000000-0005-0000-0000-0000811D0000}"/>
    <cellStyle name="Normal 2 14 4" xfId="627" xr:uid="{00000000-0005-0000-0000-0000821D0000}"/>
    <cellStyle name="Normal 2 14 4 2" xfId="2686" xr:uid="{00000000-0005-0000-0000-0000831D0000}"/>
    <cellStyle name="Normal 2 14 4 2 2" xfId="5760" xr:uid="{00000000-0005-0000-0000-0000841D0000}"/>
    <cellStyle name="Normal 2 14 4 3" xfId="4230" xr:uid="{00000000-0005-0000-0000-0000851D0000}"/>
    <cellStyle name="Normal 2 14 5" xfId="628" xr:uid="{00000000-0005-0000-0000-0000861D0000}"/>
    <cellStyle name="Normal 2 14 5 2" xfId="2687" xr:uid="{00000000-0005-0000-0000-0000871D0000}"/>
    <cellStyle name="Normal 2 14 5 2 2" xfId="5761" xr:uid="{00000000-0005-0000-0000-0000881D0000}"/>
    <cellStyle name="Normal 2 14 5 3" xfId="4231" xr:uid="{00000000-0005-0000-0000-0000891D0000}"/>
    <cellStyle name="Normal 2 14 6" xfId="2681" xr:uid="{00000000-0005-0000-0000-00008A1D0000}"/>
    <cellStyle name="Normal 2 14 6 2" xfId="5755" xr:uid="{00000000-0005-0000-0000-00008B1D0000}"/>
    <cellStyle name="Normal 2 14 7" xfId="4225" xr:uid="{00000000-0005-0000-0000-00008C1D0000}"/>
    <cellStyle name="Normal 2 15" xfId="629" xr:uid="{00000000-0005-0000-0000-00008D1D0000}"/>
    <cellStyle name="Normal 2 15 2" xfId="630" xr:uid="{00000000-0005-0000-0000-00008E1D0000}"/>
    <cellStyle name="Normal 2 15 2 2" xfId="631" xr:uid="{00000000-0005-0000-0000-00008F1D0000}"/>
    <cellStyle name="Normal 2 15 2 2 2" xfId="2690" xr:uid="{00000000-0005-0000-0000-0000901D0000}"/>
    <cellStyle name="Normal 2 15 2 2 2 2" xfId="5764" xr:uid="{00000000-0005-0000-0000-0000911D0000}"/>
    <cellStyle name="Normal 2 15 2 2 3" xfId="4234" xr:uid="{00000000-0005-0000-0000-0000921D0000}"/>
    <cellStyle name="Normal 2 15 2 3" xfId="2689" xr:uid="{00000000-0005-0000-0000-0000931D0000}"/>
    <cellStyle name="Normal 2 15 2 3 2" xfId="5763" xr:uid="{00000000-0005-0000-0000-0000941D0000}"/>
    <cellStyle name="Normal 2 15 2 4" xfId="4233" xr:uid="{00000000-0005-0000-0000-0000951D0000}"/>
    <cellStyle name="Normal 2 15 3" xfId="632" xr:uid="{00000000-0005-0000-0000-0000961D0000}"/>
    <cellStyle name="Normal 2 15 3 2" xfId="633" xr:uid="{00000000-0005-0000-0000-0000971D0000}"/>
    <cellStyle name="Normal 2 15 3 2 2" xfId="2692" xr:uid="{00000000-0005-0000-0000-0000981D0000}"/>
    <cellStyle name="Normal 2 15 3 2 2 2" xfId="5766" xr:uid="{00000000-0005-0000-0000-0000991D0000}"/>
    <cellStyle name="Normal 2 15 3 2 3" xfId="4236" xr:uid="{00000000-0005-0000-0000-00009A1D0000}"/>
    <cellStyle name="Normal 2 15 3 3" xfId="2691" xr:uid="{00000000-0005-0000-0000-00009B1D0000}"/>
    <cellStyle name="Normal 2 15 3 3 2" xfId="5765" xr:uid="{00000000-0005-0000-0000-00009C1D0000}"/>
    <cellStyle name="Normal 2 15 3 4" xfId="4235" xr:uid="{00000000-0005-0000-0000-00009D1D0000}"/>
    <cellStyle name="Normal 2 15 4" xfId="634" xr:uid="{00000000-0005-0000-0000-00009E1D0000}"/>
    <cellStyle name="Normal 2 15 4 2" xfId="2693" xr:uid="{00000000-0005-0000-0000-00009F1D0000}"/>
    <cellStyle name="Normal 2 15 4 2 2" xfId="5767" xr:uid="{00000000-0005-0000-0000-0000A01D0000}"/>
    <cellStyle name="Normal 2 15 4 3" xfId="4237" xr:uid="{00000000-0005-0000-0000-0000A11D0000}"/>
    <cellStyle name="Normal 2 15 5" xfId="635" xr:uid="{00000000-0005-0000-0000-0000A21D0000}"/>
    <cellStyle name="Normal 2 15 5 2" xfId="2694" xr:uid="{00000000-0005-0000-0000-0000A31D0000}"/>
    <cellStyle name="Normal 2 15 5 2 2" xfId="5768" xr:uid="{00000000-0005-0000-0000-0000A41D0000}"/>
    <cellStyle name="Normal 2 15 5 3" xfId="4238" xr:uid="{00000000-0005-0000-0000-0000A51D0000}"/>
    <cellStyle name="Normal 2 15 6" xfId="2688" xr:uid="{00000000-0005-0000-0000-0000A61D0000}"/>
    <cellStyle name="Normal 2 15 6 2" xfId="5762" xr:uid="{00000000-0005-0000-0000-0000A71D0000}"/>
    <cellStyle name="Normal 2 15 7" xfId="4232" xr:uid="{00000000-0005-0000-0000-0000A81D0000}"/>
    <cellStyle name="Normal 2 16" xfId="636" xr:uid="{00000000-0005-0000-0000-0000A91D0000}"/>
    <cellStyle name="Normal 2 16 2" xfId="637" xr:uid="{00000000-0005-0000-0000-0000AA1D0000}"/>
    <cellStyle name="Normal 2 16 2 2" xfId="638" xr:uid="{00000000-0005-0000-0000-0000AB1D0000}"/>
    <cellStyle name="Normal 2 16 2 2 2" xfId="2697" xr:uid="{00000000-0005-0000-0000-0000AC1D0000}"/>
    <cellStyle name="Normal 2 16 2 2 2 2" xfId="5771" xr:uid="{00000000-0005-0000-0000-0000AD1D0000}"/>
    <cellStyle name="Normal 2 16 2 2 3" xfId="4241" xr:uid="{00000000-0005-0000-0000-0000AE1D0000}"/>
    <cellStyle name="Normal 2 16 2 3" xfId="2696" xr:uid="{00000000-0005-0000-0000-0000AF1D0000}"/>
    <cellStyle name="Normal 2 16 2 3 2" xfId="5770" xr:uid="{00000000-0005-0000-0000-0000B01D0000}"/>
    <cellStyle name="Normal 2 16 2 4" xfId="4240" xr:uid="{00000000-0005-0000-0000-0000B11D0000}"/>
    <cellStyle name="Normal 2 16 3" xfId="639" xr:uid="{00000000-0005-0000-0000-0000B21D0000}"/>
    <cellStyle name="Normal 2 16 3 2" xfId="640" xr:uid="{00000000-0005-0000-0000-0000B31D0000}"/>
    <cellStyle name="Normal 2 16 3 2 2" xfId="2699" xr:uid="{00000000-0005-0000-0000-0000B41D0000}"/>
    <cellStyle name="Normal 2 16 3 2 2 2" xfId="5773" xr:uid="{00000000-0005-0000-0000-0000B51D0000}"/>
    <cellStyle name="Normal 2 16 3 2 3" xfId="4243" xr:uid="{00000000-0005-0000-0000-0000B61D0000}"/>
    <cellStyle name="Normal 2 16 3 3" xfId="2698" xr:uid="{00000000-0005-0000-0000-0000B71D0000}"/>
    <cellStyle name="Normal 2 16 3 3 2" xfId="5772" xr:uid="{00000000-0005-0000-0000-0000B81D0000}"/>
    <cellStyle name="Normal 2 16 3 4" xfId="4242" xr:uid="{00000000-0005-0000-0000-0000B91D0000}"/>
    <cellStyle name="Normal 2 16 4" xfId="641" xr:uid="{00000000-0005-0000-0000-0000BA1D0000}"/>
    <cellStyle name="Normal 2 16 4 2" xfId="2700" xr:uid="{00000000-0005-0000-0000-0000BB1D0000}"/>
    <cellStyle name="Normal 2 16 4 2 2" xfId="5774" xr:uid="{00000000-0005-0000-0000-0000BC1D0000}"/>
    <cellStyle name="Normal 2 16 4 3" xfId="4244" xr:uid="{00000000-0005-0000-0000-0000BD1D0000}"/>
    <cellStyle name="Normal 2 16 5" xfId="642" xr:uid="{00000000-0005-0000-0000-0000BE1D0000}"/>
    <cellStyle name="Normal 2 16 5 2" xfId="2701" xr:uid="{00000000-0005-0000-0000-0000BF1D0000}"/>
    <cellStyle name="Normal 2 16 5 2 2" xfId="5775" xr:uid="{00000000-0005-0000-0000-0000C01D0000}"/>
    <cellStyle name="Normal 2 16 5 3" xfId="4245" xr:uid="{00000000-0005-0000-0000-0000C11D0000}"/>
    <cellStyle name="Normal 2 16 6" xfId="2695" xr:uid="{00000000-0005-0000-0000-0000C21D0000}"/>
    <cellStyle name="Normal 2 16 6 2" xfId="5769" xr:uid="{00000000-0005-0000-0000-0000C31D0000}"/>
    <cellStyle name="Normal 2 16 7" xfId="4239" xr:uid="{00000000-0005-0000-0000-0000C41D0000}"/>
    <cellStyle name="Normal 2 17" xfId="643" xr:uid="{00000000-0005-0000-0000-0000C51D0000}"/>
    <cellStyle name="Normal 2 17 2" xfId="644" xr:uid="{00000000-0005-0000-0000-0000C61D0000}"/>
    <cellStyle name="Normal 2 17 2 2" xfId="645" xr:uid="{00000000-0005-0000-0000-0000C71D0000}"/>
    <cellStyle name="Normal 2 17 2 2 2" xfId="2704" xr:uid="{00000000-0005-0000-0000-0000C81D0000}"/>
    <cellStyle name="Normal 2 17 2 2 2 2" xfId="5778" xr:uid="{00000000-0005-0000-0000-0000C91D0000}"/>
    <cellStyle name="Normal 2 17 2 2 3" xfId="4248" xr:uid="{00000000-0005-0000-0000-0000CA1D0000}"/>
    <cellStyle name="Normal 2 17 2 3" xfId="2703" xr:uid="{00000000-0005-0000-0000-0000CB1D0000}"/>
    <cellStyle name="Normal 2 17 2 3 2" xfId="5777" xr:uid="{00000000-0005-0000-0000-0000CC1D0000}"/>
    <cellStyle name="Normal 2 17 2 4" xfId="4247" xr:uid="{00000000-0005-0000-0000-0000CD1D0000}"/>
    <cellStyle name="Normal 2 17 3" xfId="646" xr:uid="{00000000-0005-0000-0000-0000CE1D0000}"/>
    <cellStyle name="Normal 2 17 3 2" xfId="647" xr:uid="{00000000-0005-0000-0000-0000CF1D0000}"/>
    <cellStyle name="Normal 2 17 3 2 2" xfId="2706" xr:uid="{00000000-0005-0000-0000-0000D01D0000}"/>
    <cellStyle name="Normal 2 17 3 2 2 2" xfId="5780" xr:uid="{00000000-0005-0000-0000-0000D11D0000}"/>
    <cellStyle name="Normal 2 17 3 2 3" xfId="4250" xr:uid="{00000000-0005-0000-0000-0000D21D0000}"/>
    <cellStyle name="Normal 2 17 3 3" xfId="2705" xr:uid="{00000000-0005-0000-0000-0000D31D0000}"/>
    <cellStyle name="Normal 2 17 3 3 2" xfId="5779" xr:uid="{00000000-0005-0000-0000-0000D41D0000}"/>
    <cellStyle name="Normal 2 17 3 4" xfId="4249" xr:uid="{00000000-0005-0000-0000-0000D51D0000}"/>
    <cellStyle name="Normal 2 17 4" xfId="648" xr:uid="{00000000-0005-0000-0000-0000D61D0000}"/>
    <cellStyle name="Normal 2 17 4 2" xfId="2707" xr:uid="{00000000-0005-0000-0000-0000D71D0000}"/>
    <cellStyle name="Normal 2 17 4 2 2" xfId="5781" xr:uid="{00000000-0005-0000-0000-0000D81D0000}"/>
    <cellStyle name="Normal 2 17 4 3" xfId="4251" xr:uid="{00000000-0005-0000-0000-0000D91D0000}"/>
    <cellStyle name="Normal 2 17 5" xfId="649" xr:uid="{00000000-0005-0000-0000-0000DA1D0000}"/>
    <cellStyle name="Normal 2 17 5 2" xfId="2708" xr:uid="{00000000-0005-0000-0000-0000DB1D0000}"/>
    <cellStyle name="Normal 2 17 5 2 2" xfId="5782" xr:uid="{00000000-0005-0000-0000-0000DC1D0000}"/>
    <cellStyle name="Normal 2 17 5 3" xfId="4252" xr:uid="{00000000-0005-0000-0000-0000DD1D0000}"/>
    <cellStyle name="Normal 2 17 6" xfId="2702" xr:uid="{00000000-0005-0000-0000-0000DE1D0000}"/>
    <cellStyle name="Normal 2 17 6 2" xfId="5776" xr:uid="{00000000-0005-0000-0000-0000DF1D0000}"/>
    <cellStyle name="Normal 2 17 7" xfId="4246" xr:uid="{00000000-0005-0000-0000-0000E01D0000}"/>
    <cellStyle name="Normal 2 18" xfId="650" xr:uid="{00000000-0005-0000-0000-0000E11D0000}"/>
    <cellStyle name="Normal 2 18 2" xfId="651" xr:uid="{00000000-0005-0000-0000-0000E21D0000}"/>
    <cellStyle name="Normal 2 18 2 2" xfId="652" xr:uid="{00000000-0005-0000-0000-0000E31D0000}"/>
    <cellStyle name="Normal 2 18 2 2 2" xfId="2711" xr:uid="{00000000-0005-0000-0000-0000E41D0000}"/>
    <cellStyle name="Normal 2 18 2 2 2 2" xfId="5785" xr:uid="{00000000-0005-0000-0000-0000E51D0000}"/>
    <cellStyle name="Normal 2 18 2 2 3" xfId="4255" xr:uid="{00000000-0005-0000-0000-0000E61D0000}"/>
    <cellStyle name="Normal 2 18 2 3" xfId="2710" xr:uid="{00000000-0005-0000-0000-0000E71D0000}"/>
    <cellStyle name="Normal 2 18 2 3 2" xfId="5784" xr:uid="{00000000-0005-0000-0000-0000E81D0000}"/>
    <cellStyle name="Normal 2 18 2 4" xfId="4254" xr:uid="{00000000-0005-0000-0000-0000E91D0000}"/>
    <cellStyle name="Normal 2 18 3" xfId="653" xr:uid="{00000000-0005-0000-0000-0000EA1D0000}"/>
    <cellStyle name="Normal 2 18 3 2" xfId="654" xr:uid="{00000000-0005-0000-0000-0000EB1D0000}"/>
    <cellStyle name="Normal 2 18 3 2 2" xfId="2713" xr:uid="{00000000-0005-0000-0000-0000EC1D0000}"/>
    <cellStyle name="Normal 2 18 3 2 2 2" xfId="5787" xr:uid="{00000000-0005-0000-0000-0000ED1D0000}"/>
    <cellStyle name="Normal 2 18 3 2 3" xfId="4257" xr:uid="{00000000-0005-0000-0000-0000EE1D0000}"/>
    <cellStyle name="Normal 2 18 3 3" xfId="2712" xr:uid="{00000000-0005-0000-0000-0000EF1D0000}"/>
    <cellStyle name="Normal 2 18 3 3 2" xfId="5786" xr:uid="{00000000-0005-0000-0000-0000F01D0000}"/>
    <cellStyle name="Normal 2 18 3 4" xfId="4256" xr:uid="{00000000-0005-0000-0000-0000F11D0000}"/>
    <cellStyle name="Normal 2 18 4" xfId="655" xr:uid="{00000000-0005-0000-0000-0000F21D0000}"/>
    <cellStyle name="Normal 2 18 4 2" xfId="2714" xr:uid="{00000000-0005-0000-0000-0000F31D0000}"/>
    <cellStyle name="Normal 2 18 4 2 2" xfId="5788" xr:uid="{00000000-0005-0000-0000-0000F41D0000}"/>
    <cellStyle name="Normal 2 18 4 3" xfId="4258" xr:uid="{00000000-0005-0000-0000-0000F51D0000}"/>
    <cellStyle name="Normal 2 18 5" xfId="656" xr:uid="{00000000-0005-0000-0000-0000F61D0000}"/>
    <cellStyle name="Normal 2 18 5 2" xfId="2715" xr:uid="{00000000-0005-0000-0000-0000F71D0000}"/>
    <cellStyle name="Normal 2 18 5 2 2" xfId="5789" xr:uid="{00000000-0005-0000-0000-0000F81D0000}"/>
    <cellStyle name="Normal 2 18 5 3" xfId="4259" xr:uid="{00000000-0005-0000-0000-0000F91D0000}"/>
    <cellStyle name="Normal 2 18 6" xfId="2709" xr:uid="{00000000-0005-0000-0000-0000FA1D0000}"/>
    <cellStyle name="Normal 2 18 6 2" xfId="5783" xr:uid="{00000000-0005-0000-0000-0000FB1D0000}"/>
    <cellStyle name="Normal 2 18 7" xfId="4253" xr:uid="{00000000-0005-0000-0000-0000FC1D0000}"/>
    <cellStyle name="Normal 2 19" xfId="657" xr:uid="{00000000-0005-0000-0000-0000FD1D0000}"/>
    <cellStyle name="Normal 2 19 2" xfId="658" xr:uid="{00000000-0005-0000-0000-0000FE1D0000}"/>
    <cellStyle name="Normal 2 19 2 2" xfId="659" xr:uid="{00000000-0005-0000-0000-0000FF1D0000}"/>
    <cellStyle name="Normal 2 19 2 2 2" xfId="2718" xr:uid="{00000000-0005-0000-0000-0000001E0000}"/>
    <cellStyle name="Normal 2 19 2 2 2 2" xfId="5792" xr:uid="{00000000-0005-0000-0000-0000011E0000}"/>
    <cellStyle name="Normal 2 19 2 2 3" xfId="4262" xr:uid="{00000000-0005-0000-0000-0000021E0000}"/>
    <cellStyle name="Normal 2 19 2 3" xfId="2717" xr:uid="{00000000-0005-0000-0000-0000031E0000}"/>
    <cellStyle name="Normal 2 19 2 3 2" xfId="5791" xr:uid="{00000000-0005-0000-0000-0000041E0000}"/>
    <cellStyle name="Normal 2 19 2 4" xfId="4261" xr:uid="{00000000-0005-0000-0000-0000051E0000}"/>
    <cellStyle name="Normal 2 19 3" xfId="660" xr:uid="{00000000-0005-0000-0000-0000061E0000}"/>
    <cellStyle name="Normal 2 19 3 2" xfId="661" xr:uid="{00000000-0005-0000-0000-0000071E0000}"/>
    <cellStyle name="Normal 2 19 3 2 2" xfId="2720" xr:uid="{00000000-0005-0000-0000-0000081E0000}"/>
    <cellStyle name="Normal 2 19 3 2 2 2" xfId="5794" xr:uid="{00000000-0005-0000-0000-0000091E0000}"/>
    <cellStyle name="Normal 2 19 3 2 3" xfId="4264" xr:uid="{00000000-0005-0000-0000-00000A1E0000}"/>
    <cellStyle name="Normal 2 19 3 3" xfId="2719" xr:uid="{00000000-0005-0000-0000-00000B1E0000}"/>
    <cellStyle name="Normal 2 19 3 3 2" xfId="5793" xr:uid="{00000000-0005-0000-0000-00000C1E0000}"/>
    <cellStyle name="Normal 2 19 3 4" xfId="4263" xr:uid="{00000000-0005-0000-0000-00000D1E0000}"/>
    <cellStyle name="Normal 2 19 4" xfId="662" xr:uid="{00000000-0005-0000-0000-00000E1E0000}"/>
    <cellStyle name="Normal 2 19 4 2" xfId="2721" xr:uid="{00000000-0005-0000-0000-00000F1E0000}"/>
    <cellStyle name="Normal 2 19 4 2 2" xfId="5795" xr:uid="{00000000-0005-0000-0000-0000101E0000}"/>
    <cellStyle name="Normal 2 19 4 3" xfId="4265" xr:uid="{00000000-0005-0000-0000-0000111E0000}"/>
    <cellStyle name="Normal 2 19 5" xfId="663" xr:uid="{00000000-0005-0000-0000-0000121E0000}"/>
    <cellStyle name="Normal 2 19 5 2" xfId="2722" xr:uid="{00000000-0005-0000-0000-0000131E0000}"/>
    <cellStyle name="Normal 2 19 5 2 2" xfId="5796" xr:uid="{00000000-0005-0000-0000-0000141E0000}"/>
    <cellStyle name="Normal 2 19 5 3" xfId="4266" xr:uid="{00000000-0005-0000-0000-0000151E0000}"/>
    <cellStyle name="Normal 2 19 6" xfId="2716" xr:uid="{00000000-0005-0000-0000-0000161E0000}"/>
    <cellStyle name="Normal 2 19 6 2" xfId="5790" xr:uid="{00000000-0005-0000-0000-0000171E0000}"/>
    <cellStyle name="Normal 2 19 7" xfId="4260" xr:uid="{00000000-0005-0000-0000-0000181E0000}"/>
    <cellStyle name="Normal 2 2" xfId="664" xr:uid="{00000000-0005-0000-0000-0000191E0000}"/>
    <cellStyle name="Normal 2 2 10" xfId="665" xr:uid="{00000000-0005-0000-0000-00001A1E0000}"/>
    <cellStyle name="Normal 2 2 10 2" xfId="2724" xr:uid="{00000000-0005-0000-0000-00001B1E0000}"/>
    <cellStyle name="Normal 2 2 10 2 2" xfId="5798" xr:uid="{00000000-0005-0000-0000-00001C1E0000}"/>
    <cellStyle name="Normal 2 2 10 3" xfId="4268" xr:uid="{00000000-0005-0000-0000-00001D1E0000}"/>
    <cellStyle name="Normal 2 2 11" xfId="666" xr:uid="{00000000-0005-0000-0000-00001E1E0000}"/>
    <cellStyle name="Normal 2 2 11 2" xfId="2725" xr:uid="{00000000-0005-0000-0000-00001F1E0000}"/>
    <cellStyle name="Normal 2 2 11 2 2" xfId="5799" xr:uid="{00000000-0005-0000-0000-0000201E0000}"/>
    <cellStyle name="Normal 2 2 11 3" xfId="4269" xr:uid="{00000000-0005-0000-0000-0000211E0000}"/>
    <cellStyle name="Normal 2 2 12" xfId="667" xr:uid="{00000000-0005-0000-0000-0000221E0000}"/>
    <cellStyle name="Normal 2 2 12 2" xfId="2726" xr:uid="{00000000-0005-0000-0000-0000231E0000}"/>
    <cellStyle name="Normal 2 2 12 2 2" xfId="5800" xr:uid="{00000000-0005-0000-0000-0000241E0000}"/>
    <cellStyle name="Normal 2 2 12 3" xfId="4270" xr:uid="{00000000-0005-0000-0000-0000251E0000}"/>
    <cellStyle name="Normal 2 2 13" xfId="668" xr:uid="{00000000-0005-0000-0000-0000261E0000}"/>
    <cellStyle name="Normal 2 2 13 2" xfId="2727" xr:uid="{00000000-0005-0000-0000-0000271E0000}"/>
    <cellStyle name="Normal 2 2 13 2 2" xfId="5801" xr:uid="{00000000-0005-0000-0000-0000281E0000}"/>
    <cellStyle name="Normal 2 2 13 3" xfId="4271" xr:uid="{00000000-0005-0000-0000-0000291E0000}"/>
    <cellStyle name="Normal 2 2 14" xfId="669" xr:uid="{00000000-0005-0000-0000-00002A1E0000}"/>
    <cellStyle name="Normal 2 2 14 2" xfId="2728" xr:uid="{00000000-0005-0000-0000-00002B1E0000}"/>
    <cellStyle name="Normal 2 2 14 2 2" xfId="5802" xr:uid="{00000000-0005-0000-0000-00002C1E0000}"/>
    <cellStyle name="Normal 2 2 14 3" xfId="4272" xr:uid="{00000000-0005-0000-0000-00002D1E0000}"/>
    <cellStyle name="Normal 2 2 15" xfId="670" xr:uid="{00000000-0005-0000-0000-00002E1E0000}"/>
    <cellStyle name="Normal 2 2 15 2" xfId="2729" xr:uid="{00000000-0005-0000-0000-00002F1E0000}"/>
    <cellStyle name="Normal 2 2 15 2 2" xfId="5803" xr:uid="{00000000-0005-0000-0000-0000301E0000}"/>
    <cellStyle name="Normal 2 2 15 3" xfId="4273" xr:uid="{00000000-0005-0000-0000-0000311E0000}"/>
    <cellStyle name="Normal 2 2 16" xfId="671" xr:uid="{00000000-0005-0000-0000-0000321E0000}"/>
    <cellStyle name="Normal 2 2 16 2" xfId="2730" xr:uid="{00000000-0005-0000-0000-0000331E0000}"/>
    <cellStyle name="Normal 2 2 16 2 2" xfId="5804" xr:uid="{00000000-0005-0000-0000-0000341E0000}"/>
    <cellStyle name="Normal 2 2 16 3" xfId="4274" xr:uid="{00000000-0005-0000-0000-0000351E0000}"/>
    <cellStyle name="Normal 2 2 17" xfId="672" xr:uid="{00000000-0005-0000-0000-0000361E0000}"/>
    <cellStyle name="Normal 2 2 17 2" xfId="2731" xr:uid="{00000000-0005-0000-0000-0000371E0000}"/>
    <cellStyle name="Normal 2 2 17 2 2" xfId="5805" xr:uid="{00000000-0005-0000-0000-0000381E0000}"/>
    <cellStyle name="Normal 2 2 17 3" xfId="4275" xr:uid="{00000000-0005-0000-0000-0000391E0000}"/>
    <cellStyle name="Normal 2 2 18" xfId="673" xr:uid="{00000000-0005-0000-0000-00003A1E0000}"/>
    <cellStyle name="Normal 2 2 18 2" xfId="2732" xr:uid="{00000000-0005-0000-0000-00003B1E0000}"/>
    <cellStyle name="Normal 2 2 18 2 2" xfId="5806" xr:uid="{00000000-0005-0000-0000-00003C1E0000}"/>
    <cellStyle name="Normal 2 2 18 3" xfId="4276" xr:uid="{00000000-0005-0000-0000-00003D1E0000}"/>
    <cellStyle name="Normal 2 2 19" xfId="674" xr:uid="{00000000-0005-0000-0000-00003E1E0000}"/>
    <cellStyle name="Normal 2 2 19 2" xfId="2733" xr:uid="{00000000-0005-0000-0000-00003F1E0000}"/>
    <cellStyle name="Normal 2 2 19 2 2" xfId="5807" xr:uid="{00000000-0005-0000-0000-0000401E0000}"/>
    <cellStyle name="Normal 2 2 19 3" xfId="4277" xr:uid="{00000000-0005-0000-0000-0000411E0000}"/>
    <cellStyle name="Normal 2 2 2" xfId="675" xr:uid="{00000000-0005-0000-0000-0000421E0000}"/>
    <cellStyle name="Normal 2 2 2 2" xfId="676" xr:uid="{00000000-0005-0000-0000-0000431E0000}"/>
    <cellStyle name="Normal 2 2 2 3" xfId="2734" xr:uid="{00000000-0005-0000-0000-0000441E0000}"/>
    <cellStyle name="Normal 2 2 2 3 2" xfId="5808" xr:uid="{00000000-0005-0000-0000-0000451E0000}"/>
    <cellStyle name="Normal 2 2 2 4" xfId="4278" xr:uid="{00000000-0005-0000-0000-0000461E0000}"/>
    <cellStyle name="Normal 2 2 20" xfId="677" xr:uid="{00000000-0005-0000-0000-0000471E0000}"/>
    <cellStyle name="Normal 2 2 20 2" xfId="2735" xr:uid="{00000000-0005-0000-0000-0000481E0000}"/>
    <cellStyle name="Normal 2 2 20 2 2" xfId="5809" xr:uid="{00000000-0005-0000-0000-0000491E0000}"/>
    <cellStyle name="Normal 2 2 20 3" xfId="4279" xr:uid="{00000000-0005-0000-0000-00004A1E0000}"/>
    <cellStyle name="Normal 2 2 21" xfId="678" xr:uid="{00000000-0005-0000-0000-00004B1E0000}"/>
    <cellStyle name="Normal 2 2 21 2" xfId="2736" xr:uid="{00000000-0005-0000-0000-00004C1E0000}"/>
    <cellStyle name="Normal 2 2 21 2 2" xfId="5810" xr:uid="{00000000-0005-0000-0000-00004D1E0000}"/>
    <cellStyle name="Normal 2 2 21 3" xfId="4280" xr:uid="{00000000-0005-0000-0000-00004E1E0000}"/>
    <cellStyle name="Normal 2 2 22" xfId="679" xr:uid="{00000000-0005-0000-0000-00004F1E0000}"/>
    <cellStyle name="Normal 2 2 22 2" xfId="2737" xr:uid="{00000000-0005-0000-0000-0000501E0000}"/>
    <cellStyle name="Normal 2 2 22 2 2" xfId="5811" xr:uid="{00000000-0005-0000-0000-0000511E0000}"/>
    <cellStyle name="Normal 2 2 22 3" xfId="4281" xr:uid="{00000000-0005-0000-0000-0000521E0000}"/>
    <cellStyle name="Normal 2 2 23" xfId="680" xr:uid="{00000000-0005-0000-0000-0000531E0000}"/>
    <cellStyle name="Normal 2 2 23 2" xfId="2738" xr:uid="{00000000-0005-0000-0000-0000541E0000}"/>
    <cellStyle name="Normal 2 2 23 2 2" xfId="5812" xr:uid="{00000000-0005-0000-0000-0000551E0000}"/>
    <cellStyle name="Normal 2 2 23 3" xfId="4282" xr:uid="{00000000-0005-0000-0000-0000561E0000}"/>
    <cellStyle name="Normal 2 2 24" xfId="681" xr:uid="{00000000-0005-0000-0000-0000571E0000}"/>
    <cellStyle name="Normal 2 2 24 2" xfId="2739" xr:uid="{00000000-0005-0000-0000-0000581E0000}"/>
    <cellStyle name="Normal 2 2 24 2 2" xfId="5813" xr:uid="{00000000-0005-0000-0000-0000591E0000}"/>
    <cellStyle name="Normal 2 2 24 3" xfId="4283" xr:uid="{00000000-0005-0000-0000-00005A1E0000}"/>
    <cellStyle name="Normal 2 2 25" xfId="682" xr:uid="{00000000-0005-0000-0000-00005B1E0000}"/>
    <cellStyle name="Normal 2 2 25 2" xfId="2740" xr:uid="{00000000-0005-0000-0000-00005C1E0000}"/>
    <cellStyle name="Normal 2 2 25 2 2" xfId="5814" xr:uid="{00000000-0005-0000-0000-00005D1E0000}"/>
    <cellStyle name="Normal 2 2 25 3" xfId="4284" xr:uid="{00000000-0005-0000-0000-00005E1E0000}"/>
    <cellStyle name="Normal 2 2 26" xfId="683" xr:uid="{00000000-0005-0000-0000-00005F1E0000}"/>
    <cellStyle name="Normal 2 2 26 2" xfId="2741" xr:uid="{00000000-0005-0000-0000-0000601E0000}"/>
    <cellStyle name="Normal 2 2 26 2 2" xfId="5815" xr:uid="{00000000-0005-0000-0000-0000611E0000}"/>
    <cellStyle name="Normal 2 2 26 3" xfId="4285" xr:uid="{00000000-0005-0000-0000-0000621E0000}"/>
    <cellStyle name="Normal 2 2 27" xfId="684" xr:uid="{00000000-0005-0000-0000-0000631E0000}"/>
    <cellStyle name="Normal 2 2 27 2" xfId="2742" xr:uid="{00000000-0005-0000-0000-0000641E0000}"/>
    <cellStyle name="Normal 2 2 27 2 2" xfId="5816" xr:uid="{00000000-0005-0000-0000-0000651E0000}"/>
    <cellStyle name="Normal 2 2 27 3" xfId="4286" xr:uid="{00000000-0005-0000-0000-0000661E0000}"/>
    <cellStyle name="Normal 2 2 28" xfId="685" xr:uid="{00000000-0005-0000-0000-0000671E0000}"/>
    <cellStyle name="Normal 2 2 28 2" xfId="2743" xr:uid="{00000000-0005-0000-0000-0000681E0000}"/>
    <cellStyle name="Normal 2 2 28 2 2" xfId="5817" xr:uid="{00000000-0005-0000-0000-0000691E0000}"/>
    <cellStyle name="Normal 2 2 28 3" xfId="4287" xr:uid="{00000000-0005-0000-0000-00006A1E0000}"/>
    <cellStyle name="Normal 2 2 29" xfId="686" xr:uid="{00000000-0005-0000-0000-00006B1E0000}"/>
    <cellStyle name="Normal 2 2 29 2" xfId="2744" xr:uid="{00000000-0005-0000-0000-00006C1E0000}"/>
    <cellStyle name="Normal 2 2 29 2 2" xfId="5818" xr:uid="{00000000-0005-0000-0000-00006D1E0000}"/>
    <cellStyle name="Normal 2 2 29 3" xfId="4288" xr:uid="{00000000-0005-0000-0000-00006E1E0000}"/>
    <cellStyle name="Normal 2 2 3" xfId="687" xr:uid="{00000000-0005-0000-0000-00006F1E0000}"/>
    <cellStyle name="Normal 2 2 3 2" xfId="2745" xr:uid="{00000000-0005-0000-0000-0000701E0000}"/>
    <cellStyle name="Normal 2 2 3 2 2" xfId="5819" xr:uid="{00000000-0005-0000-0000-0000711E0000}"/>
    <cellStyle name="Normal 2 2 3 3" xfId="4289" xr:uid="{00000000-0005-0000-0000-0000721E0000}"/>
    <cellStyle name="Normal 2 2 30" xfId="688" xr:uid="{00000000-0005-0000-0000-0000731E0000}"/>
    <cellStyle name="Normal 2 2 30 2" xfId="2746" xr:uid="{00000000-0005-0000-0000-0000741E0000}"/>
    <cellStyle name="Normal 2 2 30 2 2" xfId="5820" xr:uid="{00000000-0005-0000-0000-0000751E0000}"/>
    <cellStyle name="Normal 2 2 30 3" xfId="4290" xr:uid="{00000000-0005-0000-0000-0000761E0000}"/>
    <cellStyle name="Normal 2 2 31" xfId="689" xr:uid="{00000000-0005-0000-0000-0000771E0000}"/>
    <cellStyle name="Normal 2 2 31 2" xfId="2747" xr:uid="{00000000-0005-0000-0000-0000781E0000}"/>
    <cellStyle name="Normal 2 2 31 2 2" xfId="5821" xr:uid="{00000000-0005-0000-0000-0000791E0000}"/>
    <cellStyle name="Normal 2 2 31 3" xfId="4291" xr:uid="{00000000-0005-0000-0000-00007A1E0000}"/>
    <cellStyle name="Normal 2 2 32" xfId="690" xr:uid="{00000000-0005-0000-0000-00007B1E0000}"/>
    <cellStyle name="Normal 2 2 32 2" xfId="2748" xr:uid="{00000000-0005-0000-0000-00007C1E0000}"/>
    <cellStyle name="Normal 2 2 32 2 2" xfId="5822" xr:uid="{00000000-0005-0000-0000-00007D1E0000}"/>
    <cellStyle name="Normal 2 2 32 3" xfId="4292" xr:uid="{00000000-0005-0000-0000-00007E1E0000}"/>
    <cellStyle name="Normal 2 2 33" xfId="691" xr:uid="{00000000-0005-0000-0000-00007F1E0000}"/>
    <cellStyle name="Normal 2 2 33 2" xfId="2749" xr:uid="{00000000-0005-0000-0000-0000801E0000}"/>
    <cellStyle name="Normal 2 2 33 2 2" xfId="5823" xr:uid="{00000000-0005-0000-0000-0000811E0000}"/>
    <cellStyle name="Normal 2 2 33 3" xfId="4293" xr:uid="{00000000-0005-0000-0000-0000821E0000}"/>
    <cellStyle name="Normal 2 2 34" xfId="692" xr:uid="{00000000-0005-0000-0000-0000831E0000}"/>
    <cellStyle name="Normal 2 2 34 2" xfId="2750" xr:uid="{00000000-0005-0000-0000-0000841E0000}"/>
    <cellStyle name="Normal 2 2 34 2 2" xfId="5824" xr:uid="{00000000-0005-0000-0000-0000851E0000}"/>
    <cellStyle name="Normal 2 2 34 3" xfId="4294" xr:uid="{00000000-0005-0000-0000-0000861E0000}"/>
    <cellStyle name="Normal 2 2 35" xfId="693" xr:uid="{00000000-0005-0000-0000-0000871E0000}"/>
    <cellStyle name="Normal 2 2 35 2" xfId="2751" xr:uid="{00000000-0005-0000-0000-0000881E0000}"/>
    <cellStyle name="Normal 2 2 35 2 2" xfId="5825" xr:uid="{00000000-0005-0000-0000-0000891E0000}"/>
    <cellStyle name="Normal 2 2 35 3" xfId="4295" xr:uid="{00000000-0005-0000-0000-00008A1E0000}"/>
    <cellStyle name="Normal 2 2 36" xfId="694" xr:uid="{00000000-0005-0000-0000-00008B1E0000}"/>
    <cellStyle name="Normal 2 2 36 2" xfId="2752" xr:uid="{00000000-0005-0000-0000-00008C1E0000}"/>
    <cellStyle name="Normal 2 2 36 2 2" xfId="5826" xr:uid="{00000000-0005-0000-0000-00008D1E0000}"/>
    <cellStyle name="Normal 2 2 36 3" xfId="4296" xr:uid="{00000000-0005-0000-0000-00008E1E0000}"/>
    <cellStyle name="Normal 2 2 37" xfId="695" xr:uid="{00000000-0005-0000-0000-00008F1E0000}"/>
    <cellStyle name="Normal 2 2 37 2" xfId="2753" xr:uid="{00000000-0005-0000-0000-0000901E0000}"/>
    <cellStyle name="Normal 2 2 37 2 2" xfId="5827" xr:uid="{00000000-0005-0000-0000-0000911E0000}"/>
    <cellStyle name="Normal 2 2 37 3" xfId="4297" xr:uid="{00000000-0005-0000-0000-0000921E0000}"/>
    <cellStyle name="Normal 2 2 38" xfId="696" xr:uid="{00000000-0005-0000-0000-0000931E0000}"/>
    <cellStyle name="Normal 2 2 38 2" xfId="2754" xr:uid="{00000000-0005-0000-0000-0000941E0000}"/>
    <cellStyle name="Normal 2 2 38 2 2" xfId="5828" xr:uid="{00000000-0005-0000-0000-0000951E0000}"/>
    <cellStyle name="Normal 2 2 38 3" xfId="4298" xr:uid="{00000000-0005-0000-0000-0000961E0000}"/>
    <cellStyle name="Normal 2 2 39" xfId="697" xr:uid="{00000000-0005-0000-0000-0000971E0000}"/>
    <cellStyle name="Normal 2 2 39 2" xfId="2755" xr:uid="{00000000-0005-0000-0000-0000981E0000}"/>
    <cellStyle name="Normal 2 2 39 2 2" xfId="5829" xr:uid="{00000000-0005-0000-0000-0000991E0000}"/>
    <cellStyle name="Normal 2 2 39 3" xfId="4299" xr:uid="{00000000-0005-0000-0000-00009A1E0000}"/>
    <cellStyle name="Normal 2 2 4" xfId="698" xr:uid="{00000000-0005-0000-0000-00009B1E0000}"/>
    <cellStyle name="Normal 2 2 4 2" xfId="2756" xr:uid="{00000000-0005-0000-0000-00009C1E0000}"/>
    <cellStyle name="Normal 2 2 4 2 2" xfId="5830" xr:uid="{00000000-0005-0000-0000-00009D1E0000}"/>
    <cellStyle name="Normal 2 2 4 3" xfId="4300" xr:uid="{00000000-0005-0000-0000-00009E1E0000}"/>
    <cellStyle name="Normal 2 2 40" xfId="699" xr:uid="{00000000-0005-0000-0000-00009F1E0000}"/>
    <cellStyle name="Normal 2 2 40 2" xfId="2757" xr:uid="{00000000-0005-0000-0000-0000A01E0000}"/>
    <cellStyle name="Normal 2 2 40 2 2" xfId="5831" xr:uid="{00000000-0005-0000-0000-0000A11E0000}"/>
    <cellStyle name="Normal 2 2 40 3" xfId="4301" xr:uid="{00000000-0005-0000-0000-0000A21E0000}"/>
    <cellStyle name="Normal 2 2 41" xfId="700" xr:uid="{00000000-0005-0000-0000-0000A31E0000}"/>
    <cellStyle name="Normal 2 2 41 2" xfId="2758" xr:uid="{00000000-0005-0000-0000-0000A41E0000}"/>
    <cellStyle name="Normal 2 2 41 2 2" xfId="5832" xr:uid="{00000000-0005-0000-0000-0000A51E0000}"/>
    <cellStyle name="Normal 2 2 41 3" xfId="4302" xr:uid="{00000000-0005-0000-0000-0000A61E0000}"/>
    <cellStyle name="Normal 2 2 42" xfId="701" xr:uid="{00000000-0005-0000-0000-0000A71E0000}"/>
    <cellStyle name="Normal 2 2 42 2" xfId="2759" xr:uid="{00000000-0005-0000-0000-0000A81E0000}"/>
    <cellStyle name="Normal 2 2 42 2 2" xfId="5833" xr:uid="{00000000-0005-0000-0000-0000A91E0000}"/>
    <cellStyle name="Normal 2 2 42 3" xfId="4303" xr:uid="{00000000-0005-0000-0000-0000AA1E0000}"/>
    <cellStyle name="Normal 2 2 43" xfId="702" xr:uid="{00000000-0005-0000-0000-0000AB1E0000}"/>
    <cellStyle name="Normal 2 2 43 2" xfId="2760" xr:uid="{00000000-0005-0000-0000-0000AC1E0000}"/>
    <cellStyle name="Normal 2 2 43 2 2" xfId="5834" xr:uid="{00000000-0005-0000-0000-0000AD1E0000}"/>
    <cellStyle name="Normal 2 2 43 3" xfId="4304" xr:uid="{00000000-0005-0000-0000-0000AE1E0000}"/>
    <cellStyle name="Normal 2 2 44" xfId="703" xr:uid="{00000000-0005-0000-0000-0000AF1E0000}"/>
    <cellStyle name="Normal 2 2 45" xfId="2723" xr:uid="{00000000-0005-0000-0000-0000B01E0000}"/>
    <cellStyle name="Normal 2 2 45 2" xfId="5797" xr:uid="{00000000-0005-0000-0000-0000B11E0000}"/>
    <cellStyle name="Normal 2 2 46" xfId="4267" xr:uid="{00000000-0005-0000-0000-0000B21E0000}"/>
    <cellStyle name="Normal 2 2 5" xfId="704" xr:uid="{00000000-0005-0000-0000-0000B31E0000}"/>
    <cellStyle name="Normal 2 2 5 2" xfId="2761" xr:uid="{00000000-0005-0000-0000-0000B41E0000}"/>
    <cellStyle name="Normal 2 2 5 2 2" xfId="5835" xr:uid="{00000000-0005-0000-0000-0000B51E0000}"/>
    <cellStyle name="Normal 2 2 5 3" xfId="4305" xr:uid="{00000000-0005-0000-0000-0000B61E0000}"/>
    <cellStyle name="Normal 2 2 6" xfId="705" xr:uid="{00000000-0005-0000-0000-0000B71E0000}"/>
    <cellStyle name="Normal 2 2 6 2" xfId="2762" xr:uid="{00000000-0005-0000-0000-0000B81E0000}"/>
    <cellStyle name="Normal 2 2 6 2 2" xfId="5836" xr:uid="{00000000-0005-0000-0000-0000B91E0000}"/>
    <cellStyle name="Normal 2 2 6 3" xfId="4306" xr:uid="{00000000-0005-0000-0000-0000BA1E0000}"/>
    <cellStyle name="Normal 2 2 7" xfId="706" xr:uid="{00000000-0005-0000-0000-0000BB1E0000}"/>
    <cellStyle name="Normal 2 2 7 2" xfId="2763" xr:uid="{00000000-0005-0000-0000-0000BC1E0000}"/>
    <cellStyle name="Normal 2 2 7 2 2" xfId="5837" xr:uid="{00000000-0005-0000-0000-0000BD1E0000}"/>
    <cellStyle name="Normal 2 2 7 3" xfId="4307" xr:uid="{00000000-0005-0000-0000-0000BE1E0000}"/>
    <cellStyle name="Normal 2 2 8" xfId="707" xr:uid="{00000000-0005-0000-0000-0000BF1E0000}"/>
    <cellStyle name="Normal 2 2 8 2" xfId="2764" xr:uid="{00000000-0005-0000-0000-0000C01E0000}"/>
    <cellStyle name="Normal 2 2 8 2 2" xfId="5838" xr:uid="{00000000-0005-0000-0000-0000C11E0000}"/>
    <cellStyle name="Normal 2 2 8 3" xfId="4308" xr:uid="{00000000-0005-0000-0000-0000C21E0000}"/>
    <cellStyle name="Normal 2 2 9" xfId="708" xr:uid="{00000000-0005-0000-0000-0000C31E0000}"/>
    <cellStyle name="Normal 2 2 9 2" xfId="2765" xr:uid="{00000000-0005-0000-0000-0000C41E0000}"/>
    <cellStyle name="Normal 2 2 9 2 2" xfId="5839" xr:uid="{00000000-0005-0000-0000-0000C51E0000}"/>
    <cellStyle name="Normal 2 2 9 3" xfId="4309" xr:uid="{00000000-0005-0000-0000-0000C61E0000}"/>
    <cellStyle name="Normal 2 20" xfId="709" xr:uid="{00000000-0005-0000-0000-0000C71E0000}"/>
    <cellStyle name="Normal 2 20 2" xfId="710" xr:uid="{00000000-0005-0000-0000-0000C81E0000}"/>
    <cellStyle name="Normal 2 20 2 2" xfId="711" xr:uid="{00000000-0005-0000-0000-0000C91E0000}"/>
    <cellStyle name="Normal 2 20 2 2 2" xfId="2768" xr:uid="{00000000-0005-0000-0000-0000CA1E0000}"/>
    <cellStyle name="Normal 2 20 2 2 2 2" xfId="5842" xr:uid="{00000000-0005-0000-0000-0000CB1E0000}"/>
    <cellStyle name="Normal 2 20 2 2 3" xfId="4312" xr:uid="{00000000-0005-0000-0000-0000CC1E0000}"/>
    <cellStyle name="Normal 2 20 2 3" xfId="2767" xr:uid="{00000000-0005-0000-0000-0000CD1E0000}"/>
    <cellStyle name="Normal 2 20 2 3 2" xfId="5841" xr:uid="{00000000-0005-0000-0000-0000CE1E0000}"/>
    <cellStyle name="Normal 2 20 2 4" xfId="4311" xr:uid="{00000000-0005-0000-0000-0000CF1E0000}"/>
    <cellStyle name="Normal 2 20 3" xfId="712" xr:uid="{00000000-0005-0000-0000-0000D01E0000}"/>
    <cellStyle name="Normal 2 20 3 2" xfId="713" xr:uid="{00000000-0005-0000-0000-0000D11E0000}"/>
    <cellStyle name="Normal 2 20 3 2 2" xfId="2770" xr:uid="{00000000-0005-0000-0000-0000D21E0000}"/>
    <cellStyle name="Normal 2 20 3 2 2 2" xfId="5844" xr:uid="{00000000-0005-0000-0000-0000D31E0000}"/>
    <cellStyle name="Normal 2 20 3 2 3" xfId="4314" xr:uid="{00000000-0005-0000-0000-0000D41E0000}"/>
    <cellStyle name="Normal 2 20 3 3" xfId="2769" xr:uid="{00000000-0005-0000-0000-0000D51E0000}"/>
    <cellStyle name="Normal 2 20 3 3 2" xfId="5843" xr:uid="{00000000-0005-0000-0000-0000D61E0000}"/>
    <cellStyle name="Normal 2 20 3 4" xfId="4313" xr:uid="{00000000-0005-0000-0000-0000D71E0000}"/>
    <cellStyle name="Normal 2 20 4" xfId="714" xr:uid="{00000000-0005-0000-0000-0000D81E0000}"/>
    <cellStyle name="Normal 2 20 4 2" xfId="2771" xr:uid="{00000000-0005-0000-0000-0000D91E0000}"/>
    <cellStyle name="Normal 2 20 4 2 2" xfId="5845" xr:uid="{00000000-0005-0000-0000-0000DA1E0000}"/>
    <cellStyle name="Normal 2 20 4 3" xfId="4315" xr:uid="{00000000-0005-0000-0000-0000DB1E0000}"/>
    <cellStyle name="Normal 2 20 5" xfId="715" xr:uid="{00000000-0005-0000-0000-0000DC1E0000}"/>
    <cellStyle name="Normal 2 20 5 2" xfId="2772" xr:uid="{00000000-0005-0000-0000-0000DD1E0000}"/>
    <cellStyle name="Normal 2 20 5 2 2" xfId="5846" xr:uid="{00000000-0005-0000-0000-0000DE1E0000}"/>
    <cellStyle name="Normal 2 20 5 3" xfId="4316" xr:uid="{00000000-0005-0000-0000-0000DF1E0000}"/>
    <cellStyle name="Normal 2 20 6" xfId="2766" xr:uid="{00000000-0005-0000-0000-0000E01E0000}"/>
    <cellStyle name="Normal 2 20 6 2" xfId="5840" xr:uid="{00000000-0005-0000-0000-0000E11E0000}"/>
    <cellStyle name="Normal 2 20 7" xfId="4310" xr:uid="{00000000-0005-0000-0000-0000E21E0000}"/>
    <cellStyle name="Normal 2 21" xfId="716" xr:uid="{00000000-0005-0000-0000-0000E31E0000}"/>
    <cellStyle name="Normal 2 21 2" xfId="717" xr:uid="{00000000-0005-0000-0000-0000E41E0000}"/>
    <cellStyle name="Normal 2 21 2 2" xfId="718" xr:uid="{00000000-0005-0000-0000-0000E51E0000}"/>
    <cellStyle name="Normal 2 21 2 2 2" xfId="2775" xr:uid="{00000000-0005-0000-0000-0000E61E0000}"/>
    <cellStyle name="Normal 2 21 2 2 2 2" xfId="5849" xr:uid="{00000000-0005-0000-0000-0000E71E0000}"/>
    <cellStyle name="Normal 2 21 2 2 3" xfId="4319" xr:uid="{00000000-0005-0000-0000-0000E81E0000}"/>
    <cellStyle name="Normal 2 21 2 3" xfId="2774" xr:uid="{00000000-0005-0000-0000-0000E91E0000}"/>
    <cellStyle name="Normal 2 21 2 3 2" xfId="5848" xr:uid="{00000000-0005-0000-0000-0000EA1E0000}"/>
    <cellStyle name="Normal 2 21 2 4" xfId="4318" xr:uid="{00000000-0005-0000-0000-0000EB1E0000}"/>
    <cellStyle name="Normal 2 21 3" xfId="719" xr:uid="{00000000-0005-0000-0000-0000EC1E0000}"/>
    <cellStyle name="Normal 2 21 3 2" xfId="720" xr:uid="{00000000-0005-0000-0000-0000ED1E0000}"/>
    <cellStyle name="Normal 2 21 3 2 2" xfId="2777" xr:uid="{00000000-0005-0000-0000-0000EE1E0000}"/>
    <cellStyle name="Normal 2 21 3 2 2 2" xfId="5851" xr:uid="{00000000-0005-0000-0000-0000EF1E0000}"/>
    <cellStyle name="Normal 2 21 3 2 3" xfId="4321" xr:uid="{00000000-0005-0000-0000-0000F01E0000}"/>
    <cellStyle name="Normal 2 21 3 3" xfId="2776" xr:uid="{00000000-0005-0000-0000-0000F11E0000}"/>
    <cellStyle name="Normal 2 21 3 3 2" xfId="5850" xr:uid="{00000000-0005-0000-0000-0000F21E0000}"/>
    <cellStyle name="Normal 2 21 3 4" xfId="4320" xr:uid="{00000000-0005-0000-0000-0000F31E0000}"/>
    <cellStyle name="Normal 2 21 4" xfId="721" xr:uid="{00000000-0005-0000-0000-0000F41E0000}"/>
    <cellStyle name="Normal 2 21 4 2" xfId="2778" xr:uid="{00000000-0005-0000-0000-0000F51E0000}"/>
    <cellStyle name="Normal 2 21 4 2 2" xfId="5852" xr:uid="{00000000-0005-0000-0000-0000F61E0000}"/>
    <cellStyle name="Normal 2 21 4 3" xfId="4322" xr:uid="{00000000-0005-0000-0000-0000F71E0000}"/>
    <cellStyle name="Normal 2 21 5" xfId="722" xr:uid="{00000000-0005-0000-0000-0000F81E0000}"/>
    <cellStyle name="Normal 2 21 5 2" xfId="2779" xr:uid="{00000000-0005-0000-0000-0000F91E0000}"/>
    <cellStyle name="Normal 2 21 5 2 2" xfId="5853" xr:uid="{00000000-0005-0000-0000-0000FA1E0000}"/>
    <cellStyle name="Normal 2 21 5 3" xfId="4323" xr:uid="{00000000-0005-0000-0000-0000FB1E0000}"/>
    <cellStyle name="Normal 2 21 6" xfId="2773" xr:uid="{00000000-0005-0000-0000-0000FC1E0000}"/>
    <cellStyle name="Normal 2 21 6 2" xfId="5847" xr:uid="{00000000-0005-0000-0000-0000FD1E0000}"/>
    <cellStyle name="Normal 2 21 7" xfId="4317" xr:uid="{00000000-0005-0000-0000-0000FE1E0000}"/>
    <cellStyle name="Normal 2 22" xfId="723" xr:uid="{00000000-0005-0000-0000-0000FF1E0000}"/>
    <cellStyle name="Normal 2 22 2" xfId="724" xr:uid="{00000000-0005-0000-0000-0000001F0000}"/>
    <cellStyle name="Normal 2 22 2 2" xfId="725" xr:uid="{00000000-0005-0000-0000-0000011F0000}"/>
    <cellStyle name="Normal 2 22 2 2 2" xfId="2782" xr:uid="{00000000-0005-0000-0000-0000021F0000}"/>
    <cellStyle name="Normal 2 22 2 2 2 2" xfId="5856" xr:uid="{00000000-0005-0000-0000-0000031F0000}"/>
    <cellStyle name="Normal 2 22 2 2 3" xfId="4326" xr:uid="{00000000-0005-0000-0000-0000041F0000}"/>
    <cellStyle name="Normal 2 22 2 3" xfId="2781" xr:uid="{00000000-0005-0000-0000-0000051F0000}"/>
    <cellStyle name="Normal 2 22 2 3 2" xfId="5855" xr:uid="{00000000-0005-0000-0000-0000061F0000}"/>
    <cellStyle name="Normal 2 22 2 4" xfId="4325" xr:uid="{00000000-0005-0000-0000-0000071F0000}"/>
    <cellStyle name="Normal 2 22 3" xfId="726" xr:uid="{00000000-0005-0000-0000-0000081F0000}"/>
    <cellStyle name="Normal 2 22 3 2" xfId="727" xr:uid="{00000000-0005-0000-0000-0000091F0000}"/>
    <cellStyle name="Normal 2 22 3 2 2" xfId="2784" xr:uid="{00000000-0005-0000-0000-00000A1F0000}"/>
    <cellStyle name="Normal 2 22 3 2 2 2" xfId="5858" xr:uid="{00000000-0005-0000-0000-00000B1F0000}"/>
    <cellStyle name="Normal 2 22 3 2 3" xfId="4328" xr:uid="{00000000-0005-0000-0000-00000C1F0000}"/>
    <cellStyle name="Normal 2 22 3 3" xfId="2783" xr:uid="{00000000-0005-0000-0000-00000D1F0000}"/>
    <cellStyle name="Normal 2 22 3 3 2" xfId="5857" xr:uid="{00000000-0005-0000-0000-00000E1F0000}"/>
    <cellStyle name="Normal 2 22 3 4" xfId="4327" xr:uid="{00000000-0005-0000-0000-00000F1F0000}"/>
    <cellStyle name="Normal 2 22 4" xfId="728" xr:uid="{00000000-0005-0000-0000-0000101F0000}"/>
    <cellStyle name="Normal 2 22 4 2" xfId="2785" xr:uid="{00000000-0005-0000-0000-0000111F0000}"/>
    <cellStyle name="Normal 2 22 4 2 2" xfId="5859" xr:uid="{00000000-0005-0000-0000-0000121F0000}"/>
    <cellStyle name="Normal 2 22 4 3" xfId="4329" xr:uid="{00000000-0005-0000-0000-0000131F0000}"/>
    <cellStyle name="Normal 2 22 5" xfId="729" xr:uid="{00000000-0005-0000-0000-0000141F0000}"/>
    <cellStyle name="Normal 2 22 5 2" xfId="2786" xr:uid="{00000000-0005-0000-0000-0000151F0000}"/>
    <cellStyle name="Normal 2 22 5 2 2" xfId="5860" xr:uid="{00000000-0005-0000-0000-0000161F0000}"/>
    <cellStyle name="Normal 2 22 5 3" xfId="4330" xr:uid="{00000000-0005-0000-0000-0000171F0000}"/>
    <cellStyle name="Normal 2 22 6" xfId="2780" xr:uid="{00000000-0005-0000-0000-0000181F0000}"/>
    <cellStyle name="Normal 2 22 6 2" xfId="5854" xr:uid="{00000000-0005-0000-0000-0000191F0000}"/>
    <cellStyle name="Normal 2 22 7" xfId="4324" xr:uid="{00000000-0005-0000-0000-00001A1F0000}"/>
    <cellStyle name="Normal 2 23" xfId="730" xr:uid="{00000000-0005-0000-0000-00001B1F0000}"/>
    <cellStyle name="Normal 2 23 2" xfId="731" xr:uid="{00000000-0005-0000-0000-00001C1F0000}"/>
    <cellStyle name="Normal 2 23 3" xfId="2787" xr:uid="{00000000-0005-0000-0000-00001D1F0000}"/>
    <cellStyle name="Normal 2 23 3 2" xfId="5861" xr:uid="{00000000-0005-0000-0000-00001E1F0000}"/>
    <cellStyle name="Normal 2 23 4" xfId="4331" xr:uid="{00000000-0005-0000-0000-00001F1F0000}"/>
    <cellStyle name="Normal 2 24" xfId="732" xr:uid="{00000000-0005-0000-0000-0000201F0000}"/>
    <cellStyle name="Normal 2 24 2" xfId="2788" xr:uid="{00000000-0005-0000-0000-0000211F0000}"/>
    <cellStyle name="Normal 2 24 2 2" xfId="5862" xr:uid="{00000000-0005-0000-0000-0000221F0000}"/>
    <cellStyle name="Normal 2 24 3" xfId="4332" xr:uid="{00000000-0005-0000-0000-0000231F0000}"/>
    <cellStyle name="Normal 2 25" xfId="733" xr:uid="{00000000-0005-0000-0000-0000241F0000}"/>
    <cellStyle name="Normal 2 25 2" xfId="2789" xr:uid="{00000000-0005-0000-0000-0000251F0000}"/>
    <cellStyle name="Normal 2 25 2 2" xfId="5863" xr:uid="{00000000-0005-0000-0000-0000261F0000}"/>
    <cellStyle name="Normal 2 25 3" xfId="4333" xr:uid="{00000000-0005-0000-0000-0000271F0000}"/>
    <cellStyle name="Normal 2 26" xfId="734" xr:uid="{00000000-0005-0000-0000-0000281F0000}"/>
    <cellStyle name="Normal 2 26 2" xfId="2790" xr:uid="{00000000-0005-0000-0000-0000291F0000}"/>
    <cellStyle name="Normal 2 26 2 2" xfId="5864" xr:uid="{00000000-0005-0000-0000-00002A1F0000}"/>
    <cellStyle name="Normal 2 26 3" xfId="4334" xr:uid="{00000000-0005-0000-0000-00002B1F0000}"/>
    <cellStyle name="Normal 2 27" xfId="735" xr:uid="{00000000-0005-0000-0000-00002C1F0000}"/>
    <cellStyle name="Normal 2 27 2" xfId="2791" xr:uid="{00000000-0005-0000-0000-00002D1F0000}"/>
    <cellStyle name="Normal 2 27 2 2" xfId="5865" xr:uid="{00000000-0005-0000-0000-00002E1F0000}"/>
    <cellStyle name="Normal 2 27 3" xfId="4335" xr:uid="{00000000-0005-0000-0000-00002F1F0000}"/>
    <cellStyle name="Normal 2 28" xfId="736" xr:uid="{00000000-0005-0000-0000-0000301F0000}"/>
    <cellStyle name="Normal 2 28 2" xfId="2792" xr:uid="{00000000-0005-0000-0000-0000311F0000}"/>
    <cellStyle name="Normal 2 28 2 2" xfId="5866" xr:uid="{00000000-0005-0000-0000-0000321F0000}"/>
    <cellStyle name="Normal 2 28 3" xfId="4336" xr:uid="{00000000-0005-0000-0000-0000331F0000}"/>
    <cellStyle name="Normal 2 29" xfId="737" xr:uid="{00000000-0005-0000-0000-0000341F0000}"/>
    <cellStyle name="Normal 2 29 2" xfId="2793" xr:uid="{00000000-0005-0000-0000-0000351F0000}"/>
    <cellStyle name="Normal 2 29 2 2" xfId="5867" xr:uid="{00000000-0005-0000-0000-0000361F0000}"/>
    <cellStyle name="Normal 2 29 3" xfId="4337" xr:uid="{00000000-0005-0000-0000-0000371F0000}"/>
    <cellStyle name="Normal 2 3" xfId="738" xr:uid="{00000000-0005-0000-0000-0000381F0000}"/>
    <cellStyle name="Normal 2 3 10" xfId="739" xr:uid="{00000000-0005-0000-0000-0000391F0000}"/>
    <cellStyle name="Normal 2 3 10 2" xfId="2795" xr:uid="{00000000-0005-0000-0000-00003A1F0000}"/>
    <cellStyle name="Normal 2 3 10 2 2" xfId="5869" xr:uid="{00000000-0005-0000-0000-00003B1F0000}"/>
    <cellStyle name="Normal 2 3 10 3" xfId="4339" xr:uid="{00000000-0005-0000-0000-00003C1F0000}"/>
    <cellStyle name="Normal 2 3 11" xfId="740" xr:uid="{00000000-0005-0000-0000-00003D1F0000}"/>
    <cellStyle name="Normal 2 3 11 2" xfId="2796" xr:uid="{00000000-0005-0000-0000-00003E1F0000}"/>
    <cellStyle name="Normal 2 3 11 2 2" xfId="5870" xr:uid="{00000000-0005-0000-0000-00003F1F0000}"/>
    <cellStyle name="Normal 2 3 11 3" xfId="4340" xr:uid="{00000000-0005-0000-0000-0000401F0000}"/>
    <cellStyle name="Normal 2 3 12" xfId="741" xr:uid="{00000000-0005-0000-0000-0000411F0000}"/>
    <cellStyle name="Normal 2 3 12 2" xfId="2797" xr:uid="{00000000-0005-0000-0000-0000421F0000}"/>
    <cellStyle name="Normal 2 3 12 2 2" xfId="5871" xr:uid="{00000000-0005-0000-0000-0000431F0000}"/>
    <cellStyle name="Normal 2 3 12 3" xfId="4341" xr:uid="{00000000-0005-0000-0000-0000441F0000}"/>
    <cellStyle name="Normal 2 3 13" xfId="742" xr:uid="{00000000-0005-0000-0000-0000451F0000}"/>
    <cellStyle name="Normal 2 3 13 2" xfId="2798" xr:uid="{00000000-0005-0000-0000-0000461F0000}"/>
    <cellStyle name="Normal 2 3 13 2 2" xfId="5872" xr:uid="{00000000-0005-0000-0000-0000471F0000}"/>
    <cellStyle name="Normal 2 3 13 3" xfId="4342" xr:uid="{00000000-0005-0000-0000-0000481F0000}"/>
    <cellStyle name="Normal 2 3 14" xfId="743" xr:uid="{00000000-0005-0000-0000-0000491F0000}"/>
    <cellStyle name="Normal 2 3 14 2" xfId="2799" xr:uid="{00000000-0005-0000-0000-00004A1F0000}"/>
    <cellStyle name="Normal 2 3 14 2 2" xfId="5873" xr:uid="{00000000-0005-0000-0000-00004B1F0000}"/>
    <cellStyle name="Normal 2 3 14 3" xfId="4343" xr:uid="{00000000-0005-0000-0000-00004C1F0000}"/>
    <cellStyle name="Normal 2 3 15" xfId="744" xr:uid="{00000000-0005-0000-0000-00004D1F0000}"/>
    <cellStyle name="Normal 2 3 15 2" xfId="2800" xr:uid="{00000000-0005-0000-0000-00004E1F0000}"/>
    <cellStyle name="Normal 2 3 15 2 2" xfId="5874" xr:uid="{00000000-0005-0000-0000-00004F1F0000}"/>
    <cellStyle name="Normal 2 3 15 3" xfId="4344" xr:uid="{00000000-0005-0000-0000-0000501F0000}"/>
    <cellStyle name="Normal 2 3 16" xfId="745" xr:uid="{00000000-0005-0000-0000-0000511F0000}"/>
    <cellStyle name="Normal 2 3 16 2" xfId="2801" xr:uid="{00000000-0005-0000-0000-0000521F0000}"/>
    <cellStyle name="Normal 2 3 16 2 2" xfId="5875" xr:uid="{00000000-0005-0000-0000-0000531F0000}"/>
    <cellStyle name="Normal 2 3 16 3" xfId="4345" xr:uid="{00000000-0005-0000-0000-0000541F0000}"/>
    <cellStyle name="Normal 2 3 17" xfId="746" xr:uid="{00000000-0005-0000-0000-0000551F0000}"/>
    <cellStyle name="Normal 2 3 17 2" xfId="2802" xr:uid="{00000000-0005-0000-0000-0000561F0000}"/>
    <cellStyle name="Normal 2 3 17 2 2" xfId="5876" xr:uid="{00000000-0005-0000-0000-0000571F0000}"/>
    <cellStyle name="Normal 2 3 17 3" xfId="4346" xr:uid="{00000000-0005-0000-0000-0000581F0000}"/>
    <cellStyle name="Normal 2 3 18" xfId="747" xr:uid="{00000000-0005-0000-0000-0000591F0000}"/>
    <cellStyle name="Normal 2 3 18 2" xfId="2803" xr:uid="{00000000-0005-0000-0000-00005A1F0000}"/>
    <cellStyle name="Normal 2 3 18 2 2" xfId="5877" xr:uid="{00000000-0005-0000-0000-00005B1F0000}"/>
    <cellStyle name="Normal 2 3 18 3" xfId="4347" xr:uid="{00000000-0005-0000-0000-00005C1F0000}"/>
    <cellStyle name="Normal 2 3 19" xfId="748" xr:uid="{00000000-0005-0000-0000-00005D1F0000}"/>
    <cellStyle name="Normal 2 3 19 2" xfId="2804" xr:uid="{00000000-0005-0000-0000-00005E1F0000}"/>
    <cellStyle name="Normal 2 3 19 2 2" xfId="5878" xr:uid="{00000000-0005-0000-0000-00005F1F0000}"/>
    <cellStyle name="Normal 2 3 19 3" xfId="4348" xr:uid="{00000000-0005-0000-0000-0000601F0000}"/>
    <cellStyle name="Normal 2 3 2" xfId="749" xr:uid="{00000000-0005-0000-0000-0000611F0000}"/>
    <cellStyle name="Normal 2 3 2 2" xfId="750" xr:uid="{00000000-0005-0000-0000-0000621F0000}"/>
    <cellStyle name="Normal 2 3 2 2 2" xfId="2806" xr:uid="{00000000-0005-0000-0000-0000631F0000}"/>
    <cellStyle name="Normal 2 3 2 2 2 2" xfId="5880" xr:uid="{00000000-0005-0000-0000-0000641F0000}"/>
    <cellStyle name="Normal 2 3 2 2 3" xfId="4350" xr:uid="{00000000-0005-0000-0000-0000651F0000}"/>
    <cellStyle name="Normal 2 3 2 3" xfId="751" xr:uid="{00000000-0005-0000-0000-0000661F0000}"/>
    <cellStyle name="Normal 2 3 2 3 2" xfId="2807" xr:uid="{00000000-0005-0000-0000-0000671F0000}"/>
    <cellStyle name="Normal 2 3 2 3 2 2" xfId="5881" xr:uid="{00000000-0005-0000-0000-0000681F0000}"/>
    <cellStyle name="Normal 2 3 2 3 3" xfId="4351" xr:uid="{00000000-0005-0000-0000-0000691F0000}"/>
    <cellStyle name="Normal 2 3 2 4" xfId="2805" xr:uid="{00000000-0005-0000-0000-00006A1F0000}"/>
    <cellStyle name="Normal 2 3 2 4 2" xfId="5879" xr:uid="{00000000-0005-0000-0000-00006B1F0000}"/>
    <cellStyle name="Normal 2 3 2 5" xfId="4349" xr:uid="{00000000-0005-0000-0000-00006C1F0000}"/>
    <cellStyle name="Normal 2 3 20" xfId="752" xr:uid="{00000000-0005-0000-0000-00006D1F0000}"/>
    <cellStyle name="Normal 2 3 20 2" xfId="2808" xr:uid="{00000000-0005-0000-0000-00006E1F0000}"/>
    <cellStyle name="Normal 2 3 20 2 2" xfId="5882" xr:uid="{00000000-0005-0000-0000-00006F1F0000}"/>
    <cellStyle name="Normal 2 3 20 3" xfId="4352" xr:uid="{00000000-0005-0000-0000-0000701F0000}"/>
    <cellStyle name="Normal 2 3 21" xfId="753" xr:uid="{00000000-0005-0000-0000-0000711F0000}"/>
    <cellStyle name="Normal 2 3 21 2" xfId="2809" xr:uid="{00000000-0005-0000-0000-0000721F0000}"/>
    <cellStyle name="Normal 2 3 21 2 2" xfId="5883" xr:uid="{00000000-0005-0000-0000-0000731F0000}"/>
    <cellStyle name="Normal 2 3 21 3" xfId="4353" xr:uid="{00000000-0005-0000-0000-0000741F0000}"/>
    <cellStyle name="Normal 2 3 22" xfId="754" xr:uid="{00000000-0005-0000-0000-0000751F0000}"/>
    <cellStyle name="Normal 2 3 22 2" xfId="2810" xr:uid="{00000000-0005-0000-0000-0000761F0000}"/>
    <cellStyle name="Normal 2 3 22 2 2" xfId="5884" xr:uid="{00000000-0005-0000-0000-0000771F0000}"/>
    <cellStyle name="Normal 2 3 22 3" xfId="4354" xr:uid="{00000000-0005-0000-0000-0000781F0000}"/>
    <cellStyle name="Normal 2 3 23" xfId="755" xr:uid="{00000000-0005-0000-0000-0000791F0000}"/>
    <cellStyle name="Normal 2 3 23 2" xfId="2811" xr:uid="{00000000-0005-0000-0000-00007A1F0000}"/>
    <cellStyle name="Normal 2 3 23 2 2" xfId="5885" xr:uid="{00000000-0005-0000-0000-00007B1F0000}"/>
    <cellStyle name="Normal 2 3 23 3" xfId="4355" xr:uid="{00000000-0005-0000-0000-00007C1F0000}"/>
    <cellStyle name="Normal 2 3 24" xfId="756" xr:uid="{00000000-0005-0000-0000-00007D1F0000}"/>
    <cellStyle name="Normal 2 3 24 2" xfId="2812" xr:uid="{00000000-0005-0000-0000-00007E1F0000}"/>
    <cellStyle name="Normal 2 3 24 2 2" xfId="5886" xr:uid="{00000000-0005-0000-0000-00007F1F0000}"/>
    <cellStyle name="Normal 2 3 24 3" xfId="4356" xr:uid="{00000000-0005-0000-0000-0000801F0000}"/>
    <cellStyle name="Normal 2 3 25" xfId="757" xr:uid="{00000000-0005-0000-0000-0000811F0000}"/>
    <cellStyle name="Normal 2 3 25 2" xfId="2813" xr:uid="{00000000-0005-0000-0000-0000821F0000}"/>
    <cellStyle name="Normal 2 3 25 2 2" xfId="5887" xr:uid="{00000000-0005-0000-0000-0000831F0000}"/>
    <cellStyle name="Normal 2 3 25 3" xfId="4357" xr:uid="{00000000-0005-0000-0000-0000841F0000}"/>
    <cellStyle name="Normal 2 3 26" xfId="758" xr:uid="{00000000-0005-0000-0000-0000851F0000}"/>
    <cellStyle name="Normal 2 3 26 2" xfId="2814" xr:uid="{00000000-0005-0000-0000-0000861F0000}"/>
    <cellStyle name="Normal 2 3 26 2 2" xfId="5888" xr:uid="{00000000-0005-0000-0000-0000871F0000}"/>
    <cellStyle name="Normal 2 3 26 3" xfId="4358" xr:uid="{00000000-0005-0000-0000-0000881F0000}"/>
    <cellStyle name="Normal 2 3 27" xfId="759" xr:uid="{00000000-0005-0000-0000-0000891F0000}"/>
    <cellStyle name="Normal 2 3 27 2" xfId="2815" xr:uid="{00000000-0005-0000-0000-00008A1F0000}"/>
    <cellStyle name="Normal 2 3 27 2 2" xfId="5889" xr:uid="{00000000-0005-0000-0000-00008B1F0000}"/>
    <cellStyle name="Normal 2 3 27 3" xfId="4359" xr:uid="{00000000-0005-0000-0000-00008C1F0000}"/>
    <cellStyle name="Normal 2 3 28" xfId="760" xr:uid="{00000000-0005-0000-0000-00008D1F0000}"/>
    <cellStyle name="Normal 2 3 28 2" xfId="2816" xr:uid="{00000000-0005-0000-0000-00008E1F0000}"/>
    <cellStyle name="Normal 2 3 28 2 2" xfId="5890" xr:uid="{00000000-0005-0000-0000-00008F1F0000}"/>
    <cellStyle name="Normal 2 3 28 3" xfId="4360" xr:uid="{00000000-0005-0000-0000-0000901F0000}"/>
    <cellStyle name="Normal 2 3 29" xfId="761" xr:uid="{00000000-0005-0000-0000-0000911F0000}"/>
    <cellStyle name="Normal 2 3 29 2" xfId="2817" xr:uid="{00000000-0005-0000-0000-0000921F0000}"/>
    <cellStyle name="Normal 2 3 29 2 2" xfId="5891" xr:uid="{00000000-0005-0000-0000-0000931F0000}"/>
    <cellStyle name="Normal 2 3 29 3" xfId="4361" xr:uid="{00000000-0005-0000-0000-0000941F0000}"/>
    <cellStyle name="Normal 2 3 3" xfId="762" xr:uid="{00000000-0005-0000-0000-0000951F0000}"/>
    <cellStyle name="Normal 2 3 3 2" xfId="763" xr:uid="{00000000-0005-0000-0000-0000961F0000}"/>
    <cellStyle name="Normal 2 3 3 2 2" xfId="2819" xr:uid="{00000000-0005-0000-0000-0000971F0000}"/>
    <cellStyle name="Normal 2 3 3 2 2 2" xfId="5893" xr:uid="{00000000-0005-0000-0000-0000981F0000}"/>
    <cellStyle name="Normal 2 3 3 2 3" xfId="4363" xr:uid="{00000000-0005-0000-0000-0000991F0000}"/>
    <cellStyle name="Normal 2 3 3 3" xfId="764" xr:uid="{00000000-0005-0000-0000-00009A1F0000}"/>
    <cellStyle name="Normal 2 3 3 3 2" xfId="2820" xr:uid="{00000000-0005-0000-0000-00009B1F0000}"/>
    <cellStyle name="Normal 2 3 3 3 2 2" xfId="5894" xr:uid="{00000000-0005-0000-0000-00009C1F0000}"/>
    <cellStyle name="Normal 2 3 3 3 3" xfId="4364" xr:uid="{00000000-0005-0000-0000-00009D1F0000}"/>
    <cellStyle name="Normal 2 3 3 4" xfId="2818" xr:uid="{00000000-0005-0000-0000-00009E1F0000}"/>
    <cellStyle name="Normal 2 3 3 4 2" xfId="5892" xr:uid="{00000000-0005-0000-0000-00009F1F0000}"/>
    <cellStyle name="Normal 2 3 3 5" xfId="4362" xr:uid="{00000000-0005-0000-0000-0000A01F0000}"/>
    <cellStyle name="Normal 2 3 30" xfId="765" xr:uid="{00000000-0005-0000-0000-0000A11F0000}"/>
    <cellStyle name="Normal 2 3 30 2" xfId="2821" xr:uid="{00000000-0005-0000-0000-0000A21F0000}"/>
    <cellStyle name="Normal 2 3 30 2 2" xfId="5895" xr:uid="{00000000-0005-0000-0000-0000A31F0000}"/>
    <cellStyle name="Normal 2 3 30 3" xfId="4365" xr:uid="{00000000-0005-0000-0000-0000A41F0000}"/>
    <cellStyle name="Normal 2 3 31" xfId="766" xr:uid="{00000000-0005-0000-0000-0000A51F0000}"/>
    <cellStyle name="Normal 2 3 31 2" xfId="2822" xr:uid="{00000000-0005-0000-0000-0000A61F0000}"/>
    <cellStyle name="Normal 2 3 31 2 2" xfId="5896" xr:uid="{00000000-0005-0000-0000-0000A71F0000}"/>
    <cellStyle name="Normal 2 3 31 3" xfId="4366" xr:uid="{00000000-0005-0000-0000-0000A81F0000}"/>
    <cellStyle name="Normal 2 3 32" xfId="767" xr:uid="{00000000-0005-0000-0000-0000A91F0000}"/>
    <cellStyle name="Normal 2 3 32 2" xfId="2823" xr:uid="{00000000-0005-0000-0000-0000AA1F0000}"/>
    <cellStyle name="Normal 2 3 32 2 2" xfId="5897" xr:uid="{00000000-0005-0000-0000-0000AB1F0000}"/>
    <cellStyle name="Normal 2 3 32 3" xfId="4367" xr:uid="{00000000-0005-0000-0000-0000AC1F0000}"/>
    <cellStyle name="Normal 2 3 33" xfId="768" xr:uid="{00000000-0005-0000-0000-0000AD1F0000}"/>
    <cellStyle name="Normal 2 3 33 2" xfId="2824" xr:uid="{00000000-0005-0000-0000-0000AE1F0000}"/>
    <cellStyle name="Normal 2 3 33 2 2" xfId="5898" xr:uid="{00000000-0005-0000-0000-0000AF1F0000}"/>
    <cellStyle name="Normal 2 3 33 3" xfId="4368" xr:uid="{00000000-0005-0000-0000-0000B01F0000}"/>
    <cellStyle name="Normal 2 3 34" xfId="769" xr:uid="{00000000-0005-0000-0000-0000B11F0000}"/>
    <cellStyle name="Normal 2 3 34 2" xfId="2825" xr:uid="{00000000-0005-0000-0000-0000B21F0000}"/>
    <cellStyle name="Normal 2 3 34 2 2" xfId="5899" xr:uid="{00000000-0005-0000-0000-0000B31F0000}"/>
    <cellStyle name="Normal 2 3 34 3" xfId="4369" xr:uid="{00000000-0005-0000-0000-0000B41F0000}"/>
    <cellStyle name="Normal 2 3 35" xfId="770" xr:uid="{00000000-0005-0000-0000-0000B51F0000}"/>
    <cellStyle name="Normal 2 3 35 2" xfId="2826" xr:uid="{00000000-0005-0000-0000-0000B61F0000}"/>
    <cellStyle name="Normal 2 3 35 2 2" xfId="5900" xr:uid="{00000000-0005-0000-0000-0000B71F0000}"/>
    <cellStyle name="Normal 2 3 35 3" xfId="4370" xr:uid="{00000000-0005-0000-0000-0000B81F0000}"/>
    <cellStyle name="Normal 2 3 36" xfId="771" xr:uid="{00000000-0005-0000-0000-0000B91F0000}"/>
    <cellStyle name="Normal 2 3 36 2" xfId="2827" xr:uid="{00000000-0005-0000-0000-0000BA1F0000}"/>
    <cellStyle name="Normal 2 3 36 2 2" xfId="5901" xr:uid="{00000000-0005-0000-0000-0000BB1F0000}"/>
    <cellStyle name="Normal 2 3 36 3" xfId="4371" xr:uid="{00000000-0005-0000-0000-0000BC1F0000}"/>
    <cellStyle name="Normal 2 3 37" xfId="772" xr:uid="{00000000-0005-0000-0000-0000BD1F0000}"/>
    <cellStyle name="Normal 2 3 37 2" xfId="2828" xr:uid="{00000000-0005-0000-0000-0000BE1F0000}"/>
    <cellStyle name="Normal 2 3 37 2 2" xfId="5902" xr:uid="{00000000-0005-0000-0000-0000BF1F0000}"/>
    <cellStyle name="Normal 2 3 37 3" xfId="4372" xr:uid="{00000000-0005-0000-0000-0000C01F0000}"/>
    <cellStyle name="Normal 2 3 38" xfId="773" xr:uid="{00000000-0005-0000-0000-0000C11F0000}"/>
    <cellStyle name="Normal 2 3 38 2" xfId="2829" xr:uid="{00000000-0005-0000-0000-0000C21F0000}"/>
    <cellStyle name="Normal 2 3 38 2 2" xfId="5903" xr:uid="{00000000-0005-0000-0000-0000C31F0000}"/>
    <cellStyle name="Normal 2 3 38 3" xfId="4373" xr:uid="{00000000-0005-0000-0000-0000C41F0000}"/>
    <cellStyle name="Normal 2 3 39" xfId="774" xr:uid="{00000000-0005-0000-0000-0000C51F0000}"/>
    <cellStyle name="Normal 2 3 39 2" xfId="2830" xr:uid="{00000000-0005-0000-0000-0000C61F0000}"/>
    <cellStyle name="Normal 2 3 39 2 2" xfId="5904" xr:uid="{00000000-0005-0000-0000-0000C71F0000}"/>
    <cellStyle name="Normal 2 3 39 3" xfId="4374" xr:uid="{00000000-0005-0000-0000-0000C81F0000}"/>
    <cellStyle name="Normal 2 3 4" xfId="775" xr:uid="{00000000-0005-0000-0000-0000C91F0000}"/>
    <cellStyle name="Normal 2 3 4 2" xfId="776" xr:uid="{00000000-0005-0000-0000-0000CA1F0000}"/>
    <cellStyle name="Normal 2 3 4 2 2" xfId="2832" xr:uid="{00000000-0005-0000-0000-0000CB1F0000}"/>
    <cellStyle name="Normal 2 3 4 2 2 2" xfId="5906" xr:uid="{00000000-0005-0000-0000-0000CC1F0000}"/>
    <cellStyle name="Normal 2 3 4 2 3" xfId="4376" xr:uid="{00000000-0005-0000-0000-0000CD1F0000}"/>
    <cellStyle name="Normal 2 3 4 3" xfId="2831" xr:uid="{00000000-0005-0000-0000-0000CE1F0000}"/>
    <cellStyle name="Normal 2 3 4 3 2" xfId="5905" xr:uid="{00000000-0005-0000-0000-0000CF1F0000}"/>
    <cellStyle name="Normal 2 3 4 4" xfId="4375" xr:uid="{00000000-0005-0000-0000-0000D01F0000}"/>
    <cellStyle name="Normal 2 3 40" xfId="777" xr:uid="{00000000-0005-0000-0000-0000D11F0000}"/>
    <cellStyle name="Normal 2 3 40 2" xfId="2833" xr:uid="{00000000-0005-0000-0000-0000D21F0000}"/>
    <cellStyle name="Normal 2 3 40 2 2" xfId="5907" xr:uid="{00000000-0005-0000-0000-0000D31F0000}"/>
    <cellStyle name="Normal 2 3 40 3" xfId="4377" xr:uid="{00000000-0005-0000-0000-0000D41F0000}"/>
    <cellStyle name="Normal 2 3 41" xfId="778" xr:uid="{00000000-0005-0000-0000-0000D51F0000}"/>
    <cellStyle name="Normal 2 3 41 2" xfId="2834" xr:uid="{00000000-0005-0000-0000-0000D61F0000}"/>
    <cellStyle name="Normal 2 3 41 2 2" xfId="5908" xr:uid="{00000000-0005-0000-0000-0000D71F0000}"/>
    <cellStyle name="Normal 2 3 41 3" xfId="4378" xr:uid="{00000000-0005-0000-0000-0000D81F0000}"/>
    <cellStyle name="Normal 2 3 42" xfId="779" xr:uid="{00000000-0005-0000-0000-0000D91F0000}"/>
    <cellStyle name="Normal 2 3 42 2" xfId="2835" xr:uid="{00000000-0005-0000-0000-0000DA1F0000}"/>
    <cellStyle name="Normal 2 3 42 2 2" xfId="5909" xr:uid="{00000000-0005-0000-0000-0000DB1F0000}"/>
    <cellStyle name="Normal 2 3 42 3" xfId="4379" xr:uid="{00000000-0005-0000-0000-0000DC1F0000}"/>
    <cellStyle name="Normal 2 3 43" xfId="780" xr:uid="{00000000-0005-0000-0000-0000DD1F0000}"/>
    <cellStyle name="Normal 2 3 43 2" xfId="2836" xr:uid="{00000000-0005-0000-0000-0000DE1F0000}"/>
    <cellStyle name="Normal 2 3 43 2 2" xfId="5910" xr:uid="{00000000-0005-0000-0000-0000DF1F0000}"/>
    <cellStyle name="Normal 2 3 43 3" xfId="4380" xr:uid="{00000000-0005-0000-0000-0000E01F0000}"/>
    <cellStyle name="Normal 2 3 44" xfId="781" xr:uid="{00000000-0005-0000-0000-0000E11F0000}"/>
    <cellStyle name="Normal 2 3 44 2" xfId="2837" xr:uid="{00000000-0005-0000-0000-0000E21F0000}"/>
    <cellStyle name="Normal 2 3 44 2 2" xfId="5911" xr:uid="{00000000-0005-0000-0000-0000E31F0000}"/>
    <cellStyle name="Normal 2 3 44 3" xfId="4381" xr:uid="{00000000-0005-0000-0000-0000E41F0000}"/>
    <cellStyle name="Normal 2 3 45" xfId="2794" xr:uid="{00000000-0005-0000-0000-0000E51F0000}"/>
    <cellStyle name="Normal 2 3 45 2" xfId="5868" xr:uid="{00000000-0005-0000-0000-0000E61F0000}"/>
    <cellStyle name="Normal 2 3 46" xfId="4338" xr:uid="{00000000-0005-0000-0000-0000E71F0000}"/>
    <cellStyle name="Normal 2 3 5" xfId="782" xr:uid="{00000000-0005-0000-0000-0000E81F0000}"/>
    <cellStyle name="Normal 2 3 5 2" xfId="2838" xr:uid="{00000000-0005-0000-0000-0000E91F0000}"/>
    <cellStyle name="Normal 2 3 5 2 2" xfId="5912" xr:uid="{00000000-0005-0000-0000-0000EA1F0000}"/>
    <cellStyle name="Normal 2 3 5 3" xfId="4382" xr:uid="{00000000-0005-0000-0000-0000EB1F0000}"/>
    <cellStyle name="Normal 2 3 6" xfId="783" xr:uid="{00000000-0005-0000-0000-0000EC1F0000}"/>
    <cellStyle name="Normal 2 3 6 2" xfId="2839" xr:uid="{00000000-0005-0000-0000-0000ED1F0000}"/>
    <cellStyle name="Normal 2 3 6 2 2" xfId="5913" xr:uid="{00000000-0005-0000-0000-0000EE1F0000}"/>
    <cellStyle name="Normal 2 3 6 3" xfId="4383" xr:uid="{00000000-0005-0000-0000-0000EF1F0000}"/>
    <cellStyle name="Normal 2 3 7" xfId="784" xr:uid="{00000000-0005-0000-0000-0000F01F0000}"/>
    <cellStyle name="Normal 2 3 7 2" xfId="2840" xr:uid="{00000000-0005-0000-0000-0000F11F0000}"/>
    <cellStyle name="Normal 2 3 7 2 2" xfId="5914" xr:uid="{00000000-0005-0000-0000-0000F21F0000}"/>
    <cellStyle name="Normal 2 3 7 3" xfId="4384" xr:uid="{00000000-0005-0000-0000-0000F31F0000}"/>
    <cellStyle name="Normal 2 3 8" xfId="785" xr:uid="{00000000-0005-0000-0000-0000F41F0000}"/>
    <cellStyle name="Normal 2 3 8 2" xfId="2841" xr:uid="{00000000-0005-0000-0000-0000F51F0000}"/>
    <cellStyle name="Normal 2 3 8 2 2" xfId="5915" xr:uid="{00000000-0005-0000-0000-0000F61F0000}"/>
    <cellStyle name="Normal 2 3 8 3" xfId="4385" xr:uid="{00000000-0005-0000-0000-0000F71F0000}"/>
    <cellStyle name="Normal 2 3 9" xfId="786" xr:uid="{00000000-0005-0000-0000-0000F81F0000}"/>
    <cellStyle name="Normal 2 3 9 2" xfId="2842" xr:uid="{00000000-0005-0000-0000-0000F91F0000}"/>
    <cellStyle name="Normal 2 3 9 2 2" xfId="5916" xr:uid="{00000000-0005-0000-0000-0000FA1F0000}"/>
    <cellStyle name="Normal 2 3 9 3" xfId="4386" xr:uid="{00000000-0005-0000-0000-0000FB1F0000}"/>
    <cellStyle name="Normal 2 30" xfId="787" xr:uid="{00000000-0005-0000-0000-0000FC1F0000}"/>
    <cellStyle name="Normal 2 30 2" xfId="2843" xr:uid="{00000000-0005-0000-0000-0000FD1F0000}"/>
    <cellStyle name="Normal 2 30 2 2" xfId="5917" xr:uid="{00000000-0005-0000-0000-0000FE1F0000}"/>
    <cellStyle name="Normal 2 30 3" xfId="4387" xr:uid="{00000000-0005-0000-0000-0000FF1F0000}"/>
    <cellStyle name="Normal 2 31" xfId="788" xr:uid="{00000000-0005-0000-0000-000000200000}"/>
    <cellStyle name="Normal 2 31 2" xfId="2844" xr:uid="{00000000-0005-0000-0000-000001200000}"/>
    <cellStyle name="Normal 2 31 2 2" xfId="5918" xr:uid="{00000000-0005-0000-0000-000002200000}"/>
    <cellStyle name="Normal 2 31 3" xfId="4388" xr:uid="{00000000-0005-0000-0000-000003200000}"/>
    <cellStyle name="Normal 2 32" xfId="789" xr:uid="{00000000-0005-0000-0000-000004200000}"/>
    <cellStyle name="Normal 2 32 2" xfId="2845" xr:uid="{00000000-0005-0000-0000-000005200000}"/>
    <cellStyle name="Normal 2 32 2 2" xfId="5919" xr:uid="{00000000-0005-0000-0000-000006200000}"/>
    <cellStyle name="Normal 2 32 3" xfId="4389" xr:uid="{00000000-0005-0000-0000-000007200000}"/>
    <cellStyle name="Normal 2 33" xfId="790" xr:uid="{00000000-0005-0000-0000-000008200000}"/>
    <cellStyle name="Normal 2 33 2" xfId="2846" xr:uid="{00000000-0005-0000-0000-000009200000}"/>
    <cellStyle name="Normal 2 33 2 2" xfId="5920" xr:uid="{00000000-0005-0000-0000-00000A200000}"/>
    <cellStyle name="Normal 2 33 3" xfId="4390" xr:uid="{00000000-0005-0000-0000-00000B200000}"/>
    <cellStyle name="Normal 2 34" xfId="791" xr:uid="{00000000-0005-0000-0000-00000C200000}"/>
    <cellStyle name="Normal 2 34 2" xfId="2847" xr:uid="{00000000-0005-0000-0000-00000D200000}"/>
    <cellStyle name="Normal 2 34 2 2" xfId="5921" xr:uid="{00000000-0005-0000-0000-00000E200000}"/>
    <cellStyle name="Normal 2 34 3" xfId="4391" xr:uid="{00000000-0005-0000-0000-00000F200000}"/>
    <cellStyle name="Normal 2 35" xfId="792" xr:uid="{00000000-0005-0000-0000-000010200000}"/>
    <cellStyle name="Normal 2 35 2" xfId="2848" xr:uid="{00000000-0005-0000-0000-000011200000}"/>
    <cellStyle name="Normal 2 35 2 2" xfId="5922" xr:uid="{00000000-0005-0000-0000-000012200000}"/>
    <cellStyle name="Normal 2 35 3" xfId="4392" xr:uid="{00000000-0005-0000-0000-000013200000}"/>
    <cellStyle name="Normal 2 36" xfId="793" xr:uid="{00000000-0005-0000-0000-000014200000}"/>
    <cellStyle name="Normal 2 36 2" xfId="2849" xr:uid="{00000000-0005-0000-0000-000015200000}"/>
    <cellStyle name="Normal 2 36 2 2" xfId="5923" xr:uid="{00000000-0005-0000-0000-000016200000}"/>
    <cellStyle name="Normal 2 36 3" xfId="4393" xr:uid="{00000000-0005-0000-0000-000017200000}"/>
    <cellStyle name="Normal 2 37" xfId="794" xr:uid="{00000000-0005-0000-0000-000018200000}"/>
    <cellStyle name="Normal 2 37 2" xfId="2850" xr:uid="{00000000-0005-0000-0000-000019200000}"/>
    <cellStyle name="Normal 2 37 2 2" xfId="5924" xr:uid="{00000000-0005-0000-0000-00001A200000}"/>
    <cellStyle name="Normal 2 37 3" xfId="4394" xr:uid="{00000000-0005-0000-0000-00001B200000}"/>
    <cellStyle name="Normal 2 38" xfId="795" xr:uid="{00000000-0005-0000-0000-00001C200000}"/>
    <cellStyle name="Normal 2 38 2" xfId="2851" xr:uid="{00000000-0005-0000-0000-00001D200000}"/>
    <cellStyle name="Normal 2 38 2 2" xfId="5925" xr:uid="{00000000-0005-0000-0000-00001E200000}"/>
    <cellStyle name="Normal 2 38 3" xfId="4395" xr:uid="{00000000-0005-0000-0000-00001F200000}"/>
    <cellStyle name="Normal 2 39" xfId="796" xr:uid="{00000000-0005-0000-0000-000020200000}"/>
    <cellStyle name="Normal 2 39 2" xfId="2852" xr:uid="{00000000-0005-0000-0000-000021200000}"/>
    <cellStyle name="Normal 2 39 2 2" xfId="5926" xr:uid="{00000000-0005-0000-0000-000022200000}"/>
    <cellStyle name="Normal 2 39 3" xfId="4396" xr:uid="{00000000-0005-0000-0000-000023200000}"/>
    <cellStyle name="Normal 2 4" xfId="797" xr:uid="{00000000-0005-0000-0000-000024200000}"/>
    <cellStyle name="Normal 2 4 2" xfId="798" xr:uid="{00000000-0005-0000-0000-000025200000}"/>
    <cellStyle name="Normal 2 4 2 2" xfId="799" xr:uid="{00000000-0005-0000-0000-000026200000}"/>
    <cellStyle name="Normal 2 4 2 2 2" xfId="2855" xr:uid="{00000000-0005-0000-0000-000027200000}"/>
    <cellStyle name="Normal 2 4 2 2 2 2" xfId="5929" xr:uid="{00000000-0005-0000-0000-000028200000}"/>
    <cellStyle name="Normal 2 4 2 2 3" xfId="4399" xr:uid="{00000000-0005-0000-0000-000029200000}"/>
    <cellStyle name="Normal 2 4 2 3" xfId="2854" xr:uid="{00000000-0005-0000-0000-00002A200000}"/>
    <cellStyle name="Normal 2 4 2 3 2" xfId="5928" xr:uid="{00000000-0005-0000-0000-00002B200000}"/>
    <cellStyle name="Normal 2 4 2 4" xfId="4398" xr:uid="{00000000-0005-0000-0000-00002C200000}"/>
    <cellStyle name="Normal 2 4 3" xfId="800" xr:uid="{00000000-0005-0000-0000-00002D200000}"/>
    <cellStyle name="Normal 2 4 3 2" xfId="801" xr:uid="{00000000-0005-0000-0000-00002E200000}"/>
    <cellStyle name="Normal 2 4 3 2 2" xfId="2857" xr:uid="{00000000-0005-0000-0000-00002F200000}"/>
    <cellStyle name="Normal 2 4 3 2 2 2" xfId="5931" xr:uid="{00000000-0005-0000-0000-000030200000}"/>
    <cellStyle name="Normal 2 4 3 2 3" xfId="4401" xr:uid="{00000000-0005-0000-0000-000031200000}"/>
    <cellStyle name="Normal 2 4 3 3" xfId="2856" xr:uid="{00000000-0005-0000-0000-000032200000}"/>
    <cellStyle name="Normal 2 4 3 3 2" xfId="5930" xr:uid="{00000000-0005-0000-0000-000033200000}"/>
    <cellStyle name="Normal 2 4 3 4" xfId="4400" xr:uid="{00000000-0005-0000-0000-000034200000}"/>
    <cellStyle name="Normal 2 4 4" xfId="802" xr:uid="{00000000-0005-0000-0000-000035200000}"/>
    <cellStyle name="Normal 2 4 4 2" xfId="2858" xr:uid="{00000000-0005-0000-0000-000036200000}"/>
    <cellStyle name="Normal 2 4 4 2 2" xfId="5932" xr:uid="{00000000-0005-0000-0000-000037200000}"/>
    <cellStyle name="Normal 2 4 4 3" xfId="4402" xr:uid="{00000000-0005-0000-0000-000038200000}"/>
    <cellStyle name="Normal 2 4 5" xfId="803" xr:uid="{00000000-0005-0000-0000-000039200000}"/>
    <cellStyle name="Normal 2 4 5 2" xfId="2859" xr:uid="{00000000-0005-0000-0000-00003A200000}"/>
    <cellStyle name="Normal 2 4 5 2 2" xfId="5933" xr:uid="{00000000-0005-0000-0000-00003B200000}"/>
    <cellStyle name="Normal 2 4 5 3" xfId="4403" xr:uid="{00000000-0005-0000-0000-00003C200000}"/>
    <cellStyle name="Normal 2 4 6" xfId="2853" xr:uid="{00000000-0005-0000-0000-00003D200000}"/>
    <cellStyle name="Normal 2 4 6 2" xfId="5927" xr:uid="{00000000-0005-0000-0000-00003E200000}"/>
    <cellStyle name="Normal 2 4 7" xfId="4397" xr:uid="{00000000-0005-0000-0000-00003F200000}"/>
    <cellStyle name="Normal 2 40" xfId="804" xr:uid="{00000000-0005-0000-0000-000040200000}"/>
    <cellStyle name="Normal 2 40 2" xfId="2860" xr:uid="{00000000-0005-0000-0000-000041200000}"/>
    <cellStyle name="Normal 2 40 2 2" xfId="5934" xr:uid="{00000000-0005-0000-0000-000042200000}"/>
    <cellStyle name="Normal 2 40 3" xfId="4404" xr:uid="{00000000-0005-0000-0000-000043200000}"/>
    <cellStyle name="Normal 2 41" xfId="805" xr:uid="{00000000-0005-0000-0000-000044200000}"/>
    <cellStyle name="Normal 2 41 2" xfId="2861" xr:uid="{00000000-0005-0000-0000-000045200000}"/>
    <cellStyle name="Normal 2 41 2 2" xfId="5935" xr:uid="{00000000-0005-0000-0000-000046200000}"/>
    <cellStyle name="Normal 2 41 3" xfId="4405" xr:uid="{00000000-0005-0000-0000-000047200000}"/>
    <cellStyle name="Normal 2 42" xfId="806" xr:uid="{00000000-0005-0000-0000-000048200000}"/>
    <cellStyle name="Normal 2 42 2" xfId="2862" xr:uid="{00000000-0005-0000-0000-000049200000}"/>
    <cellStyle name="Normal 2 42 2 2" xfId="5936" xr:uid="{00000000-0005-0000-0000-00004A200000}"/>
    <cellStyle name="Normal 2 42 3" xfId="4406" xr:uid="{00000000-0005-0000-0000-00004B200000}"/>
    <cellStyle name="Normal 2 43" xfId="807" xr:uid="{00000000-0005-0000-0000-00004C200000}"/>
    <cellStyle name="Normal 2 43 2" xfId="2863" xr:uid="{00000000-0005-0000-0000-00004D200000}"/>
    <cellStyle name="Normal 2 43 2 2" xfId="5937" xr:uid="{00000000-0005-0000-0000-00004E200000}"/>
    <cellStyle name="Normal 2 43 3" xfId="4407" xr:uid="{00000000-0005-0000-0000-00004F200000}"/>
    <cellStyle name="Normal 2 44" xfId="808" xr:uid="{00000000-0005-0000-0000-000050200000}"/>
    <cellStyle name="Normal 2 44 2" xfId="2864" xr:uid="{00000000-0005-0000-0000-000051200000}"/>
    <cellStyle name="Normal 2 44 2 2" xfId="5938" xr:uid="{00000000-0005-0000-0000-000052200000}"/>
    <cellStyle name="Normal 2 44 3" xfId="4408" xr:uid="{00000000-0005-0000-0000-000053200000}"/>
    <cellStyle name="Normal 2 45" xfId="809" xr:uid="{00000000-0005-0000-0000-000054200000}"/>
    <cellStyle name="Normal 2 45 2" xfId="2865" xr:uid="{00000000-0005-0000-0000-000055200000}"/>
    <cellStyle name="Normal 2 45 2 2" xfId="5939" xr:uid="{00000000-0005-0000-0000-000056200000}"/>
    <cellStyle name="Normal 2 45 3" xfId="4409" xr:uid="{00000000-0005-0000-0000-000057200000}"/>
    <cellStyle name="Normal 2 46" xfId="810" xr:uid="{00000000-0005-0000-0000-000058200000}"/>
    <cellStyle name="Normal 2 47" xfId="2652" xr:uid="{00000000-0005-0000-0000-000059200000}"/>
    <cellStyle name="Normal 2 47 2" xfId="5726" xr:uid="{00000000-0005-0000-0000-00005A200000}"/>
    <cellStyle name="Normal 2 48" xfId="4196" xr:uid="{00000000-0005-0000-0000-00005B200000}"/>
    <cellStyle name="Normal 2 5" xfId="811" xr:uid="{00000000-0005-0000-0000-00005C200000}"/>
    <cellStyle name="Normal 2 5 2" xfId="812" xr:uid="{00000000-0005-0000-0000-00005D200000}"/>
    <cellStyle name="Normal 2 5 2 2" xfId="813" xr:uid="{00000000-0005-0000-0000-00005E200000}"/>
    <cellStyle name="Normal 2 5 2 2 2" xfId="2868" xr:uid="{00000000-0005-0000-0000-00005F200000}"/>
    <cellStyle name="Normal 2 5 2 2 2 2" xfId="5942" xr:uid="{00000000-0005-0000-0000-000060200000}"/>
    <cellStyle name="Normal 2 5 2 2 3" xfId="4412" xr:uid="{00000000-0005-0000-0000-000061200000}"/>
    <cellStyle name="Normal 2 5 2 3" xfId="2867" xr:uid="{00000000-0005-0000-0000-000062200000}"/>
    <cellStyle name="Normal 2 5 2 3 2" xfId="5941" xr:uid="{00000000-0005-0000-0000-000063200000}"/>
    <cellStyle name="Normal 2 5 2 4" xfId="4411" xr:uid="{00000000-0005-0000-0000-000064200000}"/>
    <cellStyle name="Normal 2 5 3" xfId="814" xr:uid="{00000000-0005-0000-0000-000065200000}"/>
    <cellStyle name="Normal 2 5 3 2" xfId="815" xr:uid="{00000000-0005-0000-0000-000066200000}"/>
    <cellStyle name="Normal 2 5 3 2 2" xfId="2870" xr:uid="{00000000-0005-0000-0000-000067200000}"/>
    <cellStyle name="Normal 2 5 3 2 2 2" xfId="5944" xr:uid="{00000000-0005-0000-0000-000068200000}"/>
    <cellStyle name="Normal 2 5 3 2 3" xfId="4414" xr:uid="{00000000-0005-0000-0000-000069200000}"/>
    <cellStyle name="Normal 2 5 3 3" xfId="2869" xr:uid="{00000000-0005-0000-0000-00006A200000}"/>
    <cellStyle name="Normal 2 5 3 3 2" xfId="5943" xr:uid="{00000000-0005-0000-0000-00006B200000}"/>
    <cellStyle name="Normal 2 5 3 4" xfId="4413" xr:uid="{00000000-0005-0000-0000-00006C200000}"/>
    <cellStyle name="Normal 2 5 4" xfId="816" xr:uid="{00000000-0005-0000-0000-00006D200000}"/>
    <cellStyle name="Normal 2 5 4 2" xfId="2871" xr:uid="{00000000-0005-0000-0000-00006E200000}"/>
    <cellStyle name="Normal 2 5 4 2 2" xfId="5945" xr:uid="{00000000-0005-0000-0000-00006F200000}"/>
    <cellStyle name="Normal 2 5 4 3" xfId="4415" xr:uid="{00000000-0005-0000-0000-000070200000}"/>
    <cellStyle name="Normal 2 5 5" xfId="817" xr:uid="{00000000-0005-0000-0000-000071200000}"/>
    <cellStyle name="Normal 2 5 5 2" xfId="2872" xr:uid="{00000000-0005-0000-0000-000072200000}"/>
    <cellStyle name="Normal 2 5 5 2 2" xfId="5946" xr:uid="{00000000-0005-0000-0000-000073200000}"/>
    <cellStyle name="Normal 2 5 5 3" xfId="4416" xr:uid="{00000000-0005-0000-0000-000074200000}"/>
    <cellStyle name="Normal 2 5 6" xfId="2866" xr:uid="{00000000-0005-0000-0000-000075200000}"/>
    <cellStyle name="Normal 2 5 6 2" xfId="5940" xr:uid="{00000000-0005-0000-0000-000076200000}"/>
    <cellStyle name="Normal 2 5 7" xfId="4410" xr:uid="{00000000-0005-0000-0000-000077200000}"/>
    <cellStyle name="Normal 2 6" xfId="818" xr:uid="{00000000-0005-0000-0000-000078200000}"/>
    <cellStyle name="Normal 2 6 2" xfId="819" xr:uid="{00000000-0005-0000-0000-000079200000}"/>
    <cellStyle name="Normal 2 6 2 2" xfId="820" xr:uid="{00000000-0005-0000-0000-00007A200000}"/>
    <cellStyle name="Normal 2 6 2 2 2" xfId="2875" xr:uid="{00000000-0005-0000-0000-00007B200000}"/>
    <cellStyle name="Normal 2 6 2 2 2 2" xfId="5949" xr:uid="{00000000-0005-0000-0000-00007C200000}"/>
    <cellStyle name="Normal 2 6 2 2 3" xfId="4419" xr:uid="{00000000-0005-0000-0000-00007D200000}"/>
    <cellStyle name="Normal 2 6 2 3" xfId="2874" xr:uid="{00000000-0005-0000-0000-00007E200000}"/>
    <cellStyle name="Normal 2 6 2 3 2" xfId="5948" xr:uid="{00000000-0005-0000-0000-00007F200000}"/>
    <cellStyle name="Normal 2 6 2 4" xfId="4418" xr:uid="{00000000-0005-0000-0000-000080200000}"/>
    <cellStyle name="Normal 2 6 3" xfId="821" xr:uid="{00000000-0005-0000-0000-000081200000}"/>
    <cellStyle name="Normal 2 6 3 2" xfId="822" xr:uid="{00000000-0005-0000-0000-000082200000}"/>
    <cellStyle name="Normal 2 6 3 2 2" xfId="2877" xr:uid="{00000000-0005-0000-0000-000083200000}"/>
    <cellStyle name="Normal 2 6 3 2 2 2" xfId="5951" xr:uid="{00000000-0005-0000-0000-000084200000}"/>
    <cellStyle name="Normal 2 6 3 2 3" xfId="4421" xr:uid="{00000000-0005-0000-0000-000085200000}"/>
    <cellStyle name="Normal 2 6 3 3" xfId="2876" xr:uid="{00000000-0005-0000-0000-000086200000}"/>
    <cellStyle name="Normal 2 6 3 3 2" xfId="5950" xr:uid="{00000000-0005-0000-0000-000087200000}"/>
    <cellStyle name="Normal 2 6 3 4" xfId="4420" xr:uid="{00000000-0005-0000-0000-000088200000}"/>
    <cellStyle name="Normal 2 6 4" xfId="823" xr:uid="{00000000-0005-0000-0000-000089200000}"/>
    <cellStyle name="Normal 2 6 4 2" xfId="2878" xr:uid="{00000000-0005-0000-0000-00008A200000}"/>
    <cellStyle name="Normal 2 6 4 2 2" xfId="5952" xr:uid="{00000000-0005-0000-0000-00008B200000}"/>
    <cellStyle name="Normal 2 6 4 3" xfId="4422" xr:uid="{00000000-0005-0000-0000-00008C200000}"/>
    <cellStyle name="Normal 2 6 5" xfId="824" xr:uid="{00000000-0005-0000-0000-00008D200000}"/>
    <cellStyle name="Normal 2 6 5 2" xfId="2879" xr:uid="{00000000-0005-0000-0000-00008E200000}"/>
    <cellStyle name="Normal 2 6 5 2 2" xfId="5953" xr:uid="{00000000-0005-0000-0000-00008F200000}"/>
    <cellStyle name="Normal 2 6 5 3" xfId="4423" xr:uid="{00000000-0005-0000-0000-000090200000}"/>
    <cellStyle name="Normal 2 6 6" xfId="2873" xr:uid="{00000000-0005-0000-0000-000091200000}"/>
    <cellStyle name="Normal 2 6 6 2" xfId="5947" xr:uid="{00000000-0005-0000-0000-000092200000}"/>
    <cellStyle name="Normal 2 6 7" xfId="4417" xr:uid="{00000000-0005-0000-0000-000093200000}"/>
    <cellStyle name="Normal 2 7" xfId="825" xr:uid="{00000000-0005-0000-0000-000094200000}"/>
    <cellStyle name="Normal 2 7 2" xfId="826" xr:uid="{00000000-0005-0000-0000-000095200000}"/>
    <cellStyle name="Normal 2 7 2 2" xfId="827" xr:uid="{00000000-0005-0000-0000-000096200000}"/>
    <cellStyle name="Normal 2 7 2 2 2" xfId="2882" xr:uid="{00000000-0005-0000-0000-000097200000}"/>
    <cellStyle name="Normal 2 7 2 2 2 2" xfId="5956" xr:uid="{00000000-0005-0000-0000-000098200000}"/>
    <cellStyle name="Normal 2 7 2 2 3" xfId="4426" xr:uid="{00000000-0005-0000-0000-000099200000}"/>
    <cellStyle name="Normal 2 7 2 3" xfId="2881" xr:uid="{00000000-0005-0000-0000-00009A200000}"/>
    <cellStyle name="Normal 2 7 2 3 2" xfId="5955" xr:uid="{00000000-0005-0000-0000-00009B200000}"/>
    <cellStyle name="Normal 2 7 2 4" xfId="4425" xr:uid="{00000000-0005-0000-0000-00009C200000}"/>
    <cellStyle name="Normal 2 7 3" xfId="828" xr:uid="{00000000-0005-0000-0000-00009D200000}"/>
    <cellStyle name="Normal 2 7 3 2" xfId="829" xr:uid="{00000000-0005-0000-0000-00009E200000}"/>
    <cellStyle name="Normal 2 7 3 2 2" xfId="2884" xr:uid="{00000000-0005-0000-0000-00009F200000}"/>
    <cellStyle name="Normal 2 7 3 2 2 2" xfId="5958" xr:uid="{00000000-0005-0000-0000-0000A0200000}"/>
    <cellStyle name="Normal 2 7 3 2 3" xfId="4428" xr:uid="{00000000-0005-0000-0000-0000A1200000}"/>
    <cellStyle name="Normal 2 7 3 3" xfId="2883" xr:uid="{00000000-0005-0000-0000-0000A2200000}"/>
    <cellStyle name="Normal 2 7 3 3 2" xfId="5957" xr:uid="{00000000-0005-0000-0000-0000A3200000}"/>
    <cellStyle name="Normal 2 7 3 4" xfId="4427" xr:uid="{00000000-0005-0000-0000-0000A4200000}"/>
    <cellStyle name="Normal 2 7 4" xfId="830" xr:uid="{00000000-0005-0000-0000-0000A5200000}"/>
    <cellStyle name="Normal 2 7 4 2" xfId="2885" xr:uid="{00000000-0005-0000-0000-0000A6200000}"/>
    <cellStyle name="Normal 2 7 4 2 2" xfId="5959" xr:uid="{00000000-0005-0000-0000-0000A7200000}"/>
    <cellStyle name="Normal 2 7 4 3" xfId="4429" xr:uid="{00000000-0005-0000-0000-0000A8200000}"/>
    <cellStyle name="Normal 2 7 5" xfId="831" xr:uid="{00000000-0005-0000-0000-0000A9200000}"/>
    <cellStyle name="Normal 2 7 5 2" xfId="2886" xr:uid="{00000000-0005-0000-0000-0000AA200000}"/>
    <cellStyle name="Normal 2 7 5 2 2" xfId="5960" xr:uid="{00000000-0005-0000-0000-0000AB200000}"/>
    <cellStyle name="Normal 2 7 5 3" xfId="4430" xr:uid="{00000000-0005-0000-0000-0000AC200000}"/>
    <cellStyle name="Normal 2 7 6" xfId="2880" xr:uid="{00000000-0005-0000-0000-0000AD200000}"/>
    <cellStyle name="Normal 2 7 6 2" xfId="5954" xr:uid="{00000000-0005-0000-0000-0000AE200000}"/>
    <cellStyle name="Normal 2 7 7" xfId="4424" xr:uid="{00000000-0005-0000-0000-0000AF200000}"/>
    <cellStyle name="Normal 2 8" xfId="832" xr:uid="{00000000-0005-0000-0000-0000B0200000}"/>
    <cellStyle name="Normal 2 8 2" xfId="833" xr:uid="{00000000-0005-0000-0000-0000B1200000}"/>
    <cellStyle name="Normal 2 8 2 2" xfId="834" xr:uid="{00000000-0005-0000-0000-0000B2200000}"/>
    <cellStyle name="Normal 2 8 2 2 2" xfId="2889" xr:uid="{00000000-0005-0000-0000-0000B3200000}"/>
    <cellStyle name="Normal 2 8 2 2 2 2" xfId="5963" xr:uid="{00000000-0005-0000-0000-0000B4200000}"/>
    <cellStyle name="Normal 2 8 2 2 3" xfId="4433" xr:uid="{00000000-0005-0000-0000-0000B5200000}"/>
    <cellStyle name="Normal 2 8 2 3" xfId="2888" xr:uid="{00000000-0005-0000-0000-0000B6200000}"/>
    <cellStyle name="Normal 2 8 2 3 2" xfId="5962" xr:uid="{00000000-0005-0000-0000-0000B7200000}"/>
    <cellStyle name="Normal 2 8 2 4" xfId="4432" xr:uid="{00000000-0005-0000-0000-0000B8200000}"/>
    <cellStyle name="Normal 2 8 3" xfId="835" xr:uid="{00000000-0005-0000-0000-0000B9200000}"/>
    <cellStyle name="Normal 2 8 3 2" xfId="836" xr:uid="{00000000-0005-0000-0000-0000BA200000}"/>
    <cellStyle name="Normal 2 8 3 2 2" xfId="2891" xr:uid="{00000000-0005-0000-0000-0000BB200000}"/>
    <cellStyle name="Normal 2 8 3 2 2 2" xfId="5965" xr:uid="{00000000-0005-0000-0000-0000BC200000}"/>
    <cellStyle name="Normal 2 8 3 2 3" xfId="4435" xr:uid="{00000000-0005-0000-0000-0000BD200000}"/>
    <cellStyle name="Normal 2 8 3 3" xfId="2890" xr:uid="{00000000-0005-0000-0000-0000BE200000}"/>
    <cellStyle name="Normal 2 8 3 3 2" xfId="5964" xr:uid="{00000000-0005-0000-0000-0000BF200000}"/>
    <cellStyle name="Normal 2 8 3 4" xfId="4434" xr:uid="{00000000-0005-0000-0000-0000C0200000}"/>
    <cellStyle name="Normal 2 8 4" xfId="837" xr:uid="{00000000-0005-0000-0000-0000C1200000}"/>
    <cellStyle name="Normal 2 8 4 2" xfId="2892" xr:uid="{00000000-0005-0000-0000-0000C2200000}"/>
    <cellStyle name="Normal 2 8 4 2 2" xfId="5966" xr:uid="{00000000-0005-0000-0000-0000C3200000}"/>
    <cellStyle name="Normal 2 8 4 3" xfId="4436" xr:uid="{00000000-0005-0000-0000-0000C4200000}"/>
    <cellStyle name="Normal 2 8 5" xfId="838" xr:uid="{00000000-0005-0000-0000-0000C5200000}"/>
    <cellStyle name="Normal 2 8 5 2" xfId="2893" xr:uid="{00000000-0005-0000-0000-0000C6200000}"/>
    <cellStyle name="Normal 2 8 5 2 2" xfId="5967" xr:uid="{00000000-0005-0000-0000-0000C7200000}"/>
    <cellStyle name="Normal 2 8 5 3" xfId="4437" xr:uid="{00000000-0005-0000-0000-0000C8200000}"/>
    <cellStyle name="Normal 2 8 6" xfId="2887" xr:uid="{00000000-0005-0000-0000-0000C9200000}"/>
    <cellStyle name="Normal 2 8 6 2" xfId="5961" xr:uid="{00000000-0005-0000-0000-0000CA200000}"/>
    <cellStyle name="Normal 2 8 7" xfId="4431" xr:uid="{00000000-0005-0000-0000-0000CB200000}"/>
    <cellStyle name="Normal 2 9" xfId="839" xr:uid="{00000000-0005-0000-0000-0000CC200000}"/>
    <cellStyle name="Normal 2 9 2" xfId="840" xr:uid="{00000000-0005-0000-0000-0000CD200000}"/>
    <cellStyle name="Normal 2 9 2 2" xfId="841" xr:uid="{00000000-0005-0000-0000-0000CE200000}"/>
    <cellStyle name="Normal 2 9 2 2 2" xfId="2896" xr:uid="{00000000-0005-0000-0000-0000CF200000}"/>
    <cellStyle name="Normal 2 9 2 2 2 2" xfId="5970" xr:uid="{00000000-0005-0000-0000-0000D0200000}"/>
    <cellStyle name="Normal 2 9 2 2 3" xfId="4440" xr:uid="{00000000-0005-0000-0000-0000D1200000}"/>
    <cellStyle name="Normal 2 9 2 3" xfId="2895" xr:uid="{00000000-0005-0000-0000-0000D2200000}"/>
    <cellStyle name="Normal 2 9 2 3 2" xfId="5969" xr:uid="{00000000-0005-0000-0000-0000D3200000}"/>
    <cellStyle name="Normal 2 9 2 4" xfId="4439" xr:uid="{00000000-0005-0000-0000-0000D4200000}"/>
    <cellStyle name="Normal 2 9 3" xfId="842" xr:uid="{00000000-0005-0000-0000-0000D5200000}"/>
    <cellStyle name="Normal 2 9 3 2" xfId="843" xr:uid="{00000000-0005-0000-0000-0000D6200000}"/>
    <cellStyle name="Normal 2 9 3 2 2" xfId="2898" xr:uid="{00000000-0005-0000-0000-0000D7200000}"/>
    <cellStyle name="Normal 2 9 3 2 2 2" xfId="5972" xr:uid="{00000000-0005-0000-0000-0000D8200000}"/>
    <cellStyle name="Normal 2 9 3 2 3" xfId="4442" xr:uid="{00000000-0005-0000-0000-0000D9200000}"/>
    <cellStyle name="Normal 2 9 3 3" xfId="2897" xr:uid="{00000000-0005-0000-0000-0000DA200000}"/>
    <cellStyle name="Normal 2 9 3 3 2" xfId="5971" xr:uid="{00000000-0005-0000-0000-0000DB200000}"/>
    <cellStyle name="Normal 2 9 3 4" xfId="4441" xr:uid="{00000000-0005-0000-0000-0000DC200000}"/>
    <cellStyle name="Normal 2 9 4" xfId="844" xr:uid="{00000000-0005-0000-0000-0000DD200000}"/>
    <cellStyle name="Normal 2 9 4 2" xfId="2899" xr:uid="{00000000-0005-0000-0000-0000DE200000}"/>
    <cellStyle name="Normal 2 9 4 2 2" xfId="5973" xr:uid="{00000000-0005-0000-0000-0000DF200000}"/>
    <cellStyle name="Normal 2 9 4 3" xfId="4443" xr:uid="{00000000-0005-0000-0000-0000E0200000}"/>
    <cellStyle name="Normal 2 9 5" xfId="845" xr:uid="{00000000-0005-0000-0000-0000E1200000}"/>
    <cellStyle name="Normal 2 9 5 2" xfId="2900" xr:uid="{00000000-0005-0000-0000-0000E2200000}"/>
    <cellStyle name="Normal 2 9 5 2 2" xfId="5974" xr:uid="{00000000-0005-0000-0000-0000E3200000}"/>
    <cellStyle name="Normal 2 9 5 3" xfId="4444" xr:uid="{00000000-0005-0000-0000-0000E4200000}"/>
    <cellStyle name="Normal 2 9 6" xfId="2894" xr:uid="{00000000-0005-0000-0000-0000E5200000}"/>
    <cellStyle name="Normal 2 9 6 2" xfId="5968" xr:uid="{00000000-0005-0000-0000-0000E6200000}"/>
    <cellStyle name="Normal 2 9 7" xfId="4438" xr:uid="{00000000-0005-0000-0000-0000E7200000}"/>
    <cellStyle name="Normal 2_Stochastic UnitData_Spring 08 analysis (2) 2" xfId="846" xr:uid="{00000000-0005-0000-0000-0000E8200000}"/>
    <cellStyle name="Normal 20" xfId="13782" xr:uid="{68E600E4-996D-4C28-B864-658F2CC52043}"/>
    <cellStyle name="Normal 21" xfId="13783" xr:uid="{970981EC-5F0E-42FF-8496-5A517EE33EC2}"/>
    <cellStyle name="Normal 25" xfId="847" xr:uid="{00000000-0005-0000-0000-0000E9200000}"/>
    <cellStyle name="Normal 25 2" xfId="2901" xr:uid="{00000000-0005-0000-0000-0000EA200000}"/>
    <cellStyle name="Normal 25 2 2" xfId="5975" xr:uid="{00000000-0005-0000-0000-0000EB200000}"/>
    <cellStyle name="Normal 25 3" xfId="4445" xr:uid="{00000000-0005-0000-0000-0000EC200000}"/>
    <cellStyle name="Normal 28" xfId="848" xr:uid="{00000000-0005-0000-0000-0000ED200000}"/>
    <cellStyle name="Normal 29" xfId="13731" xr:uid="{00000000-0005-0000-0000-0000EE200000}"/>
    <cellStyle name="Normal 3" xfId="849" xr:uid="{00000000-0005-0000-0000-0000EF200000}"/>
    <cellStyle name="Normal 3 10" xfId="850" xr:uid="{00000000-0005-0000-0000-0000F0200000}"/>
    <cellStyle name="Normal 3 11" xfId="851" xr:uid="{00000000-0005-0000-0000-0000F1200000}"/>
    <cellStyle name="Normal 3 12" xfId="852" xr:uid="{00000000-0005-0000-0000-0000F2200000}"/>
    <cellStyle name="Normal 3 13" xfId="853" xr:uid="{00000000-0005-0000-0000-0000F3200000}"/>
    <cellStyle name="Normal 3 14" xfId="854" xr:uid="{00000000-0005-0000-0000-0000F4200000}"/>
    <cellStyle name="Normal 3 15" xfId="855" xr:uid="{00000000-0005-0000-0000-0000F5200000}"/>
    <cellStyle name="Normal 3 16" xfId="856" xr:uid="{00000000-0005-0000-0000-0000F6200000}"/>
    <cellStyle name="Normal 3 17" xfId="857" xr:uid="{00000000-0005-0000-0000-0000F7200000}"/>
    <cellStyle name="Normal 3 18" xfId="858" xr:uid="{00000000-0005-0000-0000-0000F8200000}"/>
    <cellStyle name="Normal 3 19" xfId="859" xr:uid="{00000000-0005-0000-0000-0000F9200000}"/>
    <cellStyle name="Normal 3 2" xfId="860" xr:uid="{00000000-0005-0000-0000-0000FA200000}"/>
    <cellStyle name="Normal 3 2 10" xfId="861" xr:uid="{00000000-0005-0000-0000-0000FB200000}"/>
    <cellStyle name="Normal 3 2 10 2" xfId="2903" xr:uid="{00000000-0005-0000-0000-0000FC200000}"/>
    <cellStyle name="Normal 3 2 10 2 2" xfId="5977" xr:uid="{00000000-0005-0000-0000-0000FD200000}"/>
    <cellStyle name="Normal 3 2 10 3" xfId="4447" xr:uid="{00000000-0005-0000-0000-0000FE200000}"/>
    <cellStyle name="Normal 3 2 11" xfId="862" xr:uid="{00000000-0005-0000-0000-0000FF200000}"/>
    <cellStyle name="Normal 3 2 11 2" xfId="2904" xr:uid="{00000000-0005-0000-0000-000000210000}"/>
    <cellStyle name="Normal 3 2 11 2 2" xfId="5978" xr:uid="{00000000-0005-0000-0000-000001210000}"/>
    <cellStyle name="Normal 3 2 11 3" xfId="4448" xr:uid="{00000000-0005-0000-0000-000002210000}"/>
    <cellStyle name="Normal 3 2 12" xfId="863" xr:uid="{00000000-0005-0000-0000-000003210000}"/>
    <cellStyle name="Normal 3 2 12 2" xfId="2905" xr:uid="{00000000-0005-0000-0000-000004210000}"/>
    <cellStyle name="Normal 3 2 12 2 2" xfId="5979" xr:uid="{00000000-0005-0000-0000-000005210000}"/>
    <cellStyle name="Normal 3 2 12 3" xfId="4449" xr:uid="{00000000-0005-0000-0000-000006210000}"/>
    <cellStyle name="Normal 3 2 13" xfId="864" xr:uid="{00000000-0005-0000-0000-000007210000}"/>
    <cellStyle name="Normal 3 2 13 2" xfId="2906" xr:uid="{00000000-0005-0000-0000-000008210000}"/>
    <cellStyle name="Normal 3 2 13 2 2" xfId="5980" xr:uid="{00000000-0005-0000-0000-000009210000}"/>
    <cellStyle name="Normal 3 2 13 3" xfId="4450" xr:uid="{00000000-0005-0000-0000-00000A210000}"/>
    <cellStyle name="Normal 3 2 14" xfId="865" xr:uid="{00000000-0005-0000-0000-00000B210000}"/>
    <cellStyle name="Normal 3 2 14 2" xfId="2907" xr:uid="{00000000-0005-0000-0000-00000C210000}"/>
    <cellStyle name="Normal 3 2 14 2 2" xfId="5981" xr:uid="{00000000-0005-0000-0000-00000D210000}"/>
    <cellStyle name="Normal 3 2 14 3" xfId="4451" xr:uid="{00000000-0005-0000-0000-00000E210000}"/>
    <cellStyle name="Normal 3 2 15" xfId="866" xr:uid="{00000000-0005-0000-0000-00000F210000}"/>
    <cellStyle name="Normal 3 2 15 2" xfId="2908" xr:uid="{00000000-0005-0000-0000-000010210000}"/>
    <cellStyle name="Normal 3 2 15 2 2" xfId="5982" xr:uid="{00000000-0005-0000-0000-000011210000}"/>
    <cellStyle name="Normal 3 2 15 3" xfId="4452" xr:uid="{00000000-0005-0000-0000-000012210000}"/>
    <cellStyle name="Normal 3 2 16" xfId="867" xr:uid="{00000000-0005-0000-0000-000013210000}"/>
    <cellStyle name="Normal 3 2 16 2" xfId="2909" xr:uid="{00000000-0005-0000-0000-000014210000}"/>
    <cellStyle name="Normal 3 2 16 2 2" xfId="5983" xr:uid="{00000000-0005-0000-0000-000015210000}"/>
    <cellStyle name="Normal 3 2 16 3" xfId="4453" xr:uid="{00000000-0005-0000-0000-000016210000}"/>
    <cellStyle name="Normal 3 2 17" xfId="868" xr:uid="{00000000-0005-0000-0000-000017210000}"/>
    <cellStyle name="Normal 3 2 17 2" xfId="2910" xr:uid="{00000000-0005-0000-0000-000018210000}"/>
    <cellStyle name="Normal 3 2 17 2 2" xfId="5984" xr:uid="{00000000-0005-0000-0000-000019210000}"/>
    <cellStyle name="Normal 3 2 17 3" xfId="4454" xr:uid="{00000000-0005-0000-0000-00001A210000}"/>
    <cellStyle name="Normal 3 2 18" xfId="869" xr:uid="{00000000-0005-0000-0000-00001B210000}"/>
    <cellStyle name="Normal 3 2 18 2" xfId="2911" xr:uid="{00000000-0005-0000-0000-00001C210000}"/>
    <cellStyle name="Normal 3 2 18 2 2" xfId="5985" xr:uid="{00000000-0005-0000-0000-00001D210000}"/>
    <cellStyle name="Normal 3 2 18 3" xfId="4455" xr:uid="{00000000-0005-0000-0000-00001E210000}"/>
    <cellStyle name="Normal 3 2 19" xfId="870" xr:uid="{00000000-0005-0000-0000-00001F210000}"/>
    <cellStyle name="Normal 3 2 19 2" xfId="2912" xr:uid="{00000000-0005-0000-0000-000020210000}"/>
    <cellStyle name="Normal 3 2 19 2 2" xfId="5986" xr:uid="{00000000-0005-0000-0000-000021210000}"/>
    <cellStyle name="Normal 3 2 19 3" xfId="4456" xr:uid="{00000000-0005-0000-0000-000022210000}"/>
    <cellStyle name="Normal 3 2 2" xfId="871" xr:uid="{00000000-0005-0000-0000-000023210000}"/>
    <cellStyle name="Normal 3 2 2 2" xfId="872" xr:uid="{00000000-0005-0000-0000-000024210000}"/>
    <cellStyle name="Normal 3 2 2 2 2" xfId="2914" xr:uid="{00000000-0005-0000-0000-000025210000}"/>
    <cellStyle name="Normal 3 2 2 2 2 2" xfId="5988" xr:uid="{00000000-0005-0000-0000-000026210000}"/>
    <cellStyle name="Normal 3 2 2 2 3" xfId="4458" xr:uid="{00000000-0005-0000-0000-000027210000}"/>
    <cellStyle name="Normal 3 2 2 3" xfId="2913" xr:uid="{00000000-0005-0000-0000-000028210000}"/>
    <cellStyle name="Normal 3 2 2 3 2" xfId="5987" xr:uid="{00000000-0005-0000-0000-000029210000}"/>
    <cellStyle name="Normal 3 2 2 4" xfId="4457" xr:uid="{00000000-0005-0000-0000-00002A210000}"/>
    <cellStyle name="Normal 3 2 20" xfId="873" xr:uid="{00000000-0005-0000-0000-00002B210000}"/>
    <cellStyle name="Normal 3 2 20 2" xfId="2915" xr:uid="{00000000-0005-0000-0000-00002C210000}"/>
    <cellStyle name="Normal 3 2 20 2 2" xfId="5989" xr:uid="{00000000-0005-0000-0000-00002D210000}"/>
    <cellStyle name="Normal 3 2 20 3" xfId="4459" xr:uid="{00000000-0005-0000-0000-00002E210000}"/>
    <cellStyle name="Normal 3 2 21" xfId="874" xr:uid="{00000000-0005-0000-0000-00002F210000}"/>
    <cellStyle name="Normal 3 2 21 2" xfId="2916" xr:uid="{00000000-0005-0000-0000-000030210000}"/>
    <cellStyle name="Normal 3 2 21 2 2" xfId="5990" xr:uid="{00000000-0005-0000-0000-000031210000}"/>
    <cellStyle name="Normal 3 2 21 3" xfId="4460" xr:uid="{00000000-0005-0000-0000-000032210000}"/>
    <cellStyle name="Normal 3 2 22" xfId="875" xr:uid="{00000000-0005-0000-0000-000033210000}"/>
    <cellStyle name="Normal 3 2 22 2" xfId="2917" xr:uid="{00000000-0005-0000-0000-000034210000}"/>
    <cellStyle name="Normal 3 2 22 2 2" xfId="5991" xr:uid="{00000000-0005-0000-0000-000035210000}"/>
    <cellStyle name="Normal 3 2 22 3" xfId="4461" xr:uid="{00000000-0005-0000-0000-000036210000}"/>
    <cellStyle name="Normal 3 2 23" xfId="876" xr:uid="{00000000-0005-0000-0000-000037210000}"/>
    <cellStyle name="Normal 3 2 23 2" xfId="2918" xr:uid="{00000000-0005-0000-0000-000038210000}"/>
    <cellStyle name="Normal 3 2 23 2 2" xfId="5992" xr:uid="{00000000-0005-0000-0000-000039210000}"/>
    <cellStyle name="Normal 3 2 23 3" xfId="4462" xr:uid="{00000000-0005-0000-0000-00003A210000}"/>
    <cellStyle name="Normal 3 2 24" xfId="877" xr:uid="{00000000-0005-0000-0000-00003B210000}"/>
    <cellStyle name="Normal 3 2 24 2" xfId="2919" xr:uid="{00000000-0005-0000-0000-00003C210000}"/>
    <cellStyle name="Normal 3 2 24 2 2" xfId="5993" xr:uid="{00000000-0005-0000-0000-00003D210000}"/>
    <cellStyle name="Normal 3 2 24 3" xfId="4463" xr:uid="{00000000-0005-0000-0000-00003E210000}"/>
    <cellStyle name="Normal 3 2 25" xfId="878" xr:uid="{00000000-0005-0000-0000-00003F210000}"/>
    <cellStyle name="Normal 3 2 25 2" xfId="2920" xr:uid="{00000000-0005-0000-0000-000040210000}"/>
    <cellStyle name="Normal 3 2 25 2 2" xfId="5994" xr:uid="{00000000-0005-0000-0000-000041210000}"/>
    <cellStyle name="Normal 3 2 25 3" xfId="4464" xr:uid="{00000000-0005-0000-0000-000042210000}"/>
    <cellStyle name="Normal 3 2 26" xfId="879" xr:uid="{00000000-0005-0000-0000-000043210000}"/>
    <cellStyle name="Normal 3 2 26 2" xfId="2921" xr:uid="{00000000-0005-0000-0000-000044210000}"/>
    <cellStyle name="Normal 3 2 26 2 2" xfId="5995" xr:uid="{00000000-0005-0000-0000-000045210000}"/>
    <cellStyle name="Normal 3 2 26 3" xfId="4465" xr:uid="{00000000-0005-0000-0000-000046210000}"/>
    <cellStyle name="Normal 3 2 27" xfId="880" xr:uid="{00000000-0005-0000-0000-000047210000}"/>
    <cellStyle name="Normal 3 2 27 2" xfId="2922" xr:uid="{00000000-0005-0000-0000-000048210000}"/>
    <cellStyle name="Normal 3 2 27 2 2" xfId="5996" xr:uid="{00000000-0005-0000-0000-000049210000}"/>
    <cellStyle name="Normal 3 2 27 3" xfId="4466" xr:uid="{00000000-0005-0000-0000-00004A210000}"/>
    <cellStyle name="Normal 3 2 28" xfId="881" xr:uid="{00000000-0005-0000-0000-00004B210000}"/>
    <cellStyle name="Normal 3 2 28 2" xfId="2923" xr:uid="{00000000-0005-0000-0000-00004C210000}"/>
    <cellStyle name="Normal 3 2 28 2 2" xfId="5997" xr:uid="{00000000-0005-0000-0000-00004D210000}"/>
    <cellStyle name="Normal 3 2 28 3" xfId="4467" xr:uid="{00000000-0005-0000-0000-00004E210000}"/>
    <cellStyle name="Normal 3 2 29" xfId="882" xr:uid="{00000000-0005-0000-0000-00004F210000}"/>
    <cellStyle name="Normal 3 2 29 2" xfId="2924" xr:uid="{00000000-0005-0000-0000-000050210000}"/>
    <cellStyle name="Normal 3 2 29 2 2" xfId="5998" xr:uid="{00000000-0005-0000-0000-000051210000}"/>
    <cellStyle name="Normal 3 2 29 3" xfId="4468" xr:uid="{00000000-0005-0000-0000-000052210000}"/>
    <cellStyle name="Normal 3 2 3" xfId="883" xr:uid="{00000000-0005-0000-0000-000053210000}"/>
    <cellStyle name="Normal 3 2 3 2" xfId="2925" xr:uid="{00000000-0005-0000-0000-000054210000}"/>
    <cellStyle name="Normal 3 2 3 2 2" xfId="5999" xr:uid="{00000000-0005-0000-0000-000055210000}"/>
    <cellStyle name="Normal 3 2 3 3" xfId="4469" xr:uid="{00000000-0005-0000-0000-000056210000}"/>
    <cellStyle name="Normal 3 2 30" xfId="884" xr:uid="{00000000-0005-0000-0000-000057210000}"/>
    <cellStyle name="Normal 3 2 30 2" xfId="2926" xr:uid="{00000000-0005-0000-0000-000058210000}"/>
    <cellStyle name="Normal 3 2 30 2 2" xfId="6000" xr:uid="{00000000-0005-0000-0000-000059210000}"/>
    <cellStyle name="Normal 3 2 30 3" xfId="4470" xr:uid="{00000000-0005-0000-0000-00005A210000}"/>
    <cellStyle name="Normal 3 2 31" xfId="885" xr:uid="{00000000-0005-0000-0000-00005B210000}"/>
    <cellStyle name="Normal 3 2 31 2" xfId="2927" xr:uid="{00000000-0005-0000-0000-00005C210000}"/>
    <cellStyle name="Normal 3 2 31 2 2" xfId="6001" xr:uid="{00000000-0005-0000-0000-00005D210000}"/>
    <cellStyle name="Normal 3 2 31 3" xfId="4471" xr:uid="{00000000-0005-0000-0000-00005E210000}"/>
    <cellStyle name="Normal 3 2 32" xfId="886" xr:uid="{00000000-0005-0000-0000-00005F210000}"/>
    <cellStyle name="Normal 3 2 32 2" xfId="2928" xr:uid="{00000000-0005-0000-0000-000060210000}"/>
    <cellStyle name="Normal 3 2 32 2 2" xfId="6002" xr:uid="{00000000-0005-0000-0000-000061210000}"/>
    <cellStyle name="Normal 3 2 32 3" xfId="4472" xr:uid="{00000000-0005-0000-0000-000062210000}"/>
    <cellStyle name="Normal 3 2 33" xfId="887" xr:uid="{00000000-0005-0000-0000-000063210000}"/>
    <cellStyle name="Normal 3 2 33 2" xfId="2929" xr:uid="{00000000-0005-0000-0000-000064210000}"/>
    <cellStyle name="Normal 3 2 33 2 2" xfId="6003" xr:uid="{00000000-0005-0000-0000-000065210000}"/>
    <cellStyle name="Normal 3 2 33 3" xfId="4473" xr:uid="{00000000-0005-0000-0000-000066210000}"/>
    <cellStyle name="Normal 3 2 34" xfId="888" xr:uid="{00000000-0005-0000-0000-000067210000}"/>
    <cellStyle name="Normal 3 2 34 2" xfId="2930" xr:uid="{00000000-0005-0000-0000-000068210000}"/>
    <cellStyle name="Normal 3 2 34 2 2" xfId="6004" xr:uid="{00000000-0005-0000-0000-000069210000}"/>
    <cellStyle name="Normal 3 2 34 3" xfId="4474" xr:uid="{00000000-0005-0000-0000-00006A210000}"/>
    <cellStyle name="Normal 3 2 35" xfId="889" xr:uid="{00000000-0005-0000-0000-00006B210000}"/>
    <cellStyle name="Normal 3 2 35 2" xfId="2931" xr:uid="{00000000-0005-0000-0000-00006C210000}"/>
    <cellStyle name="Normal 3 2 35 2 2" xfId="6005" xr:uid="{00000000-0005-0000-0000-00006D210000}"/>
    <cellStyle name="Normal 3 2 35 3" xfId="4475" xr:uid="{00000000-0005-0000-0000-00006E210000}"/>
    <cellStyle name="Normal 3 2 36" xfId="890" xr:uid="{00000000-0005-0000-0000-00006F210000}"/>
    <cellStyle name="Normal 3 2 36 2" xfId="2932" xr:uid="{00000000-0005-0000-0000-000070210000}"/>
    <cellStyle name="Normal 3 2 36 2 2" xfId="6006" xr:uid="{00000000-0005-0000-0000-000071210000}"/>
    <cellStyle name="Normal 3 2 36 3" xfId="4476" xr:uid="{00000000-0005-0000-0000-000072210000}"/>
    <cellStyle name="Normal 3 2 37" xfId="891" xr:uid="{00000000-0005-0000-0000-000073210000}"/>
    <cellStyle name="Normal 3 2 37 2" xfId="2933" xr:uid="{00000000-0005-0000-0000-000074210000}"/>
    <cellStyle name="Normal 3 2 37 2 2" xfId="6007" xr:uid="{00000000-0005-0000-0000-000075210000}"/>
    <cellStyle name="Normal 3 2 37 3" xfId="4477" xr:uid="{00000000-0005-0000-0000-000076210000}"/>
    <cellStyle name="Normal 3 2 38" xfId="892" xr:uid="{00000000-0005-0000-0000-000077210000}"/>
    <cellStyle name="Normal 3 2 38 2" xfId="2934" xr:uid="{00000000-0005-0000-0000-000078210000}"/>
    <cellStyle name="Normal 3 2 38 2 2" xfId="6008" xr:uid="{00000000-0005-0000-0000-000079210000}"/>
    <cellStyle name="Normal 3 2 38 3" xfId="4478" xr:uid="{00000000-0005-0000-0000-00007A210000}"/>
    <cellStyle name="Normal 3 2 39" xfId="893" xr:uid="{00000000-0005-0000-0000-00007B210000}"/>
    <cellStyle name="Normal 3 2 39 2" xfId="2935" xr:uid="{00000000-0005-0000-0000-00007C210000}"/>
    <cellStyle name="Normal 3 2 39 2 2" xfId="6009" xr:uid="{00000000-0005-0000-0000-00007D210000}"/>
    <cellStyle name="Normal 3 2 39 3" xfId="4479" xr:uid="{00000000-0005-0000-0000-00007E210000}"/>
    <cellStyle name="Normal 3 2 4" xfId="894" xr:uid="{00000000-0005-0000-0000-00007F210000}"/>
    <cellStyle name="Normal 3 2 4 2" xfId="2936" xr:uid="{00000000-0005-0000-0000-000080210000}"/>
    <cellStyle name="Normal 3 2 4 2 2" xfId="6010" xr:uid="{00000000-0005-0000-0000-000081210000}"/>
    <cellStyle name="Normal 3 2 4 3" xfId="4480" xr:uid="{00000000-0005-0000-0000-000082210000}"/>
    <cellStyle name="Normal 3 2 40" xfId="895" xr:uid="{00000000-0005-0000-0000-000083210000}"/>
    <cellStyle name="Normal 3 2 40 2" xfId="2937" xr:uid="{00000000-0005-0000-0000-000084210000}"/>
    <cellStyle name="Normal 3 2 40 2 2" xfId="6011" xr:uid="{00000000-0005-0000-0000-000085210000}"/>
    <cellStyle name="Normal 3 2 40 3" xfId="4481" xr:uid="{00000000-0005-0000-0000-000086210000}"/>
    <cellStyle name="Normal 3 2 41" xfId="896" xr:uid="{00000000-0005-0000-0000-000087210000}"/>
    <cellStyle name="Normal 3 2 41 2" xfId="2938" xr:uid="{00000000-0005-0000-0000-000088210000}"/>
    <cellStyle name="Normal 3 2 41 2 2" xfId="6012" xr:uid="{00000000-0005-0000-0000-000089210000}"/>
    <cellStyle name="Normal 3 2 41 3" xfId="4482" xr:uid="{00000000-0005-0000-0000-00008A210000}"/>
    <cellStyle name="Normal 3 2 42" xfId="897" xr:uid="{00000000-0005-0000-0000-00008B210000}"/>
    <cellStyle name="Normal 3 2 42 2" xfId="2939" xr:uid="{00000000-0005-0000-0000-00008C210000}"/>
    <cellStyle name="Normal 3 2 42 2 2" xfId="6013" xr:uid="{00000000-0005-0000-0000-00008D210000}"/>
    <cellStyle name="Normal 3 2 42 3" xfId="4483" xr:uid="{00000000-0005-0000-0000-00008E210000}"/>
    <cellStyle name="Normal 3 2 43" xfId="898" xr:uid="{00000000-0005-0000-0000-00008F210000}"/>
    <cellStyle name="Normal 3 2 43 2" xfId="2940" xr:uid="{00000000-0005-0000-0000-000090210000}"/>
    <cellStyle name="Normal 3 2 43 2 2" xfId="6014" xr:uid="{00000000-0005-0000-0000-000091210000}"/>
    <cellStyle name="Normal 3 2 43 3" xfId="4484" xr:uid="{00000000-0005-0000-0000-000092210000}"/>
    <cellStyle name="Normal 3 2 44" xfId="899" xr:uid="{00000000-0005-0000-0000-000093210000}"/>
    <cellStyle name="Normal 3 2 44 2" xfId="2941" xr:uid="{00000000-0005-0000-0000-000094210000}"/>
    <cellStyle name="Normal 3 2 44 2 2" xfId="6015" xr:uid="{00000000-0005-0000-0000-000095210000}"/>
    <cellStyle name="Normal 3 2 44 3" xfId="4485" xr:uid="{00000000-0005-0000-0000-000096210000}"/>
    <cellStyle name="Normal 3 2 45" xfId="2902" xr:uid="{00000000-0005-0000-0000-000097210000}"/>
    <cellStyle name="Normal 3 2 45 2" xfId="5976" xr:uid="{00000000-0005-0000-0000-000098210000}"/>
    <cellStyle name="Normal 3 2 46" xfId="4446" xr:uid="{00000000-0005-0000-0000-000099210000}"/>
    <cellStyle name="Normal 3 2 5" xfId="900" xr:uid="{00000000-0005-0000-0000-00009A210000}"/>
    <cellStyle name="Normal 3 2 5 2" xfId="2942" xr:uid="{00000000-0005-0000-0000-00009B210000}"/>
    <cellStyle name="Normal 3 2 5 2 2" xfId="6016" xr:uid="{00000000-0005-0000-0000-00009C210000}"/>
    <cellStyle name="Normal 3 2 5 3" xfId="4486" xr:uid="{00000000-0005-0000-0000-00009D210000}"/>
    <cellStyle name="Normal 3 2 6" xfId="901" xr:uid="{00000000-0005-0000-0000-00009E210000}"/>
    <cellStyle name="Normal 3 2 6 2" xfId="2943" xr:uid="{00000000-0005-0000-0000-00009F210000}"/>
    <cellStyle name="Normal 3 2 6 2 2" xfId="6017" xr:uid="{00000000-0005-0000-0000-0000A0210000}"/>
    <cellStyle name="Normal 3 2 6 3" xfId="4487" xr:uid="{00000000-0005-0000-0000-0000A1210000}"/>
    <cellStyle name="Normal 3 2 7" xfId="902" xr:uid="{00000000-0005-0000-0000-0000A2210000}"/>
    <cellStyle name="Normal 3 2 7 2" xfId="2944" xr:uid="{00000000-0005-0000-0000-0000A3210000}"/>
    <cellStyle name="Normal 3 2 7 2 2" xfId="6018" xr:uid="{00000000-0005-0000-0000-0000A4210000}"/>
    <cellStyle name="Normal 3 2 7 3" xfId="4488" xr:uid="{00000000-0005-0000-0000-0000A5210000}"/>
    <cellStyle name="Normal 3 2 8" xfId="903" xr:uid="{00000000-0005-0000-0000-0000A6210000}"/>
    <cellStyle name="Normal 3 2 8 2" xfId="2945" xr:uid="{00000000-0005-0000-0000-0000A7210000}"/>
    <cellStyle name="Normal 3 2 8 2 2" xfId="6019" xr:uid="{00000000-0005-0000-0000-0000A8210000}"/>
    <cellStyle name="Normal 3 2 8 3" xfId="4489" xr:uid="{00000000-0005-0000-0000-0000A9210000}"/>
    <cellStyle name="Normal 3 2 9" xfId="904" xr:uid="{00000000-0005-0000-0000-0000AA210000}"/>
    <cellStyle name="Normal 3 2 9 2" xfId="2946" xr:uid="{00000000-0005-0000-0000-0000AB210000}"/>
    <cellStyle name="Normal 3 2 9 2 2" xfId="6020" xr:uid="{00000000-0005-0000-0000-0000AC210000}"/>
    <cellStyle name="Normal 3 2 9 3" xfId="4490" xr:uid="{00000000-0005-0000-0000-0000AD210000}"/>
    <cellStyle name="Normal 3 20" xfId="905" xr:uid="{00000000-0005-0000-0000-0000AE210000}"/>
    <cellStyle name="Normal 3 21" xfId="906" xr:uid="{00000000-0005-0000-0000-0000AF210000}"/>
    <cellStyle name="Normal 3 22" xfId="907" xr:uid="{00000000-0005-0000-0000-0000B0210000}"/>
    <cellStyle name="Normal 3 23" xfId="908" xr:uid="{00000000-0005-0000-0000-0000B1210000}"/>
    <cellStyle name="Normal 3 24" xfId="909" xr:uid="{00000000-0005-0000-0000-0000B2210000}"/>
    <cellStyle name="Normal 3 25" xfId="910" xr:uid="{00000000-0005-0000-0000-0000B3210000}"/>
    <cellStyle name="Normal 3 26" xfId="911" xr:uid="{00000000-0005-0000-0000-0000B4210000}"/>
    <cellStyle name="Normal 3 27" xfId="912" xr:uid="{00000000-0005-0000-0000-0000B5210000}"/>
    <cellStyle name="Normal 3 28" xfId="913" xr:uid="{00000000-0005-0000-0000-0000B6210000}"/>
    <cellStyle name="Normal 3 29" xfId="914" xr:uid="{00000000-0005-0000-0000-0000B7210000}"/>
    <cellStyle name="Normal 3 3" xfId="915" xr:uid="{00000000-0005-0000-0000-0000B8210000}"/>
    <cellStyle name="Normal 3 3 2" xfId="916" xr:uid="{00000000-0005-0000-0000-0000B9210000}"/>
    <cellStyle name="Normal 3 3 2 2" xfId="2947" xr:uid="{00000000-0005-0000-0000-0000BA210000}"/>
    <cellStyle name="Normal 3 3 2 2 2" xfId="6021" xr:uid="{00000000-0005-0000-0000-0000BB210000}"/>
    <cellStyle name="Normal 3 3 2 3" xfId="4491" xr:uid="{00000000-0005-0000-0000-0000BC210000}"/>
    <cellStyle name="Normal 3 3 3" xfId="917" xr:uid="{00000000-0005-0000-0000-0000BD210000}"/>
    <cellStyle name="Normal 3 3 3 2" xfId="2948" xr:uid="{00000000-0005-0000-0000-0000BE210000}"/>
    <cellStyle name="Normal 3 3 3 2 2" xfId="6022" xr:uid="{00000000-0005-0000-0000-0000BF210000}"/>
    <cellStyle name="Normal 3 3 3 3" xfId="4492" xr:uid="{00000000-0005-0000-0000-0000C0210000}"/>
    <cellStyle name="Normal 3 30" xfId="918" xr:uid="{00000000-0005-0000-0000-0000C1210000}"/>
    <cellStyle name="Normal 3 31" xfId="919" xr:uid="{00000000-0005-0000-0000-0000C2210000}"/>
    <cellStyle name="Normal 3 32" xfId="920" xr:uid="{00000000-0005-0000-0000-0000C3210000}"/>
    <cellStyle name="Normal 3 33" xfId="921" xr:uid="{00000000-0005-0000-0000-0000C4210000}"/>
    <cellStyle name="Normal 3 34" xfId="922" xr:uid="{00000000-0005-0000-0000-0000C5210000}"/>
    <cellStyle name="Normal 3 35" xfId="923" xr:uid="{00000000-0005-0000-0000-0000C6210000}"/>
    <cellStyle name="Normal 3 36" xfId="924" xr:uid="{00000000-0005-0000-0000-0000C7210000}"/>
    <cellStyle name="Normal 3 37" xfId="925" xr:uid="{00000000-0005-0000-0000-0000C8210000}"/>
    <cellStyle name="Normal 3 38" xfId="926" xr:uid="{00000000-0005-0000-0000-0000C9210000}"/>
    <cellStyle name="Normal 3 39" xfId="927" xr:uid="{00000000-0005-0000-0000-0000CA210000}"/>
    <cellStyle name="Normal 3 4" xfId="928" xr:uid="{00000000-0005-0000-0000-0000CB210000}"/>
    <cellStyle name="Normal 3 4 2" xfId="929" xr:uid="{00000000-0005-0000-0000-0000CC210000}"/>
    <cellStyle name="Normal 3 4 2 2" xfId="2949" xr:uid="{00000000-0005-0000-0000-0000CD210000}"/>
    <cellStyle name="Normal 3 4 2 2 2" xfId="6023" xr:uid="{00000000-0005-0000-0000-0000CE210000}"/>
    <cellStyle name="Normal 3 4 2 3" xfId="4493" xr:uid="{00000000-0005-0000-0000-0000CF210000}"/>
    <cellStyle name="Normal 3 40" xfId="930" xr:uid="{00000000-0005-0000-0000-0000D0210000}"/>
    <cellStyle name="Normal 3 41" xfId="931" xr:uid="{00000000-0005-0000-0000-0000D1210000}"/>
    <cellStyle name="Normal 3 42" xfId="932" xr:uid="{00000000-0005-0000-0000-0000D2210000}"/>
    <cellStyle name="Normal 3 43" xfId="933" xr:uid="{00000000-0005-0000-0000-0000D3210000}"/>
    <cellStyle name="Normal 3 44" xfId="934" xr:uid="{00000000-0005-0000-0000-0000D4210000}"/>
    <cellStyle name="Normal 3 44 2" xfId="2950" xr:uid="{00000000-0005-0000-0000-0000D5210000}"/>
    <cellStyle name="Normal 3 44 2 2" xfId="6024" xr:uid="{00000000-0005-0000-0000-0000D6210000}"/>
    <cellStyle name="Normal 3 44 3" xfId="4494" xr:uid="{00000000-0005-0000-0000-0000D7210000}"/>
    <cellStyle name="Normal 3 45" xfId="13732" xr:uid="{00000000-0005-0000-0000-0000D8210000}"/>
    <cellStyle name="Normal 3 5" xfId="935" xr:uid="{00000000-0005-0000-0000-0000D9210000}"/>
    <cellStyle name="Normal 3 6" xfId="936" xr:uid="{00000000-0005-0000-0000-0000DA210000}"/>
    <cellStyle name="Normal 3 7" xfId="937" xr:uid="{00000000-0005-0000-0000-0000DB210000}"/>
    <cellStyle name="Normal 3 8" xfId="938" xr:uid="{00000000-0005-0000-0000-0000DC210000}"/>
    <cellStyle name="Normal 3 9" xfId="939" xr:uid="{00000000-0005-0000-0000-0000DD210000}"/>
    <cellStyle name="Normal 30 2" xfId="940" xr:uid="{00000000-0005-0000-0000-0000DE210000}"/>
    <cellStyle name="Normal 4" xfId="941" xr:uid="{00000000-0005-0000-0000-0000DF210000}"/>
    <cellStyle name="Normal 4 10" xfId="942" xr:uid="{00000000-0005-0000-0000-0000E0210000}"/>
    <cellStyle name="Normal 4 10 10" xfId="943" xr:uid="{00000000-0005-0000-0000-0000E1210000}"/>
    <cellStyle name="Normal 4 10 10 2" xfId="2953" xr:uid="{00000000-0005-0000-0000-0000E2210000}"/>
    <cellStyle name="Normal 4 10 10 2 2" xfId="6027" xr:uid="{00000000-0005-0000-0000-0000E3210000}"/>
    <cellStyle name="Normal 4 10 10 3" xfId="4497" xr:uid="{00000000-0005-0000-0000-0000E4210000}"/>
    <cellStyle name="Normal 4 10 11" xfId="944" xr:uid="{00000000-0005-0000-0000-0000E5210000}"/>
    <cellStyle name="Normal 4 10 11 2" xfId="2954" xr:uid="{00000000-0005-0000-0000-0000E6210000}"/>
    <cellStyle name="Normal 4 10 11 2 2" xfId="6028" xr:uid="{00000000-0005-0000-0000-0000E7210000}"/>
    <cellStyle name="Normal 4 10 11 3" xfId="4498" xr:uid="{00000000-0005-0000-0000-0000E8210000}"/>
    <cellStyle name="Normal 4 10 12" xfId="945" xr:uid="{00000000-0005-0000-0000-0000E9210000}"/>
    <cellStyle name="Normal 4 10 12 2" xfId="2955" xr:uid="{00000000-0005-0000-0000-0000EA210000}"/>
    <cellStyle name="Normal 4 10 12 2 2" xfId="6029" xr:uid="{00000000-0005-0000-0000-0000EB210000}"/>
    <cellStyle name="Normal 4 10 12 3" xfId="4499" xr:uid="{00000000-0005-0000-0000-0000EC210000}"/>
    <cellStyle name="Normal 4 10 13" xfId="946" xr:uid="{00000000-0005-0000-0000-0000ED210000}"/>
    <cellStyle name="Normal 4 10 13 2" xfId="2956" xr:uid="{00000000-0005-0000-0000-0000EE210000}"/>
    <cellStyle name="Normal 4 10 13 2 2" xfId="6030" xr:uid="{00000000-0005-0000-0000-0000EF210000}"/>
    <cellStyle name="Normal 4 10 13 3" xfId="4500" xr:uid="{00000000-0005-0000-0000-0000F0210000}"/>
    <cellStyle name="Normal 4 10 14" xfId="947" xr:uid="{00000000-0005-0000-0000-0000F1210000}"/>
    <cellStyle name="Normal 4 10 14 2" xfId="2957" xr:uid="{00000000-0005-0000-0000-0000F2210000}"/>
    <cellStyle name="Normal 4 10 14 2 2" xfId="6031" xr:uid="{00000000-0005-0000-0000-0000F3210000}"/>
    <cellStyle name="Normal 4 10 14 3" xfId="4501" xr:uid="{00000000-0005-0000-0000-0000F4210000}"/>
    <cellStyle name="Normal 4 10 15" xfId="948" xr:uid="{00000000-0005-0000-0000-0000F5210000}"/>
    <cellStyle name="Normal 4 10 15 2" xfId="2958" xr:uid="{00000000-0005-0000-0000-0000F6210000}"/>
    <cellStyle name="Normal 4 10 15 2 2" xfId="6032" xr:uid="{00000000-0005-0000-0000-0000F7210000}"/>
    <cellStyle name="Normal 4 10 15 3" xfId="4502" xr:uid="{00000000-0005-0000-0000-0000F8210000}"/>
    <cellStyle name="Normal 4 10 16" xfId="949" xr:uid="{00000000-0005-0000-0000-0000F9210000}"/>
    <cellStyle name="Normal 4 10 16 2" xfId="2959" xr:uid="{00000000-0005-0000-0000-0000FA210000}"/>
    <cellStyle name="Normal 4 10 16 2 2" xfId="6033" xr:uid="{00000000-0005-0000-0000-0000FB210000}"/>
    <cellStyle name="Normal 4 10 16 3" xfId="4503" xr:uid="{00000000-0005-0000-0000-0000FC210000}"/>
    <cellStyle name="Normal 4 10 17" xfId="950" xr:uid="{00000000-0005-0000-0000-0000FD210000}"/>
    <cellStyle name="Normal 4 10 17 2" xfId="2960" xr:uid="{00000000-0005-0000-0000-0000FE210000}"/>
    <cellStyle name="Normal 4 10 17 2 2" xfId="6034" xr:uid="{00000000-0005-0000-0000-0000FF210000}"/>
    <cellStyle name="Normal 4 10 17 3" xfId="4504" xr:uid="{00000000-0005-0000-0000-000000220000}"/>
    <cellStyle name="Normal 4 10 18" xfId="951" xr:uid="{00000000-0005-0000-0000-000001220000}"/>
    <cellStyle name="Normal 4 10 18 2" xfId="2961" xr:uid="{00000000-0005-0000-0000-000002220000}"/>
    <cellStyle name="Normal 4 10 18 2 2" xfId="6035" xr:uid="{00000000-0005-0000-0000-000003220000}"/>
    <cellStyle name="Normal 4 10 18 3" xfId="4505" xr:uid="{00000000-0005-0000-0000-000004220000}"/>
    <cellStyle name="Normal 4 10 19" xfId="952" xr:uid="{00000000-0005-0000-0000-000005220000}"/>
    <cellStyle name="Normal 4 10 19 2" xfId="2962" xr:uid="{00000000-0005-0000-0000-000006220000}"/>
    <cellStyle name="Normal 4 10 19 2 2" xfId="6036" xr:uid="{00000000-0005-0000-0000-000007220000}"/>
    <cellStyle name="Normal 4 10 19 3" xfId="4506" xr:uid="{00000000-0005-0000-0000-000008220000}"/>
    <cellStyle name="Normal 4 10 2" xfId="953" xr:uid="{00000000-0005-0000-0000-000009220000}"/>
    <cellStyle name="Normal 4 10 2 2" xfId="2963" xr:uid="{00000000-0005-0000-0000-00000A220000}"/>
    <cellStyle name="Normal 4 10 2 2 2" xfId="6037" xr:uid="{00000000-0005-0000-0000-00000B220000}"/>
    <cellStyle name="Normal 4 10 2 3" xfId="4507" xr:uid="{00000000-0005-0000-0000-00000C220000}"/>
    <cellStyle name="Normal 4 10 20" xfId="954" xr:uid="{00000000-0005-0000-0000-00000D220000}"/>
    <cellStyle name="Normal 4 10 20 2" xfId="2964" xr:uid="{00000000-0005-0000-0000-00000E220000}"/>
    <cellStyle name="Normal 4 10 20 2 2" xfId="6038" xr:uid="{00000000-0005-0000-0000-00000F220000}"/>
    <cellStyle name="Normal 4 10 20 3" xfId="4508" xr:uid="{00000000-0005-0000-0000-000010220000}"/>
    <cellStyle name="Normal 4 10 21" xfId="955" xr:uid="{00000000-0005-0000-0000-000011220000}"/>
    <cellStyle name="Normal 4 10 21 2" xfId="2965" xr:uid="{00000000-0005-0000-0000-000012220000}"/>
    <cellStyle name="Normal 4 10 21 2 2" xfId="6039" xr:uid="{00000000-0005-0000-0000-000013220000}"/>
    <cellStyle name="Normal 4 10 21 3" xfId="4509" xr:uid="{00000000-0005-0000-0000-000014220000}"/>
    <cellStyle name="Normal 4 10 22" xfId="956" xr:uid="{00000000-0005-0000-0000-000015220000}"/>
    <cellStyle name="Normal 4 10 22 2" xfId="2966" xr:uid="{00000000-0005-0000-0000-000016220000}"/>
    <cellStyle name="Normal 4 10 22 2 2" xfId="6040" xr:uid="{00000000-0005-0000-0000-000017220000}"/>
    <cellStyle name="Normal 4 10 22 3" xfId="4510" xr:uid="{00000000-0005-0000-0000-000018220000}"/>
    <cellStyle name="Normal 4 10 23" xfId="957" xr:uid="{00000000-0005-0000-0000-000019220000}"/>
    <cellStyle name="Normal 4 10 23 2" xfId="2967" xr:uid="{00000000-0005-0000-0000-00001A220000}"/>
    <cellStyle name="Normal 4 10 23 2 2" xfId="6041" xr:uid="{00000000-0005-0000-0000-00001B220000}"/>
    <cellStyle name="Normal 4 10 23 3" xfId="4511" xr:uid="{00000000-0005-0000-0000-00001C220000}"/>
    <cellStyle name="Normal 4 10 24" xfId="958" xr:uid="{00000000-0005-0000-0000-00001D220000}"/>
    <cellStyle name="Normal 4 10 24 2" xfId="2968" xr:uid="{00000000-0005-0000-0000-00001E220000}"/>
    <cellStyle name="Normal 4 10 24 2 2" xfId="6042" xr:uid="{00000000-0005-0000-0000-00001F220000}"/>
    <cellStyle name="Normal 4 10 24 3" xfId="4512" xr:uid="{00000000-0005-0000-0000-000020220000}"/>
    <cellStyle name="Normal 4 10 25" xfId="959" xr:uid="{00000000-0005-0000-0000-000021220000}"/>
    <cellStyle name="Normal 4 10 25 2" xfId="2969" xr:uid="{00000000-0005-0000-0000-000022220000}"/>
    <cellStyle name="Normal 4 10 25 2 2" xfId="6043" xr:uid="{00000000-0005-0000-0000-000023220000}"/>
    <cellStyle name="Normal 4 10 25 3" xfId="4513" xr:uid="{00000000-0005-0000-0000-000024220000}"/>
    <cellStyle name="Normal 4 10 26" xfId="960" xr:uid="{00000000-0005-0000-0000-000025220000}"/>
    <cellStyle name="Normal 4 10 26 2" xfId="2970" xr:uid="{00000000-0005-0000-0000-000026220000}"/>
    <cellStyle name="Normal 4 10 26 2 2" xfId="6044" xr:uid="{00000000-0005-0000-0000-000027220000}"/>
    <cellStyle name="Normal 4 10 26 3" xfId="4514" xr:uid="{00000000-0005-0000-0000-000028220000}"/>
    <cellStyle name="Normal 4 10 27" xfId="961" xr:uid="{00000000-0005-0000-0000-000029220000}"/>
    <cellStyle name="Normal 4 10 27 2" xfId="2971" xr:uid="{00000000-0005-0000-0000-00002A220000}"/>
    <cellStyle name="Normal 4 10 27 2 2" xfId="6045" xr:uid="{00000000-0005-0000-0000-00002B220000}"/>
    <cellStyle name="Normal 4 10 27 3" xfId="4515" xr:uid="{00000000-0005-0000-0000-00002C220000}"/>
    <cellStyle name="Normal 4 10 28" xfId="962" xr:uid="{00000000-0005-0000-0000-00002D220000}"/>
    <cellStyle name="Normal 4 10 28 2" xfId="2972" xr:uid="{00000000-0005-0000-0000-00002E220000}"/>
    <cellStyle name="Normal 4 10 28 2 2" xfId="6046" xr:uid="{00000000-0005-0000-0000-00002F220000}"/>
    <cellStyle name="Normal 4 10 28 3" xfId="4516" xr:uid="{00000000-0005-0000-0000-000030220000}"/>
    <cellStyle name="Normal 4 10 29" xfId="963" xr:uid="{00000000-0005-0000-0000-000031220000}"/>
    <cellStyle name="Normal 4 10 29 2" xfId="2973" xr:uid="{00000000-0005-0000-0000-000032220000}"/>
    <cellStyle name="Normal 4 10 29 2 2" xfId="6047" xr:uid="{00000000-0005-0000-0000-000033220000}"/>
    <cellStyle name="Normal 4 10 29 3" xfId="4517" xr:uid="{00000000-0005-0000-0000-000034220000}"/>
    <cellStyle name="Normal 4 10 3" xfId="964" xr:uid="{00000000-0005-0000-0000-000035220000}"/>
    <cellStyle name="Normal 4 10 3 2" xfId="2974" xr:uid="{00000000-0005-0000-0000-000036220000}"/>
    <cellStyle name="Normal 4 10 3 2 2" xfId="6048" xr:uid="{00000000-0005-0000-0000-000037220000}"/>
    <cellStyle name="Normal 4 10 3 3" xfId="4518" xr:uid="{00000000-0005-0000-0000-000038220000}"/>
    <cellStyle name="Normal 4 10 30" xfId="965" xr:uid="{00000000-0005-0000-0000-000039220000}"/>
    <cellStyle name="Normal 4 10 30 2" xfId="2975" xr:uid="{00000000-0005-0000-0000-00003A220000}"/>
    <cellStyle name="Normal 4 10 30 2 2" xfId="6049" xr:uid="{00000000-0005-0000-0000-00003B220000}"/>
    <cellStyle name="Normal 4 10 30 3" xfId="4519" xr:uid="{00000000-0005-0000-0000-00003C220000}"/>
    <cellStyle name="Normal 4 10 31" xfId="966" xr:uid="{00000000-0005-0000-0000-00003D220000}"/>
    <cellStyle name="Normal 4 10 31 2" xfId="2976" xr:uid="{00000000-0005-0000-0000-00003E220000}"/>
    <cellStyle name="Normal 4 10 31 2 2" xfId="6050" xr:uid="{00000000-0005-0000-0000-00003F220000}"/>
    <cellStyle name="Normal 4 10 31 3" xfId="4520" xr:uid="{00000000-0005-0000-0000-000040220000}"/>
    <cellStyle name="Normal 4 10 32" xfId="967" xr:uid="{00000000-0005-0000-0000-000041220000}"/>
    <cellStyle name="Normal 4 10 32 2" xfId="2977" xr:uid="{00000000-0005-0000-0000-000042220000}"/>
    <cellStyle name="Normal 4 10 32 2 2" xfId="6051" xr:uid="{00000000-0005-0000-0000-000043220000}"/>
    <cellStyle name="Normal 4 10 32 3" xfId="4521" xr:uid="{00000000-0005-0000-0000-000044220000}"/>
    <cellStyle name="Normal 4 10 33" xfId="968" xr:uid="{00000000-0005-0000-0000-000045220000}"/>
    <cellStyle name="Normal 4 10 33 2" xfId="2978" xr:uid="{00000000-0005-0000-0000-000046220000}"/>
    <cellStyle name="Normal 4 10 33 2 2" xfId="6052" xr:uid="{00000000-0005-0000-0000-000047220000}"/>
    <cellStyle name="Normal 4 10 33 3" xfId="4522" xr:uid="{00000000-0005-0000-0000-000048220000}"/>
    <cellStyle name="Normal 4 10 34" xfId="969" xr:uid="{00000000-0005-0000-0000-000049220000}"/>
    <cellStyle name="Normal 4 10 34 2" xfId="2979" xr:uid="{00000000-0005-0000-0000-00004A220000}"/>
    <cellStyle name="Normal 4 10 34 2 2" xfId="6053" xr:uid="{00000000-0005-0000-0000-00004B220000}"/>
    <cellStyle name="Normal 4 10 34 3" xfId="4523" xr:uid="{00000000-0005-0000-0000-00004C220000}"/>
    <cellStyle name="Normal 4 10 35" xfId="970" xr:uid="{00000000-0005-0000-0000-00004D220000}"/>
    <cellStyle name="Normal 4 10 35 2" xfId="2980" xr:uid="{00000000-0005-0000-0000-00004E220000}"/>
    <cellStyle name="Normal 4 10 35 2 2" xfId="6054" xr:uid="{00000000-0005-0000-0000-00004F220000}"/>
    <cellStyle name="Normal 4 10 35 3" xfId="4524" xr:uid="{00000000-0005-0000-0000-000050220000}"/>
    <cellStyle name="Normal 4 10 36" xfId="971" xr:uid="{00000000-0005-0000-0000-000051220000}"/>
    <cellStyle name="Normal 4 10 36 2" xfId="2981" xr:uid="{00000000-0005-0000-0000-000052220000}"/>
    <cellStyle name="Normal 4 10 36 2 2" xfId="6055" xr:uid="{00000000-0005-0000-0000-000053220000}"/>
    <cellStyle name="Normal 4 10 36 3" xfId="4525" xr:uid="{00000000-0005-0000-0000-000054220000}"/>
    <cellStyle name="Normal 4 10 37" xfId="972" xr:uid="{00000000-0005-0000-0000-000055220000}"/>
    <cellStyle name="Normal 4 10 37 2" xfId="2982" xr:uid="{00000000-0005-0000-0000-000056220000}"/>
    <cellStyle name="Normal 4 10 37 2 2" xfId="6056" xr:uid="{00000000-0005-0000-0000-000057220000}"/>
    <cellStyle name="Normal 4 10 37 3" xfId="4526" xr:uid="{00000000-0005-0000-0000-000058220000}"/>
    <cellStyle name="Normal 4 10 38" xfId="973" xr:uid="{00000000-0005-0000-0000-000059220000}"/>
    <cellStyle name="Normal 4 10 38 2" xfId="2983" xr:uid="{00000000-0005-0000-0000-00005A220000}"/>
    <cellStyle name="Normal 4 10 38 2 2" xfId="6057" xr:uid="{00000000-0005-0000-0000-00005B220000}"/>
    <cellStyle name="Normal 4 10 38 3" xfId="4527" xr:uid="{00000000-0005-0000-0000-00005C220000}"/>
    <cellStyle name="Normal 4 10 39" xfId="974" xr:uid="{00000000-0005-0000-0000-00005D220000}"/>
    <cellStyle name="Normal 4 10 39 2" xfId="2984" xr:uid="{00000000-0005-0000-0000-00005E220000}"/>
    <cellStyle name="Normal 4 10 39 2 2" xfId="6058" xr:uid="{00000000-0005-0000-0000-00005F220000}"/>
    <cellStyle name="Normal 4 10 39 3" xfId="4528" xr:uid="{00000000-0005-0000-0000-000060220000}"/>
    <cellStyle name="Normal 4 10 4" xfId="975" xr:uid="{00000000-0005-0000-0000-000061220000}"/>
    <cellStyle name="Normal 4 10 4 2" xfId="2985" xr:uid="{00000000-0005-0000-0000-000062220000}"/>
    <cellStyle name="Normal 4 10 4 2 2" xfId="6059" xr:uid="{00000000-0005-0000-0000-000063220000}"/>
    <cellStyle name="Normal 4 10 4 3" xfId="4529" xr:uid="{00000000-0005-0000-0000-000064220000}"/>
    <cellStyle name="Normal 4 10 40" xfId="976" xr:uid="{00000000-0005-0000-0000-000065220000}"/>
    <cellStyle name="Normal 4 10 40 2" xfId="2986" xr:uid="{00000000-0005-0000-0000-000066220000}"/>
    <cellStyle name="Normal 4 10 40 2 2" xfId="6060" xr:uid="{00000000-0005-0000-0000-000067220000}"/>
    <cellStyle name="Normal 4 10 40 3" xfId="4530" xr:uid="{00000000-0005-0000-0000-000068220000}"/>
    <cellStyle name="Normal 4 10 41" xfId="977" xr:uid="{00000000-0005-0000-0000-000069220000}"/>
    <cellStyle name="Normal 4 10 41 2" xfId="2987" xr:uid="{00000000-0005-0000-0000-00006A220000}"/>
    <cellStyle name="Normal 4 10 41 2 2" xfId="6061" xr:uid="{00000000-0005-0000-0000-00006B220000}"/>
    <cellStyle name="Normal 4 10 41 3" xfId="4531" xr:uid="{00000000-0005-0000-0000-00006C220000}"/>
    <cellStyle name="Normal 4 10 42" xfId="978" xr:uid="{00000000-0005-0000-0000-00006D220000}"/>
    <cellStyle name="Normal 4 10 42 2" xfId="2988" xr:uid="{00000000-0005-0000-0000-00006E220000}"/>
    <cellStyle name="Normal 4 10 42 2 2" xfId="6062" xr:uid="{00000000-0005-0000-0000-00006F220000}"/>
    <cellStyle name="Normal 4 10 42 3" xfId="4532" xr:uid="{00000000-0005-0000-0000-000070220000}"/>
    <cellStyle name="Normal 4 10 43" xfId="979" xr:uid="{00000000-0005-0000-0000-000071220000}"/>
    <cellStyle name="Normal 4 10 43 2" xfId="2989" xr:uid="{00000000-0005-0000-0000-000072220000}"/>
    <cellStyle name="Normal 4 10 43 2 2" xfId="6063" xr:uid="{00000000-0005-0000-0000-000073220000}"/>
    <cellStyle name="Normal 4 10 43 3" xfId="4533" xr:uid="{00000000-0005-0000-0000-000074220000}"/>
    <cellStyle name="Normal 4 10 44" xfId="2952" xr:uid="{00000000-0005-0000-0000-000075220000}"/>
    <cellStyle name="Normal 4 10 44 2" xfId="6026" xr:uid="{00000000-0005-0000-0000-000076220000}"/>
    <cellStyle name="Normal 4 10 45" xfId="4496" xr:uid="{00000000-0005-0000-0000-000077220000}"/>
    <cellStyle name="Normal 4 10 5" xfId="980" xr:uid="{00000000-0005-0000-0000-000078220000}"/>
    <cellStyle name="Normal 4 10 5 2" xfId="2990" xr:uid="{00000000-0005-0000-0000-000079220000}"/>
    <cellStyle name="Normal 4 10 5 2 2" xfId="6064" xr:uid="{00000000-0005-0000-0000-00007A220000}"/>
    <cellStyle name="Normal 4 10 5 3" xfId="4534" xr:uid="{00000000-0005-0000-0000-00007B220000}"/>
    <cellStyle name="Normal 4 10 6" xfId="981" xr:uid="{00000000-0005-0000-0000-00007C220000}"/>
    <cellStyle name="Normal 4 10 6 2" xfId="2991" xr:uid="{00000000-0005-0000-0000-00007D220000}"/>
    <cellStyle name="Normal 4 10 6 2 2" xfId="6065" xr:uid="{00000000-0005-0000-0000-00007E220000}"/>
    <cellStyle name="Normal 4 10 6 3" xfId="4535" xr:uid="{00000000-0005-0000-0000-00007F220000}"/>
    <cellStyle name="Normal 4 10 7" xfId="982" xr:uid="{00000000-0005-0000-0000-000080220000}"/>
    <cellStyle name="Normal 4 10 7 2" xfId="2992" xr:uid="{00000000-0005-0000-0000-000081220000}"/>
    <cellStyle name="Normal 4 10 7 2 2" xfId="6066" xr:uid="{00000000-0005-0000-0000-000082220000}"/>
    <cellStyle name="Normal 4 10 7 3" xfId="4536" xr:uid="{00000000-0005-0000-0000-000083220000}"/>
    <cellStyle name="Normal 4 10 8" xfId="983" xr:uid="{00000000-0005-0000-0000-000084220000}"/>
    <cellStyle name="Normal 4 10 8 2" xfId="2993" xr:uid="{00000000-0005-0000-0000-000085220000}"/>
    <cellStyle name="Normal 4 10 8 2 2" xfId="6067" xr:uid="{00000000-0005-0000-0000-000086220000}"/>
    <cellStyle name="Normal 4 10 8 3" xfId="4537" xr:uid="{00000000-0005-0000-0000-000087220000}"/>
    <cellStyle name="Normal 4 10 9" xfId="984" xr:uid="{00000000-0005-0000-0000-000088220000}"/>
    <cellStyle name="Normal 4 10 9 2" xfId="2994" xr:uid="{00000000-0005-0000-0000-000089220000}"/>
    <cellStyle name="Normal 4 10 9 2 2" xfId="6068" xr:uid="{00000000-0005-0000-0000-00008A220000}"/>
    <cellStyle name="Normal 4 10 9 3" xfId="4538" xr:uid="{00000000-0005-0000-0000-00008B220000}"/>
    <cellStyle name="Normal 4 11" xfId="985" xr:uid="{00000000-0005-0000-0000-00008C220000}"/>
    <cellStyle name="Normal 4 11 10" xfId="986" xr:uid="{00000000-0005-0000-0000-00008D220000}"/>
    <cellStyle name="Normal 4 11 10 2" xfId="2996" xr:uid="{00000000-0005-0000-0000-00008E220000}"/>
    <cellStyle name="Normal 4 11 10 2 2" xfId="6070" xr:uid="{00000000-0005-0000-0000-00008F220000}"/>
    <cellStyle name="Normal 4 11 10 3" xfId="4540" xr:uid="{00000000-0005-0000-0000-000090220000}"/>
    <cellStyle name="Normal 4 11 11" xfId="987" xr:uid="{00000000-0005-0000-0000-000091220000}"/>
    <cellStyle name="Normal 4 11 11 2" xfId="2997" xr:uid="{00000000-0005-0000-0000-000092220000}"/>
    <cellStyle name="Normal 4 11 11 2 2" xfId="6071" xr:uid="{00000000-0005-0000-0000-000093220000}"/>
    <cellStyle name="Normal 4 11 11 3" xfId="4541" xr:uid="{00000000-0005-0000-0000-000094220000}"/>
    <cellStyle name="Normal 4 11 12" xfId="988" xr:uid="{00000000-0005-0000-0000-000095220000}"/>
    <cellStyle name="Normal 4 11 12 2" xfId="2998" xr:uid="{00000000-0005-0000-0000-000096220000}"/>
    <cellStyle name="Normal 4 11 12 2 2" xfId="6072" xr:uid="{00000000-0005-0000-0000-000097220000}"/>
    <cellStyle name="Normal 4 11 12 3" xfId="4542" xr:uid="{00000000-0005-0000-0000-000098220000}"/>
    <cellStyle name="Normal 4 11 13" xfId="989" xr:uid="{00000000-0005-0000-0000-000099220000}"/>
    <cellStyle name="Normal 4 11 13 2" xfId="2999" xr:uid="{00000000-0005-0000-0000-00009A220000}"/>
    <cellStyle name="Normal 4 11 13 2 2" xfId="6073" xr:uid="{00000000-0005-0000-0000-00009B220000}"/>
    <cellStyle name="Normal 4 11 13 3" xfId="4543" xr:uid="{00000000-0005-0000-0000-00009C220000}"/>
    <cellStyle name="Normal 4 11 14" xfId="990" xr:uid="{00000000-0005-0000-0000-00009D220000}"/>
    <cellStyle name="Normal 4 11 14 2" xfId="3000" xr:uid="{00000000-0005-0000-0000-00009E220000}"/>
    <cellStyle name="Normal 4 11 14 2 2" xfId="6074" xr:uid="{00000000-0005-0000-0000-00009F220000}"/>
    <cellStyle name="Normal 4 11 14 3" xfId="4544" xr:uid="{00000000-0005-0000-0000-0000A0220000}"/>
    <cellStyle name="Normal 4 11 15" xfId="991" xr:uid="{00000000-0005-0000-0000-0000A1220000}"/>
    <cellStyle name="Normal 4 11 15 2" xfId="3001" xr:uid="{00000000-0005-0000-0000-0000A2220000}"/>
    <cellStyle name="Normal 4 11 15 2 2" xfId="6075" xr:uid="{00000000-0005-0000-0000-0000A3220000}"/>
    <cellStyle name="Normal 4 11 15 3" xfId="4545" xr:uid="{00000000-0005-0000-0000-0000A4220000}"/>
    <cellStyle name="Normal 4 11 16" xfId="992" xr:uid="{00000000-0005-0000-0000-0000A5220000}"/>
    <cellStyle name="Normal 4 11 16 2" xfId="3002" xr:uid="{00000000-0005-0000-0000-0000A6220000}"/>
    <cellStyle name="Normal 4 11 16 2 2" xfId="6076" xr:uid="{00000000-0005-0000-0000-0000A7220000}"/>
    <cellStyle name="Normal 4 11 16 3" xfId="4546" xr:uid="{00000000-0005-0000-0000-0000A8220000}"/>
    <cellStyle name="Normal 4 11 17" xfId="993" xr:uid="{00000000-0005-0000-0000-0000A9220000}"/>
    <cellStyle name="Normal 4 11 17 2" xfId="3003" xr:uid="{00000000-0005-0000-0000-0000AA220000}"/>
    <cellStyle name="Normal 4 11 17 2 2" xfId="6077" xr:uid="{00000000-0005-0000-0000-0000AB220000}"/>
    <cellStyle name="Normal 4 11 17 3" xfId="4547" xr:uid="{00000000-0005-0000-0000-0000AC220000}"/>
    <cellStyle name="Normal 4 11 18" xfId="994" xr:uid="{00000000-0005-0000-0000-0000AD220000}"/>
    <cellStyle name="Normal 4 11 18 2" xfId="3004" xr:uid="{00000000-0005-0000-0000-0000AE220000}"/>
    <cellStyle name="Normal 4 11 18 2 2" xfId="6078" xr:uid="{00000000-0005-0000-0000-0000AF220000}"/>
    <cellStyle name="Normal 4 11 18 3" xfId="4548" xr:uid="{00000000-0005-0000-0000-0000B0220000}"/>
    <cellStyle name="Normal 4 11 19" xfId="995" xr:uid="{00000000-0005-0000-0000-0000B1220000}"/>
    <cellStyle name="Normal 4 11 19 2" xfId="3005" xr:uid="{00000000-0005-0000-0000-0000B2220000}"/>
    <cellStyle name="Normal 4 11 19 2 2" xfId="6079" xr:uid="{00000000-0005-0000-0000-0000B3220000}"/>
    <cellStyle name="Normal 4 11 19 3" xfId="4549" xr:uid="{00000000-0005-0000-0000-0000B4220000}"/>
    <cellStyle name="Normal 4 11 2" xfId="996" xr:uid="{00000000-0005-0000-0000-0000B5220000}"/>
    <cellStyle name="Normal 4 11 2 2" xfId="3006" xr:uid="{00000000-0005-0000-0000-0000B6220000}"/>
    <cellStyle name="Normal 4 11 2 2 2" xfId="6080" xr:uid="{00000000-0005-0000-0000-0000B7220000}"/>
    <cellStyle name="Normal 4 11 2 3" xfId="4550" xr:uid="{00000000-0005-0000-0000-0000B8220000}"/>
    <cellStyle name="Normal 4 11 20" xfId="997" xr:uid="{00000000-0005-0000-0000-0000B9220000}"/>
    <cellStyle name="Normal 4 11 20 2" xfId="3007" xr:uid="{00000000-0005-0000-0000-0000BA220000}"/>
    <cellStyle name="Normal 4 11 20 2 2" xfId="6081" xr:uid="{00000000-0005-0000-0000-0000BB220000}"/>
    <cellStyle name="Normal 4 11 20 3" xfId="4551" xr:uid="{00000000-0005-0000-0000-0000BC220000}"/>
    <cellStyle name="Normal 4 11 21" xfId="998" xr:uid="{00000000-0005-0000-0000-0000BD220000}"/>
    <cellStyle name="Normal 4 11 21 2" xfId="3008" xr:uid="{00000000-0005-0000-0000-0000BE220000}"/>
    <cellStyle name="Normal 4 11 21 2 2" xfId="6082" xr:uid="{00000000-0005-0000-0000-0000BF220000}"/>
    <cellStyle name="Normal 4 11 21 3" xfId="4552" xr:uid="{00000000-0005-0000-0000-0000C0220000}"/>
    <cellStyle name="Normal 4 11 22" xfId="999" xr:uid="{00000000-0005-0000-0000-0000C1220000}"/>
    <cellStyle name="Normal 4 11 22 2" xfId="3009" xr:uid="{00000000-0005-0000-0000-0000C2220000}"/>
    <cellStyle name="Normal 4 11 22 2 2" xfId="6083" xr:uid="{00000000-0005-0000-0000-0000C3220000}"/>
    <cellStyle name="Normal 4 11 22 3" xfId="4553" xr:uid="{00000000-0005-0000-0000-0000C4220000}"/>
    <cellStyle name="Normal 4 11 23" xfId="1000" xr:uid="{00000000-0005-0000-0000-0000C5220000}"/>
    <cellStyle name="Normal 4 11 23 2" xfId="3010" xr:uid="{00000000-0005-0000-0000-0000C6220000}"/>
    <cellStyle name="Normal 4 11 23 2 2" xfId="6084" xr:uid="{00000000-0005-0000-0000-0000C7220000}"/>
    <cellStyle name="Normal 4 11 23 3" xfId="4554" xr:uid="{00000000-0005-0000-0000-0000C8220000}"/>
    <cellStyle name="Normal 4 11 24" xfId="1001" xr:uid="{00000000-0005-0000-0000-0000C9220000}"/>
    <cellStyle name="Normal 4 11 24 2" xfId="3011" xr:uid="{00000000-0005-0000-0000-0000CA220000}"/>
    <cellStyle name="Normal 4 11 24 2 2" xfId="6085" xr:uid="{00000000-0005-0000-0000-0000CB220000}"/>
    <cellStyle name="Normal 4 11 24 3" xfId="4555" xr:uid="{00000000-0005-0000-0000-0000CC220000}"/>
    <cellStyle name="Normal 4 11 25" xfId="1002" xr:uid="{00000000-0005-0000-0000-0000CD220000}"/>
    <cellStyle name="Normal 4 11 25 2" xfId="3012" xr:uid="{00000000-0005-0000-0000-0000CE220000}"/>
    <cellStyle name="Normal 4 11 25 2 2" xfId="6086" xr:uid="{00000000-0005-0000-0000-0000CF220000}"/>
    <cellStyle name="Normal 4 11 25 3" xfId="4556" xr:uid="{00000000-0005-0000-0000-0000D0220000}"/>
    <cellStyle name="Normal 4 11 26" xfId="1003" xr:uid="{00000000-0005-0000-0000-0000D1220000}"/>
    <cellStyle name="Normal 4 11 26 2" xfId="3013" xr:uid="{00000000-0005-0000-0000-0000D2220000}"/>
    <cellStyle name="Normal 4 11 26 2 2" xfId="6087" xr:uid="{00000000-0005-0000-0000-0000D3220000}"/>
    <cellStyle name="Normal 4 11 26 3" xfId="4557" xr:uid="{00000000-0005-0000-0000-0000D4220000}"/>
    <cellStyle name="Normal 4 11 27" xfId="1004" xr:uid="{00000000-0005-0000-0000-0000D5220000}"/>
    <cellStyle name="Normal 4 11 27 2" xfId="3014" xr:uid="{00000000-0005-0000-0000-0000D6220000}"/>
    <cellStyle name="Normal 4 11 27 2 2" xfId="6088" xr:uid="{00000000-0005-0000-0000-0000D7220000}"/>
    <cellStyle name="Normal 4 11 27 3" xfId="4558" xr:uid="{00000000-0005-0000-0000-0000D8220000}"/>
    <cellStyle name="Normal 4 11 28" xfId="1005" xr:uid="{00000000-0005-0000-0000-0000D9220000}"/>
    <cellStyle name="Normal 4 11 28 2" xfId="3015" xr:uid="{00000000-0005-0000-0000-0000DA220000}"/>
    <cellStyle name="Normal 4 11 28 2 2" xfId="6089" xr:uid="{00000000-0005-0000-0000-0000DB220000}"/>
    <cellStyle name="Normal 4 11 28 3" xfId="4559" xr:uid="{00000000-0005-0000-0000-0000DC220000}"/>
    <cellStyle name="Normal 4 11 29" xfId="1006" xr:uid="{00000000-0005-0000-0000-0000DD220000}"/>
    <cellStyle name="Normal 4 11 29 2" xfId="3016" xr:uid="{00000000-0005-0000-0000-0000DE220000}"/>
    <cellStyle name="Normal 4 11 29 2 2" xfId="6090" xr:uid="{00000000-0005-0000-0000-0000DF220000}"/>
    <cellStyle name="Normal 4 11 29 3" xfId="4560" xr:uid="{00000000-0005-0000-0000-0000E0220000}"/>
    <cellStyle name="Normal 4 11 3" xfId="1007" xr:uid="{00000000-0005-0000-0000-0000E1220000}"/>
    <cellStyle name="Normal 4 11 3 2" xfId="3017" xr:uid="{00000000-0005-0000-0000-0000E2220000}"/>
    <cellStyle name="Normal 4 11 3 2 2" xfId="6091" xr:uid="{00000000-0005-0000-0000-0000E3220000}"/>
    <cellStyle name="Normal 4 11 3 3" xfId="4561" xr:uid="{00000000-0005-0000-0000-0000E4220000}"/>
    <cellStyle name="Normal 4 11 30" xfId="1008" xr:uid="{00000000-0005-0000-0000-0000E5220000}"/>
    <cellStyle name="Normal 4 11 30 2" xfId="3018" xr:uid="{00000000-0005-0000-0000-0000E6220000}"/>
    <cellStyle name="Normal 4 11 30 2 2" xfId="6092" xr:uid="{00000000-0005-0000-0000-0000E7220000}"/>
    <cellStyle name="Normal 4 11 30 3" xfId="4562" xr:uid="{00000000-0005-0000-0000-0000E8220000}"/>
    <cellStyle name="Normal 4 11 31" xfId="1009" xr:uid="{00000000-0005-0000-0000-0000E9220000}"/>
    <cellStyle name="Normal 4 11 31 2" xfId="3019" xr:uid="{00000000-0005-0000-0000-0000EA220000}"/>
    <cellStyle name="Normal 4 11 31 2 2" xfId="6093" xr:uid="{00000000-0005-0000-0000-0000EB220000}"/>
    <cellStyle name="Normal 4 11 31 3" xfId="4563" xr:uid="{00000000-0005-0000-0000-0000EC220000}"/>
    <cellStyle name="Normal 4 11 32" xfId="1010" xr:uid="{00000000-0005-0000-0000-0000ED220000}"/>
    <cellStyle name="Normal 4 11 32 2" xfId="3020" xr:uid="{00000000-0005-0000-0000-0000EE220000}"/>
    <cellStyle name="Normal 4 11 32 2 2" xfId="6094" xr:uid="{00000000-0005-0000-0000-0000EF220000}"/>
    <cellStyle name="Normal 4 11 32 3" xfId="4564" xr:uid="{00000000-0005-0000-0000-0000F0220000}"/>
    <cellStyle name="Normal 4 11 33" xfId="1011" xr:uid="{00000000-0005-0000-0000-0000F1220000}"/>
    <cellStyle name="Normal 4 11 33 2" xfId="3021" xr:uid="{00000000-0005-0000-0000-0000F2220000}"/>
    <cellStyle name="Normal 4 11 33 2 2" xfId="6095" xr:uid="{00000000-0005-0000-0000-0000F3220000}"/>
    <cellStyle name="Normal 4 11 33 3" xfId="4565" xr:uid="{00000000-0005-0000-0000-0000F4220000}"/>
    <cellStyle name="Normal 4 11 34" xfId="1012" xr:uid="{00000000-0005-0000-0000-0000F5220000}"/>
    <cellStyle name="Normal 4 11 34 2" xfId="3022" xr:uid="{00000000-0005-0000-0000-0000F6220000}"/>
    <cellStyle name="Normal 4 11 34 2 2" xfId="6096" xr:uid="{00000000-0005-0000-0000-0000F7220000}"/>
    <cellStyle name="Normal 4 11 34 3" xfId="4566" xr:uid="{00000000-0005-0000-0000-0000F8220000}"/>
    <cellStyle name="Normal 4 11 35" xfId="1013" xr:uid="{00000000-0005-0000-0000-0000F9220000}"/>
    <cellStyle name="Normal 4 11 35 2" xfId="3023" xr:uid="{00000000-0005-0000-0000-0000FA220000}"/>
    <cellStyle name="Normal 4 11 35 2 2" xfId="6097" xr:uid="{00000000-0005-0000-0000-0000FB220000}"/>
    <cellStyle name="Normal 4 11 35 3" xfId="4567" xr:uid="{00000000-0005-0000-0000-0000FC220000}"/>
    <cellStyle name="Normal 4 11 36" xfId="1014" xr:uid="{00000000-0005-0000-0000-0000FD220000}"/>
    <cellStyle name="Normal 4 11 36 2" xfId="3024" xr:uid="{00000000-0005-0000-0000-0000FE220000}"/>
    <cellStyle name="Normal 4 11 36 2 2" xfId="6098" xr:uid="{00000000-0005-0000-0000-0000FF220000}"/>
    <cellStyle name="Normal 4 11 36 3" xfId="4568" xr:uid="{00000000-0005-0000-0000-000000230000}"/>
    <cellStyle name="Normal 4 11 37" xfId="1015" xr:uid="{00000000-0005-0000-0000-000001230000}"/>
    <cellStyle name="Normal 4 11 37 2" xfId="3025" xr:uid="{00000000-0005-0000-0000-000002230000}"/>
    <cellStyle name="Normal 4 11 37 2 2" xfId="6099" xr:uid="{00000000-0005-0000-0000-000003230000}"/>
    <cellStyle name="Normal 4 11 37 3" xfId="4569" xr:uid="{00000000-0005-0000-0000-000004230000}"/>
    <cellStyle name="Normal 4 11 38" xfId="1016" xr:uid="{00000000-0005-0000-0000-000005230000}"/>
    <cellStyle name="Normal 4 11 38 2" xfId="3026" xr:uid="{00000000-0005-0000-0000-000006230000}"/>
    <cellStyle name="Normal 4 11 38 2 2" xfId="6100" xr:uid="{00000000-0005-0000-0000-000007230000}"/>
    <cellStyle name="Normal 4 11 38 3" xfId="4570" xr:uid="{00000000-0005-0000-0000-000008230000}"/>
    <cellStyle name="Normal 4 11 39" xfId="1017" xr:uid="{00000000-0005-0000-0000-000009230000}"/>
    <cellStyle name="Normal 4 11 39 2" xfId="3027" xr:uid="{00000000-0005-0000-0000-00000A230000}"/>
    <cellStyle name="Normal 4 11 39 2 2" xfId="6101" xr:uid="{00000000-0005-0000-0000-00000B230000}"/>
    <cellStyle name="Normal 4 11 39 3" xfId="4571" xr:uid="{00000000-0005-0000-0000-00000C230000}"/>
    <cellStyle name="Normal 4 11 4" xfId="1018" xr:uid="{00000000-0005-0000-0000-00000D230000}"/>
    <cellStyle name="Normal 4 11 4 2" xfId="3028" xr:uid="{00000000-0005-0000-0000-00000E230000}"/>
    <cellStyle name="Normal 4 11 4 2 2" xfId="6102" xr:uid="{00000000-0005-0000-0000-00000F230000}"/>
    <cellStyle name="Normal 4 11 4 3" xfId="4572" xr:uid="{00000000-0005-0000-0000-000010230000}"/>
    <cellStyle name="Normal 4 11 40" xfId="1019" xr:uid="{00000000-0005-0000-0000-000011230000}"/>
    <cellStyle name="Normal 4 11 40 2" xfId="3029" xr:uid="{00000000-0005-0000-0000-000012230000}"/>
    <cellStyle name="Normal 4 11 40 2 2" xfId="6103" xr:uid="{00000000-0005-0000-0000-000013230000}"/>
    <cellStyle name="Normal 4 11 40 3" xfId="4573" xr:uid="{00000000-0005-0000-0000-000014230000}"/>
    <cellStyle name="Normal 4 11 41" xfId="1020" xr:uid="{00000000-0005-0000-0000-000015230000}"/>
    <cellStyle name="Normal 4 11 41 2" xfId="3030" xr:uid="{00000000-0005-0000-0000-000016230000}"/>
    <cellStyle name="Normal 4 11 41 2 2" xfId="6104" xr:uid="{00000000-0005-0000-0000-000017230000}"/>
    <cellStyle name="Normal 4 11 41 3" xfId="4574" xr:uid="{00000000-0005-0000-0000-000018230000}"/>
    <cellStyle name="Normal 4 11 42" xfId="1021" xr:uid="{00000000-0005-0000-0000-000019230000}"/>
    <cellStyle name="Normal 4 11 42 2" xfId="3031" xr:uid="{00000000-0005-0000-0000-00001A230000}"/>
    <cellStyle name="Normal 4 11 42 2 2" xfId="6105" xr:uid="{00000000-0005-0000-0000-00001B230000}"/>
    <cellStyle name="Normal 4 11 42 3" xfId="4575" xr:uid="{00000000-0005-0000-0000-00001C230000}"/>
    <cellStyle name="Normal 4 11 43" xfId="1022" xr:uid="{00000000-0005-0000-0000-00001D230000}"/>
    <cellStyle name="Normal 4 11 43 2" xfId="3032" xr:uid="{00000000-0005-0000-0000-00001E230000}"/>
    <cellStyle name="Normal 4 11 43 2 2" xfId="6106" xr:uid="{00000000-0005-0000-0000-00001F230000}"/>
    <cellStyle name="Normal 4 11 43 3" xfId="4576" xr:uid="{00000000-0005-0000-0000-000020230000}"/>
    <cellStyle name="Normal 4 11 44" xfId="2995" xr:uid="{00000000-0005-0000-0000-000021230000}"/>
    <cellStyle name="Normal 4 11 44 2" xfId="6069" xr:uid="{00000000-0005-0000-0000-000022230000}"/>
    <cellStyle name="Normal 4 11 45" xfId="4539" xr:uid="{00000000-0005-0000-0000-000023230000}"/>
    <cellStyle name="Normal 4 11 5" xfId="1023" xr:uid="{00000000-0005-0000-0000-000024230000}"/>
    <cellStyle name="Normal 4 11 5 2" xfId="3033" xr:uid="{00000000-0005-0000-0000-000025230000}"/>
    <cellStyle name="Normal 4 11 5 2 2" xfId="6107" xr:uid="{00000000-0005-0000-0000-000026230000}"/>
    <cellStyle name="Normal 4 11 5 3" xfId="4577" xr:uid="{00000000-0005-0000-0000-000027230000}"/>
    <cellStyle name="Normal 4 11 6" xfId="1024" xr:uid="{00000000-0005-0000-0000-000028230000}"/>
    <cellStyle name="Normal 4 11 6 2" xfId="3034" xr:uid="{00000000-0005-0000-0000-000029230000}"/>
    <cellStyle name="Normal 4 11 6 2 2" xfId="6108" xr:uid="{00000000-0005-0000-0000-00002A230000}"/>
    <cellStyle name="Normal 4 11 6 3" xfId="4578" xr:uid="{00000000-0005-0000-0000-00002B230000}"/>
    <cellStyle name="Normal 4 11 7" xfId="1025" xr:uid="{00000000-0005-0000-0000-00002C230000}"/>
    <cellStyle name="Normal 4 11 7 2" xfId="3035" xr:uid="{00000000-0005-0000-0000-00002D230000}"/>
    <cellStyle name="Normal 4 11 7 2 2" xfId="6109" xr:uid="{00000000-0005-0000-0000-00002E230000}"/>
    <cellStyle name="Normal 4 11 7 3" xfId="4579" xr:uid="{00000000-0005-0000-0000-00002F230000}"/>
    <cellStyle name="Normal 4 11 8" xfId="1026" xr:uid="{00000000-0005-0000-0000-000030230000}"/>
    <cellStyle name="Normal 4 11 8 2" xfId="3036" xr:uid="{00000000-0005-0000-0000-000031230000}"/>
    <cellStyle name="Normal 4 11 8 2 2" xfId="6110" xr:uid="{00000000-0005-0000-0000-000032230000}"/>
    <cellStyle name="Normal 4 11 8 3" xfId="4580" xr:uid="{00000000-0005-0000-0000-000033230000}"/>
    <cellStyle name="Normal 4 11 9" xfId="1027" xr:uid="{00000000-0005-0000-0000-000034230000}"/>
    <cellStyle name="Normal 4 11 9 2" xfId="3037" xr:uid="{00000000-0005-0000-0000-000035230000}"/>
    <cellStyle name="Normal 4 11 9 2 2" xfId="6111" xr:uid="{00000000-0005-0000-0000-000036230000}"/>
    <cellStyle name="Normal 4 11 9 3" xfId="4581" xr:uid="{00000000-0005-0000-0000-000037230000}"/>
    <cellStyle name="Normal 4 12" xfId="1028" xr:uid="{00000000-0005-0000-0000-000038230000}"/>
    <cellStyle name="Normal 4 12 10" xfId="1029" xr:uid="{00000000-0005-0000-0000-000039230000}"/>
    <cellStyle name="Normal 4 12 10 2" xfId="3039" xr:uid="{00000000-0005-0000-0000-00003A230000}"/>
    <cellStyle name="Normal 4 12 10 2 2" xfId="6113" xr:uid="{00000000-0005-0000-0000-00003B230000}"/>
    <cellStyle name="Normal 4 12 10 3" xfId="4583" xr:uid="{00000000-0005-0000-0000-00003C230000}"/>
    <cellStyle name="Normal 4 12 11" xfId="1030" xr:uid="{00000000-0005-0000-0000-00003D230000}"/>
    <cellStyle name="Normal 4 12 11 2" xfId="3040" xr:uid="{00000000-0005-0000-0000-00003E230000}"/>
    <cellStyle name="Normal 4 12 11 2 2" xfId="6114" xr:uid="{00000000-0005-0000-0000-00003F230000}"/>
    <cellStyle name="Normal 4 12 11 3" xfId="4584" xr:uid="{00000000-0005-0000-0000-000040230000}"/>
    <cellStyle name="Normal 4 12 12" xfId="1031" xr:uid="{00000000-0005-0000-0000-000041230000}"/>
    <cellStyle name="Normal 4 12 12 2" xfId="3041" xr:uid="{00000000-0005-0000-0000-000042230000}"/>
    <cellStyle name="Normal 4 12 12 2 2" xfId="6115" xr:uid="{00000000-0005-0000-0000-000043230000}"/>
    <cellStyle name="Normal 4 12 12 3" xfId="4585" xr:uid="{00000000-0005-0000-0000-000044230000}"/>
    <cellStyle name="Normal 4 12 13" xfId="1032" xr:uid="{00000000-0005-0000-0000-000045230000}"/>
    <cellStyle name="Normal 4 12 13 2" xfId="3042" xr:uid="{00000000-0005-0000-0000-000046230000}"/>
    <cellStyle name="Normal 4 12 13 2 2" xfId="6116" xr:uid="{00000000-0005-0000-0000-000047230000}"/>
    <cellStyle name="Normal 4 12 13 3" xfId="4586" xr:uid="{00000000-0005-0000-0000-000048230000}"/>
    <cellStyle name="Normal 4 12 14" xfId="1033" xr:uid="{00000000-0005-0000-0000-000049230000}"/>
    <cellStyle name="Normal 4 12 14 2" xfId="3043" xr:uid="{00000000-0005-0000-0000-00004A230000}"/>
    <cellStyle name="Normal 4 12 14 2 2" xfId="6117" xr:uid="{00000000-0005-0000-0000-00004B230000}"/>
    <cellStyle name="Normal 4 12 14 3" xfId="4587" xr:uid="{00000000-0005-0000-0000-00004C230000}"/>
    <cellStyle name="Normal 4 12 15" xfId="1034" xr:uid="{00000000-0005-0000-0000-00004D230000}"/>
    <cellStyle name="Normal 4 12 15 2" xfId="3044" xr:uid="{00000000-0005-0000-0000-00004E230000}"/>
    <cellStyle name="Normal 4 12 15 2 2" xfId="6118" xr:uid="{00000000-0005-0000-0000-00004F230000}"/>
    <cellStyle name="Normal 4 12 15 3" xfId="4588" xr:uid="{00000000-0005-0000-0000-000050230000}"/>
    <cellStyle name="Normal 4 12 16" xfId="1035" xr:uid="{00000000-0005-0000-0000-000051230000}"/>
    <cellStyle name="Normal 4 12 16 2" xfId="3045" xr:uid="{00000000-0005-0000-0000-000052230000}"/>
    <cellStyle name="Normal 4 12 16 2 2" xfId="6119" xr:uid="{00000000-0005-0000-0000-000053230000}"/>
    <cellStyle name="Normal 4 12 16 3" xfId="4589" xr:uid="{00000000-0005-0000-0000-000054230000}"/>
    <cellStyle name="Normal 4 12 17" xfId="1036" xr:uid="{00000000-0005-0000-0000-000055230000}"/>
    <cellStyle name="Normal 4 12 17 2" xfId="3046" xr:uid="{00000000-0005-0000-0000-000056230000}"/>
    <cellStyle name="Normal 4 12 17 2 2" xfId="6120" xr:uid="{00000000-0005-0000-0000-000057230000}"/>
    <cellStyle name="Normal 4 12 17 3" xfId="4590" xr:uid="{00000000-0005-0000-0000-000058230000}"/>
    <cellStyle name="Normal 4 12 18" xfId="1037" xr:uid="{00000000-0005-0000-0000-000059230000}"/>
    <cellStyle name="Normal 4 12 18 2" xfId="3047" xr:uid="{00000000-0005-0000-0000-00005A230000}"/>
    <cellStyle name="Normal 4 12 18 2 2" xfId="6121" xr:uid="{00000000-0005-0000-0000-00005B230000}"/>
    <cellStyle name="Normal 4 12 18 3" xfId="4591" xr:uid="{00000000-0005-0000-0000-00005C230000}"/>
    <cellStyle name="Normal 4 12 19" xfId="1038" xr:uid="{00000000-0005-0000-0000-00005D230000}"/>
    <cellStyle name="Normal 4 12 19 2" xfId="3048" xr:uid="{00000000-0005-0000-0000-00005E230000}"/>
    <cellStyle name="Normal 4 12 19 2 2" xfId="6122" xr:uid="{00000000-0005-0000-0000-00005F230000}"/>
    <cellStyle name="Normal 4 12 19 3" xfId="4592" xr:uid="{00000000-0005-0000-0000-000060230000}"/>
    <cellStyle name="Normal 4 12 2" xfId="1039" xr:uid="{00000000-0005-0000-0000-000061230000}"/>
    <cellStyle name="Normal 4 12 2 2" xfId="3049" xr:uid="{00000000-0005-0000-0000-000062230000}"/>
    <cellStyle name="Normal 4 12 2 2 2" xfId="6123" xr:uid="{00000000-0005-0000-0000-000063230000}"/>
    <cellStyle name="Normal 4 12 2 3" xfId="4593" xr:uid="{00000000-0005-0000-0000-000064230000}"/>
    <cellStyle name="Normal 4 12 20" xfId="1040" xr:uid="{00000000-0005-0000-0000-000065230000}"/>
    <cellStyle name="Normal 4 12 20 2" xfId="3050" xr:uid="{00000000-0005-0000-0000-000066230000}"/>
    <cellStyle name="Normal 4 12 20 2 2" xfId="6124" xr:uid="{00000000-0005-0000-0000-000067230000}"/>
    <cellStyle name="Normal 4 12 20 3" xfId="4594" xr:uid="{00000000-0005-0000-0000-000068230000}"/>
    <cellStyle name="Normal 4 12 21" xfId="1041" xr:uid="{00000000-0005-0000-0000-000069230000}"/>
    <cellStyle name="Normal 4 12 21 2" xfId="3051" xr:uid="{00000000-0005-0000-0000-00006A230000}"/>
    <cellStyle name="Normal 4 12 21 2 2" xfId="6125" xr:uid="{00000000-0005-0000-0000-00006B230000}"/>
    <cellStyle name="Normal 4 12 21 3" xfId="4595" xr:uid="{00000000-0005-0000-0000-00006C230000}"/>
    <cellStyle name="Normal 4 12 22" xfId="1042" xr:uid="{00000000-0005-0000-0000-00006D230000}"/>
    <cellStyle name="Normal 4 12 22 2" xfId="3052" xr:uid="{00000000-0005-0000-0000-00006E230000}"/>
    <cellStyle name="Normal 4 12 22 2 2" xfId="6126" xr:uid="{00000000-0005-0000-0000-00006F230000}"/>
    <cellStyle name="Normal 4 12 22 3" xfId="4596" xr:uid="{00000000-0005-0000-0000-000070230000}"/>
    <cellStyle name="Normal 4 12 23" xfId="1043" xr:uid="{00000000-0005-0000-0000-000071230000}"/>
    <cellStyle name="Normal 4 12 23 2" xfId="3053" xr:uid="{00000000-0005-0000-0000-000072230000}"/>
    <cellStyle name="Normal 4 12 23 2 2" xfId="6127" xr:uid="{00000000-0005-0000-0000-000073230000}"/>
    <cellStyle name="Normal 4 12 23 3" xfId="4597" xr:uid="{00000000-0005-0000-0000-000074230000}"/>
    <cellStyle name="Normal 4 12 24" xfId="1044" xr:uid="{00000000-0005-0000-0000-000075230000}"/>
    <cellStyle name="Normal 4 12 24 2" xfId="3054" xr:uid="{00000000-0005-0000-0000-000076230000}"/>
    <cellStyle name="Normal 4 12 24 2 2" xfId="6128" xr:uid="{00000000-0005-0000-0000-000077230000}"/>
    <cellStyle name="Normal 4 12 24 3" xfId="4598" xr:uid="{00000000-0005-0000-0000-000078230000}"/>
    <cellStyle name="Normal 4 12 25" xfId="1045" xr:uid="{00000000-0005-0000-0000-000079230000}"/>
    <cellStyle name="Normal 4 12 25 2" xfId="3055" xr:uid="{00000000-0005-0000-0000-00007A230000}"/>
    <cellStyle name="Normal 4 12 25 2 2" xfId="6129" xr:uid="{00000000-0005-0000-0000-00007B230000}"/>
    <cellStyle name="Normal 4 12 25 3" xfId="4599" xr:uid="{00000000-0005-0000-0000-00007C230000}"/>
    <cellStyle name="Normal 4 12 26" xfId="1046" xr:uid="{00000000-0005-0000-0000-00007D230000}"/>
    <cellStyle name="Normal 4 12 26 2" xfId="3056" xr:uid="{00000000-0005-0000-0000-00007E230000}"/>
    <cellStyle name="Normal 4 12 26 2 2" xfId="6130" xr:uid="{00000000-0005-0000-0000-00007F230000}"/>
    <cellStyle name="Normal 4 12 26 3" xfId="4600" xr:uid="{00000000-0005-0000-0000-000080230000}"/>
    <cellStyle name="Normal 4 12 27" xfId="1047" xr:uid="{00000000-0005-0000-0000-000081230000}"/>
    <cellStyle name="Normal 4 12 27 2" xfId="3057" xr:uid="{00000000-0005-0000-0000-000082230000}"/>
    <cellStyle name="Normal 4 12 27 2 2" xfId="6131" xr:uid="{00000000-0005-0000-0000-000083230000}"/>
    <cellStyle name="Normal 4 12 27 3" xfId="4601" xr:uid="{00000000-0005-0000-0000-000084230000}"/>
    <cellStyle name="Normal 4 12 28" xfId="1048" xr:uid="{00000000-0005-0000-0000-000085230000}"/>
    <cellStyle name="Normal 4 12 28 2" xfId="3058" xr:uid="{00000000-0005-0000-0000-000086230000}"/>
    <cellStyle name="Normal 4 12 28 2 2" xfId="6132" xr:uid="{00000000-0005-0000-0000-000087230000}"/>
    <cellStyle name="Normal 4 12 28 3" xfId="4602" xr:uid="{00000000-0005-0000-0000-000088230000}"/>
    <cellStyle name="Normal 4 12 29" xfId="1049" xr:uid="{00000000-0005-0000-0000-000089230000}"/>
    <cellStyle name="Normal 4 12 29 2" xfId="3059" xr:uid="{00000000-0005-0000-0000-00008A230000}"/>
    <cellStyle name="Normal 4 12 29 2 2" xfId="6133" xr:uid="{00000000-0005-0000-0000-00008B230000}"/>
    <cellStyle name="Normal 4 12 29 3" xfId="4603" xr:uid="{00000000-0005-0000-0000-00008C230000}"/>
    <cellStyle name="Normal 4 12 3" xfId="1050" xr:uid="{00000000-0005-0000-0000-00008D230000}"/>
    <cellStyle name="Normal 4 12 3 2" xfId="3060" xr:uid="{00000000-0005-0000-0000-00008E230000}"/>
    <cellStyle name="Normal 4 12 3 2 2" xfId="6134" xr:uid="{00000000-0005-0000-0000-00008F230000}"/>
    <cellStyle name="Normal 4 12 3 3" xfId="4604" xr:uid="{00000000-0005-0000-0000-000090230000}"/>
    <cellStyle name="Normal 4 12 30" xfId="1051" xr:uid="{00000000-0005-0000-0000-000091230000}"/>
    <cellStyle name="Normal 4 12 30 2" xfId="3061" xr:uid="{00000000-0005-0000-0000-000092230000}"/>
    <cellStyle name="Normal 4 12 30 2 2" xfId="6135" xr:uid="{00000000-0005-0000-0000-000093230000}"/>
    <cellStyle name="Normal 4 12 30 3" xfId="4605" xr:uid="{00000000-0005-0000-0000-000094230000}"/>
    <cellStyle name="Normal 4 12 31" xfId="1052" xr:uid="{00000000-0005-0000-0000-000095230000}"/>
    <cellStyle name="Normal 4 12 31 2" xfId="3062" xr:uid="{00000000-0005-0000-0000-000096230000}"/>
    <cellStyle name="Normal 4 12 31 2 2" xfId="6136" xr:uid="{00000000-0005-0000-0000-000097230000}"/>
    <cellStyle name="Normal 4 12 31 3" xfId="4606" xr:uid="{00000000-0005-0000-0000-000098230000}"/>
    <cellStyle name="Normal 4 12 32" xfId="1053" xr:uid="{00000000-0005-0000-0000-000099230000}"/>
    <cellStyle name="Normal 4 12 32 2" xfId="3063" xr:uid="{00000000-0005-0000-0000-00009A230000}"/>
    <cellStyle name="Normal 4 12 32 2 2" xfId="6137" xr:uid="{00000000-0005-0000-0000-00009B230000}"/>
    <cellStyle name="Normal 4 12 32 3" xfId="4607" xr:uid="{00000000-0005-0000-0000-00009C230000}"/>
    <cellStyle name="Normal 4 12 33" xfId="1054" xr:uid="{00000000-0005-0000-0000-00009D230000}"/>
    <cellStyle name="Normal 4 12 33 2" xfId="3064" xr:uid="{00000000-0005-0000-0000-00009E230000}"/>
    <cellStyle name="Normal 4 12 33 2 2" xfId="6138" xr:uid="{00000000-0005-0000-0000-00009F230000}"/>
    <cellStyle name="Normal 4 12 33 3" xfId="4608" xr:uid="{00000000-0005-0000-0000-0000A0230000}"/>
    <cellStyle name="Normal 4 12 34" xfId="1055" xr:uid="{00000000-0005-0000-0000-0000A1230000}"/>
    <cellStyle name="Normal 4 12 34 2" xfId="3065" xr:uid="{00000000-0005-0000-0000-0000A2230000}"/>
    <cellStyle name="Normal 4 12 34 2 2" xfId="6139" xr:uid="{00000000-0005-0000-0000-0000A3230000}"/>
    <cellStyle name="Normal 4 12 34 3" xfId="4609" xr:uid="{00000000-0005-0000-0000-0000A4230000}"/>
    <cellStyle name="Normal 4 12 35" xfId="1056" xr:uid="{00000000-0005-0000-0000-0000A5230000}"/>
    <cellStyle name="Normal 4 12 35 2" xfId="3066" xr:uid="{00000000-0005-0000-0000-0000A6230000}"/>
    <cellStyle name="Normal 4 12 35 2 2" xfId="6140" xr:uid="{00000000-0005-0000-0000-0000A7230000}"/>
    <cellStyle name="Normal 4 12 35 3" xfId="4610" xr:uid="{00000000-0005-0000-0000-0000A8230000}"/>
    <cellStyle name="Normal 4 12 36" xfId="1057" xr:uid="{00000000-0005-0000-0000-0000A9230000}"/>
    <cellStyle name="Normal 4 12 36 2" xfId="3067" xr:uid="{00000000-0005-0000-0000-0000AA230000}"/>
    <cellStyle name="Normal 4 12 36 2 2" xfId="6141" xr:uid="{00000000-0005-0000-0000-0000AB230000}"/>
    <cellStyle name="Normal 4 12 36 3" xfId="4611" xr:uid="{00000000-0005-0000-0000-0000AC230000}"/>
    <cellStyle name="Normal 4 12 37" xfId="1058" xr:uid="{00000000-0005-0000-0000-0000AD230000}"/>
    <cellStyle name="Normal 4 12 37 2" xfId="3068" xr:uid="{00000000-0005-0000-0000-0000AE230000}"/>
    <cellStyle name="Normal 4 12 37 2 2" xfId="6142" xr:uid="{00000000-0005-0000-0000-0000AF230000}"/>
    <cellStyle name="Normal 4 12 37 3" xfId="4612" xr:uid="{00000000-0005-0000-0000-0000B0230000}"/>
    <cellStyle name="Normal 4 12 38" xfId="1059" xr:uid="{00000000-0005-0000-0000-0000B1230000}"/>
    <cellStyle name="Normal 4 12 38 2" xfId="3069" xr:uid="{00000000-0005-0000-0000-0000B2230000}"/>
    <cellStyle name="Normal 4 12 38 2 2" xfId="6143" xr:uid="{00000000-0005-0000-0000-0000B3230000}"/>
    <cellStyle name="Normal 4 12 38 3" xfId="4613" xr:uid="{00000000-0005-0000-0000-0000B4230000}"/>
    <cellStyle name="Normal 4 12 39" xfId="1060" xr:uid="{00000000-0005-0000-0000-0000B5230000}"/>
    <cellStyle name="Normal 4 12 39 2" xfId="3070" xr:uid="{00000000-0005-0000-0000-0000B6230000}"/>
    <cellStyle name="Normal 4 12 39 2 2" xfId="6144" xr:uid="{00000000-0005-0000-0000-0000B7230000}"/>
    <cellStyle name="Normal 4 12 39 3" xfId="4614" xr:uid="{00000000-0005-0000-0000-0000B8230000}"/>
    <cellStyle name="Normal 4 12 4" xfId="1061" xr:uid="{00000000-0005-0000-0000-0000B9230000}"/>
    <cellStyle name="Normal 4 12 4 2" xfId="3071" xr:uid="{00000000-0005-0000-0000-0000BA230000}"/>
    <cellStyle name="Normal 4 12 4 2 2" xfId="6145" xr:uid="{00000000-0005-0000-0000-0000BB230000}"/>
    <cellStyle name="Normal 4 12 4 3" xfId="4615" xr:uid="{00000000-0005-0000-0000-0000BC230000}"/>
    <cellStyle name="Normal 4 12 40" xfId="1062" xr:uid="{00000000-0005-0000-0000-0000BD230000}"/>
    <cellStyle name="Normal 4 12 40 2" xfId="3072" xr:uid="{00000000-0005-0000-0000-0000BE230000}"/>
    <cellStyle name="Normal 4 12 40 2 2" xfId="6146" xr:uid="{00000000-0005-0000-0000-0000BF230000}"/>
    <cellStyle name="Normal 4 12 40 3" xfId="4616" xr:uid="{00000000-0005-0000-0000-0000C0230000}"/>
    <cellStyle name="Normal 4 12 41" xfId="1063" xr:uid="{00000000-0005-0000-0000-0000C1230000}"/>
    <cellStyle name="Normal 4 12 41 2" xfId="3073" xr:uid="{00000000-0005-0000-0000-0000C2230000}"/>
    <cellStyle name="Normal 4 12 41 2 2" xfId="6147" xr:uid="{00000000-0005-0000-0000-0000C3230000}"/>
    <cellStyle name="Normal 4 12 41 3" xfId="4617" xr:uid="{00000000-0005-0000-0000-0000C4230000}"/>
    <cellStyle name="Normal 4 12 42" xfId="1064" xr:uid="{00000000-0005-0000-0000-0000C5230000}"/>
    <cellStyle name="Normal 4 12 42 2" xfId="3074" xr:uid="{00000000-0005-0000-0000-0000C6230000}"/>
    <cellStyle name="Normal 4 12 42 2 2" xfId="6148" xr:uid="{00000000-0005-0000-0000-0000C7230000}"/>
    <cellStyle name="Normal 4 12 42 3" xfId="4618" xr:uid="{00000000-0005-0000-0000-0000C8230000}"/>
    <cellStyle name="Normal 4 12 43" xfId="1065" xr:uid="{00000000-0005-0000-0000-0000C9230000}"/>
    <cellStyle name="Normal 4 12 43 2" xfId="3075" xr:uid="{00000000-0005-0000-0000-0000CA230000}"/>
    <cellStyle name="Normal 4 12 43 2 2" xfId="6149" xr:uid="{00000000-0005-0000-0000-0000CB230000}"/>
    <cellStyle name="Normal 4 12 43 3" xfId="4619" xr:uid="{00000000-0005-0000-0000-0000CC230000}"/>
    <cellStyle name="Normal 4 12 44" xfId="3038" xr:uid="{00000000-0005-0000-0000-0000CD230000}"/>
    <cellStyle name="Normal 4 12 44 2" xfId="6112" xr:uid="{00000000-0005-0000-0000-0000CE230000}"/>
    <cellStyle name="Normal 4 12 45" xfId="4582" xr:uid="{00000000-0005-0000-0000-0000CF230000}"/>
    <cellStyle name="Normal 4 12 5" xfId="1066" xr:uid="{00000000-0005-0000-0000-0000D0230000}"/>
    <cellStyle name="Normal 4 12 5 2" xfId="3076" xr:uid="{00000000-0005-0000-0000-0000D1230000}"/>
    <cellStyle name="Normal 4 12 5 2 2" xfId="6150" xr:uid="{00000000-0005-0000-0000-0000D2230000}"/>
    <cellStyle name="Normal 4 12 5 3" xfId="4620" xr:uid="{00000000-0005-0000-0000-0000D3230000}"/>
    <cellStyle name="Normal 4 12 6" xfId="1067" xr:uid="{00000000-0005-0000-0000-0000D4230000}"/>
    <cellStyle name="Normal 4 12 6 2" xfId="3077" xr:uid="{00000000-0005-0000-0000-0000D5230000}"/>
    <cellStyle name="Normal 4 12 6 2 2" xfId="6151" xr:uid="{00000000-0005-0000-0000-0000D6230000}"/>
    <cellStyle name="Normal 4 12 6 3" xfId="4621" xr:uid="{00000000-0005-0000-0000-0000D7230000}"/>
    <cellStyle name="Normal 4 12 7" xfId="1068" xr:uid="{00000000-0005-0000-0000-0000D8230000}"/>
    <cellStyle name="Normal 4 12 7 2" xfId="3078" xr:uid="{00000000-0005-0000-0000-0000D9230000}"/>
    <cellStyle name="Normal 4 12 7 2 2" xfId="6152" xr:uid="{00000000-0005-0000-0000-0000DA230000}"/>
    <cellStyle name="Normal 4 12 7 3" xfId="4622" xr:uid="{00000000-0005-0000-0000-0000DB230000}"/>
    <cellStyle name="Normal 4 12 8" xfId="1069" xr:uid="{00000000-0005-0000-0000-0000DC230000}"/>
    <cellStyle name="Normal 4 12 8 2" xfId="3079" xr:uid="{00000000-0005-0000-0000-0000DD230000}"/>
    <cellStyle name="Normal 4 12 8 2 2" xfId="6153" xr:uid="{00000000-0005-0000-0000-0000DE230000}"/>
    <cellStyle name="Normal 4 12 8 3" xfId="4623" xr:uid="{00000000-0005-0000-0000-0000DF230000}"/>
    <cellStyle name="Normal 4 12 9" xfId="1070" xr:uid="{00000000-0005-0000-0000-0000E0230000}"/>
    <cellStyle name="Normal 4 12 9 2" xfId="3080" xr:uid="{00000000-0005-0000-0000-0000E1230000}"/>
    <cellStyle name="Normal 4 12 9 2 2" xfId="6154" xr:uid="{00000000-0005-0000-0000-0000E2230000}"/>
    <cellStyle name="Normal 4 12 9 3" xfId="4624" xr:uid="{00000000-0005-0000-0000-0000E3230000}"/>
    <cellStyle name="Normal 4 13" xfId="1071" xr:uid="{00000000-0005-0000-0000-0000E4230000}"/>
    <cellStyle name="Normal 4 13 10" xfId="1072" xr:uid="{00000000-0005-0000-0000-0000E5230000}"/>
    <cellStyle name="Normal 4 13 10 2" xfId="3082" xr:uid="{00000000-0005-0000-0000-0000E6230000}"/>
    <cellStyle name="Normal 4 13 10 2 2" xfId="6156" xr:uid="{00000000-0005-0000-0000-0000E7230000}"/>
    <cellStyle name="Normal 4 13 10 3" xfId="4626" xr:uid="{00000000-0005-0000-0000-0000E8230000}"/>
    <cellStyle name="Normal 4 13 11" xfId="1073" xr:uid="{00000000-0005-0000-0000-0000E9230000}"/>
    <cellStyle name="Normal 4 13 11 2" xfId="3083" xr:uid="{00000000-0005-0000-0000-0000EA230000}"/>
    <cellStyle name="Normal 4 13 11 2 2" xfId="6157" xr:uid="{00000000-0005-0000-0000-0000EB230000}"/>
    <cellStyle name="Normal 4 13 11 3" xfId="4627" xr:uid="{00000000-0005-0000-0000-0000EC230000}"/>
    <cellStyle name="Normal 4 13 12" xfId="1074" xr:uid="{00000000-0005-0000-0000-0000ED230000}"/>
    <cellStyle name="Normal 4 13 12 2" xfId="3084" xr:uid="{00000000-0005-0000-0000-0000EE230000}"/>
    <cellStyle name="Normal 4 13 12 2 2" xfId="6158" xr:uid="{00000000-0005-0000-0000-0000EF230000}"/>
    <cellStyle name="Normal 4 13 12 3" xfId="4628" xr:uid="{00000000-0005-0000-0000-0000F0230000}"/>
    <cellStyle name="Normal 4 13 13" xfId="1075" xr:uid="{00000000-0005-0000-0000-0000F1230000}"/>
    <cellStyle name="Normal 4 13 13 2" xfId="3085" xr:uid="{00000000-0005-0000-0000-0000F2230000}"/>
    <cellStyle name="Normal 4 13 13 2 2" xfId="6159" xr:uid="{00000000-0005-0000-0000-0000F3230000}"/>
    <cellStyle name="Normal 4 13 13 3" xfId="4629" xr:uid="{00000000-0005-0000-0000-0000F4230000}"/>
    <cellStyle name="Normal 4 13 14" xfId="1076" xr:uid="{00000000-0005-0000-0000-0000F5230000}"/>
    <cellStyle name="Normal 4 13 14 2" xfId="3086" xr:uid="{00000000-0005-0000-0000-0000F6230000}"/>
    <cellStyle name="Normal 4 13 14 2 2" xfId="6160" xr:uid="{00000000-0005-0000-0000-0000F7230000}"/>
    <cellStyle name="Normal 4 13 14 3" xfId="4630" xr:uid="{00000000-0005-0000-0000-0000F8230000}"/>
    <cellStyle name="Normal 4 13 15" xfId="1077" xr:uid="{00000000-0005-0000-0000-0000F9230000}"/>
    <cellStyle name="Normal 4 13 15 2" xfId="3087" xr:uid="{00000000-0005-0000-0000-0000FA230000}"/>
    <cellStyle name="Normal 4 13 15 2 2" xfId="6161" xr:uid="{00000000-0005-0000-0000-0000FB230000}"/>
    <cellStyle name="Normal 4 13 15 3" xfId="4631" xr:uid="{00000000-0005-0000-0000-0000FC230000}"/>
    <cellStyle name="Normal 4 13 16" xfId="1078" xr:uid="{00000000-0005-0000-0000-0000FD230000}"/>
    <cellStyle name="Normal 4 13 16 2" xfId="3088" xr:uid="{00000000-0005-0000-0000-0000FE230000}"/>
    <cellStyle name="Normal 4 13 16 2 2" xfId="6162" xr:uid="{00000000-0005-0000-0000-0000FF230000}"/>
    <cellStyle name="Normal 4 13 16 3" xfId="4632" xr:uid="{00000000-0005-0000-0000-000000240000}"/>
    <cellStyle name="Normal 4 13 17" xfId="1079" xr:uid="{00000000-0005-0000-0000-000001240000}"/>
    <cellStyle name="Normal 4 13 17 2" xfId="3089" xr:uid="{00000000-0005-0000-0000-000002240000}"/>
    <cellStyle name="Normal 4 13 17 2 2" xfId="6163" xr:uid="{00000000-0005-0000-0000-000003240000}"/>
    <cellStyle name="Normal 4 13 17 3" xfId="4633" xr:uid="{00000000-0005-0000-0000-000004240000}"/>
    <cellStyle name="Normal 4 13 18" xfId="1080" xr:uid="{00000000-0005-0000-0000-000005240000}"/>
    <cellStyle name="Normal 4 13 18 2" xfId="3090" xr:uid="{00000000-0005-0000-0000-000006240000}"/>
    <cellStyle name="Normal 4 13 18 2 2" xfId="6164" xr:uid="{00000000-0005-0000-0000-000007240000}"/>
    <cellStyle name="Normal 4 13 18 3" xfId="4634" xr:uid="{00000000-0005-0000-0000-000008240000}"/>
    <cellStyle name="Normal 4 13 19" xfId="1081" xr:uid="{00000000-0005-0000-0000-000009240000}"/>
    <cellStyle name="Normal 4 13 19 2" xfId="3091" xr:uid="{00000000-0005-0000-0000-00000A240000}"/>
    <cellStyle name="Normal 4 13 19 2 2" xfId="6165" xr:uid="{00000000-0005-0000-0000-00000B240000}"/>
    <cellStyle name="Normal 4 13 19 3" xfId="4635" xr:uid="{00000000-0005-0000-0000-00000C240000}"/>
    <cellStyle name="Normal 4 13 2" xfId="1082" xr:uid="{00000000-0005-0000-0000-00000D240000}"/>
    <cellStyle name="Normal 4 13 2 2" xfId="3092" xr:uid="{00000000-0005-0000-0000-00000E240000}"/>
    <cellStyle name="Normal 4 13 2 2 2" xfId="6166" xr:uid="{00000000-0005-0000-0000-00000F240000}"/>
    <cellStyle name="Normal 4 13 2 3" xfId="4636" xr:uid="{00000000-0005-0000-0000-000010240000}"/>
    <cellStyle name="Normal 4 13 20" xfId="1083" xr:uid="{00000000-0005-0000-0000-000011240000}"/>
    <cellStyle name="Normal 4 13 20 2" xfId="3093" xr:uid="{00000000-0005-0000-0000-000012240000}"/>
    <cellStyle name="Normal 4 13 20 2 2" xfId="6167" xr:uid="{00000000-0005-0000-0000-000013240000}"/>
    <cellStyle name="Normal 4 13 20 3" xfId="4637" xr:uid="{00000000-0005-0000-0000-000014240000}"/>
    <cellStyle name="Normal 4 13 21" xfId="1084" xr:uid="{00000000-0005-0000-0000-000015240000}"/>
    <cellStyle name="Normal 4 13 21 2" xfId="3094" xr:uid="{00000000-0005-0000-0000-000016240000}"/>
    <cellStyle name="Normal 4 13 21 2 2" xfId="6168" xr:uid="{00000000-0005-0000-0000-000017240000}"/>
    <cellStyle name="Normal 4 13 21 3" xfId="4638" xr:uid="{00000000-0005-0000-0000-000018240000}"/>
    <cellStyle name="Normal 4 13 22" xfId="1085" xr:uid="{00000000-0005-0000-0000-000019240000}"/>
    <cellStyle name="Normal 4 13 22 2" xfId="3095" xr:uid="{00000000-0005-0000-0000-00001A240000}"/>
    <cellStyle name="Normal 4 13 22 2 2" xfId="6169" xr:uid="{00000000-0005-0000-0000-00001B240000}"/>
    <cellStyle name="Normal 4 13 22 3" xfId="4639" xr:uid="{00000000-0005-0000-0000-00001C240000}"/>
    <cellStyle name="Normal 4 13 23" xfId="1086" xr:uid="{00000000-0005-0000-0000-00001D240000}"/>
    <cellStyle name="Normal 4 13 23 2" xfId="3096" xr:uid="{00000000-0005-0000-0000-00001E240000}"/>
    <cellStyle name="Normal 4 13 23 2 2" xfId="6170" xr:uid="{00000000-0005-0000-0000-00001F240000}"/>
    <cellStyle name="Normal 4 13 23 3" xfId="4640" xr:uid="{00000000-0005-0000-0000-000020240000}"/>
    <cellStyle name="Normal 4 13 24" xfId="1087" xr:uid="{00000000-0005-0000-0000-000021240000}"/>
    <cellStyle name="Normal 4 13 24 2" xfId="3097" xr:uid="{00000000-0005-0000-0000-000022240000}"/>
    <cellStyle name="Normal 4 13 24 2 2" xfId="6171" xr:uid="{00000000-0005-0000-0000-000023240000}"/>
    <cellStyle name="Normal 4 13 24 3" xfId="4641" xr:uid="{00000000-0005-0000-0000-000024240000}"/>
    <cellStyle name="Normal 4 13 25" xfId="1088" xr:uid="{00000000-0005-0000-0000-000025240000}"/>
    <cellStyle name="Normal 4 13 25 2" xfId="3098" xr:uid="{00000000-0005-0000-0000-000026240000}"/>
    <cellStyle name="Normal 4 13 25 2 2" xfId="6172" xr:uid="{00000000-0005-0000-0000-000027240000}"/>
    <cellStyle name="Normal 4 13 25 3" xfId="4642" xr:uid="{00000000-0005-0000-0000-000028240000}"/>
    <cellStyle name="Normal 4 13 26" xfId="1089" xr:uid="{00000000-0005-0000-0000-000029240000}"/>
    <cellStyle name="Normal 4 13 26 2" xfId="3099" xr:uid="{00000000-0005-0000-0000-00002A240000}"/>
    <cellStyle name="Normal 4 13 26 2 2" xfId="6173" xr:uid="{00000000-0005-0000-0000-00002B240000}"/>
    <cellStyle name="Normal 4 13 26 3" xfId="4643" xr:uid="{00000000-0005-0000-0000-00002C240000}"/>
    <cellStyle name="Normal 4 13 27" xfId="1090" xr:uid="{00000000-0005-0000-0000-00002D240000}"/>
    <cellStyle name="Normal 4 13 27 2" xfId="3100" xr:uid="{00000000-0005-0000-0000-00002E240000}"/>
    <cellStyle name="Normal 4 13 27 2 2" xfId="6174" xr:uid="{00000000-0005-0000-0000-00002F240000}"/>
    <cellStyle name="Normal 4 13 27 3" xfId="4644" xr:uid="{00000000-0005-0000-0000-000030240000}"/>
    <cellStyle name="Normal 4 13 28" xfId="1091" xr:uid="{00000000-0005-0000-0000-000031240000}"/>
    <cellStyle name="Normal 4 13 28 2" xfId="3101" xr:uid="{00000000-0005-0000-0000-000032240000}"/>
    <cellStyle name="Normal 4 13 28 2 2" xfId="6175" xr:uid="{00000000-0005-0000-0000-000033240000}"/>
    <cellStyle name="Normal 4 13 28 3" xfId="4645" xr:uid="{00000000-0005-0000-0000-000034240000}"/>
    <cellStyle name="Normal 4 13 29" xfId="1092" xr:uid="{00000000-0005-0000-0000-000035240000}"/>
    <cellStyle name="Normal 4 13 29 2" xfId="3102" xr:uid="{00000000-0005-0000-0000-000036240000}"/>
    <cellStyle name="Normal 4 13 29 2 2" xfId="6176" xr:uid="{00000000-0005-0000-0000-000037240000}"/>
    <cellStyle name="Normal 4 13 29 3" xfId="4646" xr:uid="{00000000-0005-0000-0000-000038240000}"/>
    <cellStyle name="Normal 4 13 3" xfId="1093" xr:uid="{00000000-0005-0000-0000-000039240000}"/>
    <cellStyle name="Normal 4 13 3 2" xfId="3103" xr:uid="{00000000-0005-0000-0000-00003A240000}"/>
    <cellStyle name="Normal 4 13 3 2 2" xfId="6177" xr:uid="{00000000-0005-0000-0000-00003B240000}"/>
    <cellStyle name="Normal 4 13 3 3" xfId="4647" xr:uid="{00000000-0005-0000-0000-00003C240000}"/>
    <cellStyle name="Normal 4 13 30" xfId="1094" xr:uid="{00000000-0005-0000-0000-00003D240000}"/>
    <cellStyle name="Normal 4 13 30 2" xfId="3104" xr:uid="{00000000-0005-0000-0000-00003E240000}"/>
    <cellStyle name="Normal 4 13 30 2 2" xfId="6178" xr:uid="{00000000-0005-0000-0000-00003F240000}"/>
    <cellStyle name="Normal 4 13 30 3" xfId="4648" xr:uid="{00000000-0005-0000-0000-000040240000}"/>
    <cellStyle name="Normal 4 13 31" xfId="1095" xr:uid="{00000000-0005-0000-0000-000041240000}"/>
    <cellStyle name="Normal 4 13 31 2" xfId="3105" xr:uid="{00000000-0005-0000-0000-000042240000}"/>
    <cellStyle name="Normal 4 13 31 2 2" xfId="6179" xr:uid="{00000000-0005-0000-0000-000043240000}"/>
    <cellStyle name="Normal 4 13 31 3" xfId="4649" xr:uid="{00000000-0005-0000-0000-000044240000}"/>
    <cellStyle name="Normal 4 13 32" xfId="1096" xr:uid="{00000000-0005-0000-0000-000045240000}"/>
    <cellStyle name="Normal 4 13 32 2" xfId="3106" xr:uid="{00000000-0005-0000-0000-000046240000}"/>
    <cellStyle name="Normal 4 13 32 2 2" xfId="6180" xr:uid="{00000000-0005-0000-0000-000047240000}"/>
    <cellStyle name="Normal 4 13 32 3" xfId="4650" xr:uid="{00000000-0005-0000-0000-000048240000}"/>
    <cellStyle name="Normal 4 13 33" xfId="1097" xr:uid="{00000000-0005-0000-0000-000049240000}"/>
    <cellStyle name="Normal 4 13 33 2" xfId="3107" xr:uid="{00000000-0005-0000-0000-00004A240000}"/>
    <cellStyle name="Normal 4 13 33 2 2" xfId="6181" xr:uid="{00000000-0005-0000-0000-00004B240000}"/>
    <cellStyle name="Normal 4 13 33 3" xfId="4651" xr:uid="{00000000-0005-0000-0000-00004C240000}"/>
    <cellStyle name="Normal 4 13 34" xfId="1098" xr:uid="{00000000-0005-0000-0000-00004D240000}"/>
    <cellStyle name="Normal 4 13 34 2" xfId="3108" xr:uid="{00000000-0005-0000-0000-00004E240000}"/>
    <cellStyle name="Normal 4 13 34 2 2" xfId="6182" xr:uid="{00000000-0005-0000-0000-00004F240000}"/>
    <cellStyle name="Normal 4 13 34 3" xfId="4652" xr:uid="{00000000-0005-0000-0000-000050240000}"/>
    <cellStyle name="Normal 4 13 35" xfId="1099" xr:uid="{00000000-0005-0000-0000-000051240000}"/>
    <cellStyle name="Normal 4 13 35 2" xfId="3109" xr:uid="{00000000-0005-0000-0000-000052240000}"/>
    <cellStyle name="Normal 4 13 35 2 2" xfId="6183" xr:uid="{00000000-0005-0000-0000-000053240000}"/>
    <cellStyle name="Normal 4 13 35 3" xfId="4653" xr:uid="{00000000-0005-0000-0000-000054240000}"/>
    <cellStyle name="Normal 4 13 36" xfId="1100" xr:uid="{00000000-0005-0000-0000-000055240000}"/>
    <cellStyle name="Normal 4 13 36 2" xfId="3110" xr:uid="{00000000-0005-0000-0000-000056240000}"/>
    <cellStyle name="Normal 4 13 36 2 2" xfId="6184" xr:uid="{00000000-0005-0000-0000-000057240000}"/>
    <cellStyle name="Normal 4 13 36 3" xfId="4654" xr:uid="{00000000-0005-0000-0000-000058240000}"/>
    <cellStyle name="Normal 4 13 37" xfId="1101" xr:uid="{00000000-0005-0000-0000-000059240000}"/>
    <cellStyle name="Normal 4 13 37 2" xfId="3111" xr:uid="{00000000-0005-0000-0000-00005A240000}"/>
    <cellStyle name="Normal 4 13 37 2 2" xfId="6185" xr:uid="{00000000-0005-0000-0000-00005B240000}"/>
    <cellStyle name="Normal 4 13 37 3" xfId="4655" xr:uid="{00000000-0005-0000-0000-00005C240000}"/>
    <cellStyle name="Normal 4 13 38" xfId="1102" xr:uid="{00000000-0005-0000-0000-00005D240000}"/>
    <cellStyle name="Normal 4 13 38 2" xfId="3112" xr:uid="{00000000-0005-0000-0000-00005E240000}"/>
    <cellStyle name="Normal 4 13 38 2 2" xfId="6186" xr:uid="{00000000-0005-0000-0000-00005F240000}"/>
    <cellStyle name="Normal 4 13 38 3" xfId="4656" xr:uid="{00000000-0005-0000-0000-000060240000}"/>
    <cellStyle name="Normal 4 13 39" xfId="1103" xr:uid="{00000000-0005-0000-0000-000061240000}"/>
    <cellStyle name="Normal 4 13 39 2" xfId="3113" xr:uid="{00000000-0005-0000-0000-000062240000}"/>
    <cellStyle name="Normal 4 13 39 2 2" xfId="6187" xr:uid="{00000000-0005-0000-0000-000063240000}"/>
    <cellStyle name="Normal 4 13 39 3" xfId="4657" xr:uid="{00000000-0005-0000-0000-000064240000}"/>
    <cellStyle name="Normal 4 13 4" xfId="1104" xr:uid="{00000000-0005-0000-0000-000065240000}"/>
    <cellStyle name="Normal 4 13 4 2" xfId="3114" xr:uid="{00000000-0005-0000-0000-000066240000}"/>
    <cellStyle name="Normal 4 13 4 2 2" xfId="6188" xr:uid="{00000000-0005-0000-0000-000067240000}"/>
    <cellStyle name="Normal 4 13 4 3" xfId="4658" xr:uid="{00000000-0005-0000-0000-000068240000}"/>
    <cellStyle name="Normal 4 13 40" xfId="1105" xr:uid="{00000000-0005-0000-0000-000069240000}"/>
    <cellStyle name="Normal 4 13 40 2" xfId="3115" xr:uid="{00000000-0005-0000-0000-00006A240000}"/>
    <cellStyle name="Normal 4 13 40 2 2" xfId="6189" xr:uid="{00000000-0005-0000-0000-00006B240000}"/>
    <cellStyle name="Normal 4 13 40 3" xfId="4659" xr:uid="{00000000-0005-0000-0000-00006C240000}"/>
    <cellStyle name="Normal 4 13 41" xfId="1106" xr:uid="{00000000-0005-0000-0000-00006D240000}"/>
    <cellStyle name="Normal 4 13 41 2" xfId="3116" xr:uid="{00000000-0005-0000-0000-00006E240000}"/>
    <cellStyle name="Normal 4 13 41 2 2" xfId="6190" xr:uid="{00000000-0005-0000-0000-00006F240000}"/>
    <cellStyle name="Normal 4 13 41 3" xfId="4660" xr:uid="{00000000-0005-0000-0000-000070240000}"/>
    <cellStyle name="Normal 4 13 42" xfId="1107" xr:uid="{00000000-0005-0000-0000-000071240000}"/>
    <cellStyle name="Normal 4 13 42 2" xfId="3117" xr:uid="{00000000-0005-0000-0000-000072240000}"/>
    <cellStyle name="Normal 4 13 42 2 2" xfId="6191" xr:uid="{00000000-0005-0000-0000-000073240000}"/>
    <cellStyle name="Normal 4 13 42 3" xfId="4661" xr:uid="{00000000-0005-0000-0000-000074240000}"/>
    <cellStyle name="Normal 4 13 43" xfId="1108" xr:uid="{00000000-0005-0000-0000-000075240000}"/>
    <cellStyle name="Normal 4 13 43 2" xfId="3118" xr:uid="{00000000-0005-0000-0000-000076240000}"/>
    <cellStyle name="Normal 4 13 43 2 2" xfId="6192" xr:uid="{00000000-0005-0000-0000-000077240000}"/>
    <cellStyle name="Normal 4 13 43 3" xfId="4662" xr:uid="{00000000-0005-0000-0000-000078240000}"/>
    <cellStyle name="Normal 4 13 44" xfId="3081" xr:uid="{00000000-0005-0000-0000-000079240000}"/>
    <cellStyle name="Normal 4 13 44 2" xfId="6155" xr:uid="{00000000-0005-0000-0000-00007A240000}"/>
    <cellStyle name="Normal 4 13 45" xfId="4625" xr:uid="{00000000-0005-0000-0000-00007B240000}"/>
    <cellStyle name="Normal 4 13 5" xfId="1109" xr:uid="{00000000-0005-0000-0000-00007C240000}"/>
    <cellStyle name="Normal 4 13 5 2" xfId="3119" xr:uid="{00000000-0005-0000-0000-00007D240000}"/>
    <cellStyle name="Normal 4 13 5 2 2" xfId="6193" xr:uid="{00000000-0005-0000-0000-00007E240000}"/>
    <cellStyle name="Normal 4 13 5 3" xfId="4663" xr:uid="{00000000-0005-0000-0000-00007F240000}"/>
    <cellStyle name="Normal 4 13 6" xfId="1110" xr:uid="{00000000-0005-0000-0000-000080240000}"/>
    <cellStyle name="Normal 4 13 6 2" xfId="3120" xr:uid="{00000000-0005-0000-0000-000081240000}"/>
    <cellStyle name="Normal 4 13 6 2 2" xfId="6194" xr:uid="{00000000-0005-0000-0000-000082240000}"/>
    <cellStyle name="Normal 4 13 6 3" xfId="4664" xr:uid="{00000000-0005-0000-0000-000083240000}"/>
    <cellStyle name="Normal 4 13 7" xfId="1111" xr:uid="{00000000-0005-0000-0000-000084240000}"/>
    <cellStyle name="Normal 4 13 7 2" xfId="3121" xr:uid="{00000000-0005-0000-0000-000085240000}"/>
    <cellStyle name="Normal 4 13 7 2 2" xfId="6195" xr:uid="{00000000-0005-0000-0000-000086240000}"/>
    <cellStyle name="Normal 4 13 7 3" xfId="4665" xr:uid="{00000000-0005-0000-0000-000087240000}"/>
    <cellStyle name="Normal 4 13 8" xfId="1112" xr:uid="{00000000-0005-0000-0000-000088240000}"/>
    <cellStyle name="Normal 4 13 8 2" xfId="3122" xr:uid="{00000000-0005-0000-0000-000089240000}"/>
    <cellStyle name="Normal 4 13 8 2 2" xfId="6196" xr:uid="{00000000-0005-0000-0000-00008A240000}"/>
    <cellStyle name="Normal 4 13 8 3" xfId="4666" xr:uid="{00000000-0005-0000-0000-00008B240000}"/>
    <cellStyle name="Normal 4 13 9" xfId="1113" xr:uid="{00000000-0005-0000-0000-00008C240000}"/>
    <cellStyle name="Normal 4 13 9 2" xfId="3123" xr:uid="{00000000-0005-0000-0000-00008D240000}"/>
    <cellStyle name="Normal 4 13 9 2 2" xfId="6197" xr:uid="{00000000-0005-0000-0000-00008E240000}"/>
    <cellStyle name="Normal 4 13 9 3" xfId="4667" xr:uid="{00000000-0005-0000-0000-00008F240000}"/>
    <cellStyle name="Normal 4 14" xfId="1114" xr:uid="{00000000-0005-0000-0000-000090240000}"/>
    <cellStyle name="Normal 4 14 2" xfId="3124" xr:uid="{00000000-0005-0000-0000-000091240000}"/>
    <cellStyle name="Normal 4 14 2 2" xfId="6198" xr:uid="{00000000-0005-0000-0000-000092240000}"/>
    <cellStyle name="Normal 4 14 3" xfId="4668" xr:uid="{00000000-0005-0000-0000-000093240000}"/>
    <cellStyle name="Normal 4 15" xfId="1115" xr:uid="{00000000-0005-0000-0000-000094240000}"/>
    <cellStyle name="Normal 4 15 2" xfId="3125" xr:uid="{00000000-0005-0000-0000-000095240000}"/>
    <cellStyle name="Normal 4 15 2 2" xfId="6199" xr:uid="{00000000-0005-0000-0000-000096240000}"/>
    <cellStyle name="Normal 4 15 3" xfId="4669" xr:uid="{00000000-0005-0000-0000-000097240000}"/>
    <cellStyle name="Normal 4 16" xfId="1116" xr:uid="{00000000-0005-0000-0000-000098240000}"/>
    <cellStyle name="Normal 4 16 2" xfId="3126" xr:uid="{00000000-0005-0000-0000-000099240000}"/>
    <cellStyle name="Normal 4 16 2 2" xfId="6200" xr:uid="{00000000-0005-0000-0000-00009A240000}"/>
    <cellStyle name="Normal 4 16 3" xfId="4670" xr:uid="{00000000-0005-0000-0000-00009B240000}"/>
    <cellStyle name="Normal 4 17" xfId="1117" xr:uid="{00000000-0005-0000-0000-00009C240000}"/>
    <cellStyle name="Normal 4 17 2" xfId="3127" xr:uid="{00000000-0005-0000-0000-00009D240000}"/>
    <cellStyle name="Normal 4 17 2 2" xfId="6201" xr:uid="{00000000-0005-0000-0000-00009E240000}"/>
    <cellStyle name="Normal 4 17 3" xfId="4671" xr:uid="{00000000-0005-0000-0000-00009F240000}"/>
    <cellStyle name="Normal 4 18" xfId="1118" xr:uid="{00000000-0005-0000-0000-0000A0240000}"/>
    <cellStyle name="Normal 4 18 2" xfId="3128" xr:uid="{00000000-0005-0000-0000-0000A1240000}"/>
    <cellStyle name="Normal 4 18 2 2" xfId="6202" xr:uid="{00000000-0005-0000-0000-0000A2240000}"/>
    <cellStyle name="Normal 4 18 3" xfId="4672" xr:uid="{00000000-0005-0000-0000-0000A3240000}"/>
    <cellStyle name="Normal 4 19" xfId="1119" xr:uid="{00000000-0005-0000-0000-0000A4240000}"/>
    <cellStyle name="Normal 4 19 2" xfId="3129" xr:uid="{00000000-0005-0000-0000-0000A5240000}"/>
    <cellStyle name="Normal 4 19 2 2" xfId="6203" xr:uid="{00000000-0005-0000-0000-0000A6240000}"/>
    <cellStyle name="Normal 4 19 3" xfId="4673" xr:uid="{00000000-0005-0000-0000-0000A7240000}"/>
    <cellStyle name="Normal 4 2" xfId="1120" xr:uid="{00000000-0005-0000-0000-0000A8240000}"/>
    <cellStyle name="Normal 4 2 10" xfId="1121" xr:uid="{00000000-0005-0000-0000-0000A9240000}"/>
    <cellStyle name="Normal 4 2 10 2" xfId="3131" xr:uid="{00000000-0005-0000-0000-0000AA240000}"/>
    <cellStyle name="Normal 4 2 10 2 2" xfId="6205" xr:uid="{00000000-0005-0000-0000-0000AB240000}"/>
    <cellStyle name="Normal 4 2 10 3" xfId="4675" xr:uid="{00000000-0005-0000-0000-0000AC240000}"/>
    <cellStyle name="Normal 4 2 11" xfId="1122" xr:uid="{00000000-0005-0000-0000-0000AD240000}"/>
    <cellStyle name="Normal 4 2 11 2" xfId="3132" xr:uid="{00000000-0005-0000-0000-0000AE240000}"/>
    <cellStyle name="Normal 4 2 11 2 2" xfId="6206" xr:uid="{00000000-0005-0000-0000-0000AF240000}"/>
    <cellStyle name="Normal 4 2 11 3" xfId="4676" xr:uid="{00000000-0005-0000-0000-0000B0240000}"/>
    <cellStyle name="Normal 4 2 12" xfId="1123" xr:uid="{00000000-0005-0000-0000-0000B1240000}"/>
    <cellStyle name="Normal 4 2 12 2" xfId="3133" xr:uid="{00000000-0005-0000-0000-0000B2240000}"/>
    <cellStyle name="Normal 4 2 12 2 2" xfId="6207" xr:uid="{00000000-0005-0000-0000-0000B3240000}"/>
    <cellStyle name="Normal 4 2 12 3" xfId="4677" xr:uid="{00000000-0005-0000-0000-0000B4240000}"/>
    <cellStyle name="Normal 4 2 13" xfId="1124" xr:uid="{00000000-0005-0000-0000-0000B5240000}"/>
    <cellStyle name="Normal 4 2 13 2" xfId="3134" xr:uid="{00000000-0005-0000-0000-0000B6240000}"/>
    <cellStyle name="Normal 4 2 13 2 2" xfId="6208" xr:uid="{00000000-0005-0000-0000-0000B7240000}"/>
    <cellStyle name="Normal 4 2 13 3" xfId="4678" xr:uid="{00000000-0005-0000-0000-0000B8240000}"/>
    <cellStyle name="Normal 4 2 14" xfId="1125" xr:uid="{00000000-0005-0000-0000-0000B9240000}"/>
    <cellStyle name="Normal 4 2 14 2" xfId="3135" xr:uid="{00000000-0005-0000-0000-0000BA240000}"/>
    <cellStyle name="Normal 4 2 14 2 2" xfId="6209" xr:uid="{00000000-0005-0000-0000-0000BB240000}"/>
    <cellStyle name="Normal 4 2 14 3" xfId="4679" xr:uid="{00000000-0005-0000-0000-0000BC240000}"/>
    <cellStyle name="Normal 4 2 15" xfId="1126" xr:uid="{00000000-0005-0000-0000-0000BD240000}"/>
    <cellStyle name="Normal 4 2 15 2" xfId="3136" xr:uid="{00000000-0005-0000-0000-0000BE240000}"/>
    <cellStyle name="Normal 4 2 15 2 2" xfId="6210" xr:uid="{00000000-0005-0000-0000-0000BF240000}"/>
    <cellStyle name="Normal 4 2 15 3" xfId="4680" xr:uid="{00000000-0005-0000-0000-0000C0240000}"/>
    <cellStyle name="Normal 4 2 16" xfId="1127" xr:uid="{00000000-0005-0000-0000-0000C1240000}"/>
    <cellStyle name="Normal 4 2 16 2" xfId="3137" xr:uid="{00000000-0005-0000-0000-0000C2240000}"/>
    <cellStyle name="Normal 4 2 16 2 2" xfId="6211" xr:uid="{00000000-0005-0000-0000-0000C3240000}"/>
    <cellStyle name="Normal 4 2 16 3" xfId="4681" xr:uid="{00000000-0005-0000-0000-0000C4240000}"/>
    <cellStyle name="Normal 4 2 17" xfId="1128" xr:uid="{00000000-0005-0000-0000-0000C5240000}"/>
    <cellStyle name="Normal 4 2 17 2" xfId="3138" xr:uid="{00000000-0005-0000-0000-0000C6240000}"/>
    <cellStyle name="Normal 4 2 17 2 2" xfId="6212" xr:uid="{00000000-0005-0000-0000-0000C7240000}"/>
    <cellStyle name="Normal 4 2 17 3" xfId="4682" xr:uid="{00000000-0005-0000-0000-0000C8240000}"/>
    <cellStyle name="Normal 4 2 18" xfId="1129" xr:uid="{00000000-0005-0000-0000-0000C9240000}"/>
    <cellStyle name="Normal 4 2 18 2" xfId="3139" xr:uid="{00000000-0005-0000-0000-0000CA240000}"/>
    <cellStyle name="Normal 4 2 18 2 2" xfId="6213" xr:uid="{00000000-0005-0000-0000-0000CB240000}"/>
    <cellStyle name="Normal 4 2 18 3" xfId="4683" xr:uid="{00000000-0005-0000-0000-0000CC240000}"/>
    <cellStyle name="Normal 4 2 19" xfId="1130" xr:uid="{00000000-0005-0000-0000-0000CD240000}"/>
    <cellStyle name="Normal 4 2 19 2" xfId="3140" xr:uid="{00000000-0005-0000-0000-0000CE240000}"/>
    <cellStyle name="Normal 4 2 19 2 2" xfId="6214" xr:uid="{00000000-0005-0000-0000-0000CF240000}"/>
    <cellStyle name="Normal 4 2 19 3" xfId="4684" xr:uid="{00000000-0005-0000-0000-0000D0240000}"/>
    <cellStyle name="Normal 4 2 2" xfId="1131" xr:uid="{00000000-0005-0000-0000-0000D1240000}"/>
    <cellStyle name="Normal 4 2 2 2" xfId="1132" xr:uid="{00000000-0005-0000-0000-0000D2240000}"/>
    <cellStyle name="Normal 4 2 2 2 2" xfId="3142" xr:uid="{00000000-0005-0000-0000-0000D3240000}"/>
    <cellStyle name="Normal 4 2 2 2 2 2" xfId="6216" xr:uid="{00000000-0005-0000-0000-0000D4240000}"/>
    <cellStyle name="Normal 4 2 2 2 3" xfId="4686" xr:uid="{00000000-0005-0000-0000-0000D5240000}"/>
    <cellStyle name="Normal 4 2 2 3" xfId="3141" xr:uid="{00000000-0005-0000-0000-0000D6240000}"/>
    <cellStyle name="Normal 4 2 2 3 2" xfId="6215" xr:uid="{00000000-0005-0000-0000-0000D7240000}"/>
    <cellStyle name="Normal 4 2 2 4" xfId="4685" xr:uid="{00000000-0005-0000-0000-0000D8240000}"/>
    <cellStyle name="Normal 4 2 20" xfId="1133" xr:uid="{00000000-0005-0000-0000-0000D9240000}"/>
    <cellStyle name="Normal 4 2 20 2" xfId="3143" xr:uid="{00000000-0005-0000-0000-0000DA240000}"/>
    <cellStyle name="Normal 4 2 20 2 2" xfId="6217" xr:uid="{00000000-0005-0000-0000-0000DB240000}"/>
    <cellStyle name="Normal 4 2 20 3" xfId="4687" xr:uid="{00000000-0005-0000-0000-0000DC240000}"/>
    <cellStyle name="Normal 4 2 21" xfId="1134" xr:uid="{00000000-0005-0000-0000-0000DD240000}"/>
    <cellStyle name="Normal 4 2 21 2" xfId="3144" xr:uid="{00000000-0005-0000-0000-0000DE240000}"/>
    <cellStyle name="Normal 4 2 21 2 2" xfId="6218" xr:uid="{00000000-0005-0000-0000-0000DF240000}"/>
    <cellStyle name="Normal 4 2 21 3" xfId="4688" xr:uid="{00000000-0005-0000-0000-0000E0240000}"/>
    <cellStyle name="Normal 4 2 22" xfId="1135" xr:uid="{00000000-0005-0000-0000-0000E1240000}"/>
    <cellStyle name="Normal 4 2 22 2" xfId="3145" xr:uid="{00000000-0005-0000-0000-0000E2240000}"/>
    <cellStyle name="Normal 4 2 22 2 2" xfId="6219" xr:uid="{00000000-0005-0000-0000-0000E3240000}"/>
    <cellStyle name="Normal 4 2 22 3" xfId="4689" xr:uid="{00000000-0005-0000-0000-0000E4240000}"/>
    <cellStyle name="Normal 4 2 23" xfId="1136" xr:uid="{00000000-0005-0000-0000-0000E5240000}"/>
    <cellStyle name="Normal 4 2 23 2" xfId="3146" xr:uid="{00000000-0005-0000-0000-0000E6240000}"/>
    <cellStyle name="Normal 4 2 23 2 2" xfId="6220" xr:uid="{00000000-0005-0000-0000-0000E7240000}"/>
    <cellStyle name="Normal 4 2 23 3" xfId="4690" xr:uid="{00000000-0005-0000-0000-0000E8240000}"/>
    <cellStyle name="Normal 4 2 24" xfId="1137" xr:uid="{00000000-0005-0000-0000-0000E9240000}"/>
    <cellStyle name="Normal 4 2 24 2" xfId="3147" xr:uid="{00000000-0005-0000-0000-0000EA240000}"/>
    <cellStyle name="Normal 4 2 24 2 2" xfId="6221" xr:uid="{00000000-0005-0000-0000-0000EB240000}"/>
    <cellStyle name="Normal 4 2 24 3" xfId="4691" xr:uid="{00000000-0005-0000-0000-0000EC240000}"/>
    <cellStyle name="Normal 4 2 25" xfId="1138" xr:uid="{00000000-0005-0000-0000-0000ED240000}"/>
    <cellStyle name="Normal 4 2 25 2" xfId="3148" xr:uid="{00000000-0005-0000-0000-0000EE240000}"/>
    <cellStyle name="Normal 4 2 25 2 2" xfId="6222" xr:uid="{00000000-0005-0000-0000-0000EF240000}"/>
    <cellStyle name="Normal 4 2 25 3" xfId="4692" xr:uid="{00000000-0005-0000-0000-0000F0240000}"/>
    <cellStyle name="Normal 4 2 26" xfId="1139" xr:uid="{00000000-0005-0000-0000-0000F1240000}"/>
    <cellStyle name="Normal 4 2 26 2" xfId="3149" xr:uid="{00000000-0005-0000-0000-0000F2240000}"/>
    <cellStyle name="Normal 4 2 26 2 2" xfId="6223" xr:uid="{00000000-0005-0000-0000-0000F3240000}"/>
    <cellStyle name="Normal 4 2 26 3" xfId="4693" xr:uid="{00000000-0005-0000-0000-0000F4240000}"/>
    <cellStyle name="Normal 4 2 27" xfId="1140" xr:uid="{00000000-0005-0000-0000-0000F5240000}"/>
    <cellStyle name="Normal 4 2 27 2" xfId="3150" xr:uid="{00000000-0005-0000-0000-0000F6240000}"/>
    <cellStyle name="Normal 4 2 27 2 2" xfId="6224" xr:uid="{00000000-0005-0000-0000-0000F7240000}"/>
    <cellStyle name="Normal 4 2 27 3" xfId="4694" xr:uid="{00000000-0005-0000-0000-0000F8240000}"/>
    <cellStyle name="Normal 4 2 28" xfId="1141" xr:uid="{00000000-0005-0000-0000-0000F9240000}"/>
    <cellStyle name="Normal 4 2 28 2" xfId="3151" xr:uid="{00000000-0005-0000-0000-0000FA240000}"/>
    <cellStyle name="Normal 4 2 28 2 2" xfId="6225" xr:uid="{00000000-0005-0000-0000-0000FB240000}"/>
    <cellStyle name="Normal 4 2 28 3" xfId="4695" xr:uid="{00000000-0005-0000-0000-0000FC240000}"/>
    <cellStyle name="Normal 4 2 29" xfId="1142" xr:uid="{00000000-0005-0000-0000-0000FD240000}"/>
    <cellStyle name="Normal 4 2 29 2" xfId="3152" xr:uid="{00000000-0005-0000-0000-0000FE240000}"/>
    <cellStyle name="Normal 4 2 29 2 2" xfId="6226" xr:uid="{00000000-0005-0000-0000-0000FF240000}"/>
    <cellStyle name="Normal 4 2 29 3" xfId="4696" xr:uid="{00000000-0005-0000-0000-000000250000}"/>
    <cellStyle name="Normal 4 2 3" xfId="1143" xr:uid="{00000000-0005-0000-0000-000001250000}"/>
    <cellStyle name="Normal 4 2 3 2" xfId="3153" xr:uid="{00000000-0005-0000-0000-000002250000}"/>
    <cellStyle name="Normal 4 2 3 2 2" xfId="6227" xr:uid="{00000000-0005-0000-0000-000003250000}"/>
    <cellStyle name="Normal 4 2 3 3" xfId="4697" xr:uid="{00000000-0005-0000-0000-000004250000}"/>
    <cellStyle name="Normal 4 2 30" xfId="1144" xr:uid="{00000000-0005-0000-0000-000005250000}"/>
    <cellStyle name="Normal 4 2 30 2" xfId="3154" xr:uid="{00000000-0005-0000-0000-000006250000}"/>
    <cellStyle name="Normal 4 2 30 2 2" xfId="6228" xr:uid="{00000000-0005-0000-0000-000007250000}"/>
    <cellStyle name="Normal 4 2 30 3" xfId="4698" xr:uid="{00000000-0005-0000-0000-000008250000}"/>
    <cellStyle name="Normal 4 2 31" xfId="1145" xr:uid="{00000000-0005-0000-0000-000009250000}"/>
    <cellStyle name="Normal 4 2 31 2" xfId="3155" xr:uid="{00000000-0005-0000-0000-00000A250000}"/>
    <cellStyle name="Normal 4 2 31 2 2" xfId="6229" xr:uid="{00000000-0005-0000-0000-00000B250000}"/>
    <cellStyle name="Normal 4 2 31 3" xfId="4699" xr:uid="{00000000-0005-0000-0000-00000C250000}"/>
    <cellStyle name="Normal 4 2 32" xfId="1146" xr:uid="{00000000-0005-0000-0000-00000D250000}"/>
    <cellStyle name="Normal 4 2 32 2" xfId="3156" xr:uid="{00000000-0005-0000-0000-00000E250000}"/>
    <cellStyle name="Normal 4 2 32 2 2" xfId="6230" xr:uid="{00000000-0005-0000-0000-00000F250000}"/>
    <cellStyle name="Normal 4 2 32 3" xfId="4700" xr:uid="{00000000-0005-0000-0000-000010250000}"/>
    <cellStyle name="Normal 4 2 33" xfId="1147" xr:uid="{00000000-0005-0000-0000-000011250000}"/>
    <cellStyle name="Normal 4 2 33 2" xfId="3157" xr:uid="{00000000-0005-0000-0000-000012250000}"/>
    <cellStyle name="Normal 4 2 33 2 2" xfId="6231" xr:uid="{00000000-0005-0000-0000-000013250000}"/>
    <cellStyle name="Normal 4 2 33 3" xfId="4701" xr:uid="{00000000-0005-0000-0000-000014250000}"/>
    <cellStyle name="Normal 4 2 34" xfId="1148" xr:uid="{00000000-0005-0000-0000-000015250000}"/>
    <cellStyle name="Normal 4 2 34 2" xfId="3158" xr:uid="{00000000-0005-0000-0000-000016250000}"/>
    <cellStyle name="Normal 4 2 34 2 2" xfId="6232" xr:uid="{00000000-0005-0000-0000-000017250000}"/>
    <cellStyle name="Normal 4 2 34 3" xfId="4702" xr:uid="{00000000-0005-0000-0000-000018250000}"/>
    <cellStyle name="Normal 4 2 35" xfId="1149" xr:uid="{00000000-0005-0000-0000-000019250000}"/>
    <cellStyle name="Normal 4 2 35 2" xfId="3159" xr:uid="{00000000-0005-0000-0000-00001A250000}"/>
    <cellStyle name="Normal 4 2 35 2 2" xfId="6233" xr:uid="{00000000-0005-0000-0000-00001B250000}"/>
    <cellStyle name="Normal 4 2 35 3" xfId="4703" xr:uid="{00000000-0005-0000-0000-00001C250000}"/>
    <cellStyle name="Normal 4 2 36" xfId="1150" xr:uid="{00000000-0005-0000-0000-00001D250000}"/>
    <cellStyle name="Normal 4 2 36 2" xfId="3160" xr:uid="{00000000-0005-0000-0000-00001E250000}"/>
    <cellStyle name="Normal 4 2 36 2 2" xfId="6234" xr:uid="{00000000-0005-0000-0000-00001F250000}"/>
    <cellStyle name="Normal 4 2 36 3" xfId="4704" xr:uid="{00000000-0005-0000-0000-000020250000}"/>
    <cellStyle name="Normal 4 2 37" xfId="1151" xr:uid="{00000000-0005-0000-0000-000021250000}"/>
    <cellStyle name="Normal 4 2 37 2" xfId="3161" xr:uid="{00000000-0005-0000-0000-000022250000}"/>
    <cellStyle name="Normal 4 2 37 2 2" xfId="6235" xr:uid="{00000000-0005-0000-0000-000023250000}"/>
    <cellStyle name="Normal 4 2 37 3" xfId="4705" xr:uid="{00000000-0005-0000-0000-000024250000}"/>
    <cellStyle name="Normal 4 2 38" xfId="1152" xr:uid="{00000000-0005-0000-0000-000025250000}"/>
    <cellStyle name="Normal 4 2 38 2" xfId="3162" xr:uid="{00000000-0005-0000-0000-000026250000}"/>
    <cellStyle name="Normal 4 2 38 2 2" xfId="6236" xr:uid="{00000000-0005-0000-0000-000027250000}"/>
    <cellStyle name="Normal 4 2 38 3" xfId="4706" xr:uid="{00000000-0005-0000-0000-000028250000}"/>
    <cellStyle name="Normal 4 2 39" xfId="1153" xr:uid="{00000000-0005-0000-0000-000029250000}"/>
    <cellStyle name="Normal 4 2 39 2" xfId="3163" xr:uid="{00000000-0005-0000-0000-00002A250000}"/>
    <cellStyle name="Normal 4 2 39 2 2" xfId="6237" xr:uid="{00000000-0005-0000-0000-00002B250000}"/>
    <cellStyle name="Normal 4 2 39 3" xfId="4707" xr:uid="{00000000-0005-0000-0000-00002C250000}"/>
    <cellStyle name="Normal 4 2 4" xfId="1154" xr:uid="{00000000-0005-0000-0000-00002D250000}"/>
    <cellStyle name="Normal 4 2 4 2" xfId="3164" xr:uid="{00000000-0005-0000-0000-00002E250000}"/>
    <cellStyle name="Normal 4 2 4 2 2" xfId="6238" xr:uid="{00000000-0005-0000-0000-00002F250000}"/>
    <cellStyle name="Normal 4 2 4 3" xfId="4708" xr:uid="{00000000-0005-0000-0000-000030250000}"/>
    <cellStyle name="Normal 4 2 40" xfId="1155" xr:uid="{00000000-0005-0000-0000-000031250000}"/>
    <cellStyle name="Normal 4 2 40 2" xfId="3165" xr:uid="{00000000-0005-0000-0000-000032250000}"/>
    <cellStyle name="Normal 4 2 40 2 2" xfId="6239" xr:uid="{00000000-0005-0000-0000-000033250000}"/>
    <cellStyle name="Normal 4 2 40 3" xfId="4709" xr:uid="{00000000-0005-0000-0000-000034250000}"/>
    <cellStyle name="Normal 4 2 41" xfId="1156" xr:uid="{00000000-0005-0000-0000-000035250000}"/>
    <cellStyle name="Normal 4 2 41 2" xfId="3166" xr:uid="{00000000-0005-0000-0000-000036250000}"/>
    <cellStyle name="Normal 4 2 41 2 2" xfId="6240" xr:uid="{00000000-0005-0000-0000-000037250000}"/>
    <cellStyle name="Normal 4 2 41 3" xfId="4710" xr:uid="{00000000-0005-0000-0000-000038250000}"/>
    <cellStyle name="Normal 4 2 42" xfId="1157" xr:uid="{00000000-0005-0000-0000-000039250000}"/>
    <cellStyle name="Normal 4 2 42 2" xfId="3167" xr:uid="{00000000-0005-0000-0000-00003A250000}"/>
    <cellStyle name="Normal 4 2 42 2 2" xfId="6241" xr:uid="{00000000-0005-0000-0000-00003B250000}"/>
    <cellStyle name="Normal 4 2 42 3" xfId="4711" xr:uid="{00000000-0005-0000-0000-00003C250000}"/>
    <cellStyle name="Normal 4 2 43" xfId="1158" xr:uid="{00000000-0005-0000-0000-00003D250000}"/>
    <cellStyle name="Normal 4 2 43 2" xfId="3168" xr:uid="{00000000-0005-0000-0000-00003E250000}"/>
    <cellStyle name="Normal 4 2 43 2 2" xfId="6242" xr:uid="{00000000-0005-0000-0000-00003F250000}"/>
    <cellStyle name="Normal 4 2 43 3" xfId="4712" xr:uid="{00000000-0005-0000-0000-000040250000}"/>
    <cellStyle name="Normal 4 2 44" xfId="1159" xr:uid="{00000000-0005-0000-0000-000041250000}"/>
    <cellStyle name="Normal 4 2 44 2" xfId="3169" xr:uid="{00000000-0005-0000-0000-000042250000}"/>
    <cellStyle name="Normal 4 2 44 2 2" xfId="6243" xr:uid="{00000000-0005-0000-0000-000043250000}"/>
    <cellStyle name="Normal 4 2 44 3" xfId="4713" xr:uid="{00000000-0005-0000-0000-000044250000}"/>
    <cellStyle name="Normal 4 2 45" xfId="3130" xr:uid="{00000000-0005-0000-0000-000045250000}"/>
    <cellStyle name="Normal 4 2 45 2" xfId="6204" xr:uid="{00000000-0005-0000-0000-000046250000}"/>
    <cellStyle name="Normal 4 2 46" xfId="4674" xr:uid="{00000000-0005-0000-0000-000047250000}"/>
    <cellStyle name="Normal 4 2 5" xfId="1160" xr:uid="{00000000-0005-0000-0000-000048250000}"/>
    <cellStyle name="Normal 4 2 5 2" xfId="3170" xr:uid="{00000000-0005-0000-0000-000049250000}"/>
    <cellStyle name="Normal 4 2 5 2 2" xfId="6244" xr:uid="{00000000-0005-0000-0000-00004A250000}"/>
    <cellStyle name="Normal 4 2 5 3" xfId="4714" xr:uid="{00000000-0005-0000-0000-00004B250000}"/>
    <cellStyle name="Normal 4 2 6" xfId="1161" xr:uid="{00000000-0005-0000-0000-00004C250000}"/>
    <cellStyle name="Normal 4 2 6 2" xfId="3171" xr:uid="{00000000-0005-0000-0000-00004D250000}"/>
    <cellStyle name="Normal 4 2 6 2 2" xfId="6245" xr:uid="{00000000-0005-0000-0000-00004E250000}"/>
    <cellStyle name="Normal 4 2 6 3" xfId="4715" xr:uid="{00000000-0005-0000-0000-00004F250000}"/>
    <cellStyle name="Normal 4 2 7" xfId="1162" xr:uid="{00000000-0005-0000-0000-000050250000}"/>
    <cellStyle name="Normal 4 2 7 2" xfId="3172" xr:uid="{00000000-0005-0000-0000-000051250000}"/>
    <cellStyle name="Normal 4 2 7 2 2" xfId="6246" xr:uid="{00000000-0005-0000-0000-000052250000}"/>
    <cellStyle name="Normal 4 2 7 3" xfId="4716" xr:uid="{00000000-0005-0000-0000-000053250000}"/>
    <cellStyle name="Normal 4 2 8" xfId="1163" xr:uid="{00000000-0005-0000-0000-000054250000}"/>
    <cellStyle name="Normal 4 2 8 2" xfId="3173" xr:uid="{00000000-0005-0000-0000-000055250000}"/>
    <cellStyle name="Normal 4 2 8 2 2" xfId="6247" xr:uid="{00000000-0005-0000-0000-000056250000}"/>
    <cellStyle name="Normal 4 2 8 3" xfId="4717" xr:uid="{00000000-0005-0000-0000-000057250000}"/>
    <cellStyle name="Normal 4 2 9" xfId="1164" xr:uid="{00000000-0005-0000-0000-000058250000}"/>
    <cellStyle name="Normal 4 2 9 2" xfId="3174" xr:uid="{00000000-0005-0000-0000-000059250000}"/>
    <cellStyle name="Normal 4 2 9 2 2" xfId="6248" xr:uid="{00000000-0005-0000-0000-00005A250000}"/>
    <cellStyle name="Normal 4 2 9 3" xfId="4718" xr:uid="{00000000-0005-0000-0000-00005B250000}"/>
    <cellStyle name="Normal 4 20" xfId="1165" xr:uid="{00000000-0005-0000-0000-00005C250000}"/>
    <cellStyle name="Normal 4 20 2" xfId="3175" xr:uid="{00000000-0005-0000-0000-00005D250000}"/>
    <cellStyle name="Normal 4 20 2 2" xfId="6249" xr:uid="{00000000-0005-0000-0000-00005E250000}"/>
    <cellStyle name="Normal 4 20 3" xfId="4719" xr:uid="{00000000-0005-0000-0000-00005F250000}"/>
    <cellStyle name="Normal 4 21" xfId="1166" xr:uid="{00000000-0005-0000-0000-000060250000}"/>
    <cellStyle name="Normal 4 21 2" xfId="3176" xr:uid="{00000000-0005-0000-0000-000061250000}"/>
    <cellStyle name="Normal 4 21 2 2" xfId="6250" xr:uid="{00000000-0005-0000-0000-000062250000}"/>
    <cellStyle name="Normal 4 21 3" xfId="4720" xr:uid="{00000000-0005-0000-0000-000063250000}"/>
    <cellStyle name="Normal 4 22" xfId="1167" xr:uid="{00000000-0005-0000-0000-000064250000}"/>
    <cellStyle name="Normal 4 22 2" xfId="3177" xr:uid="{00000000-0005-0000-0000-000065250000}"/>
    <cellStyle name="Normal 4 22 2 2" xfId="6251" xr:uid="{00000000-0005-0000-0000-000066250000}"/>
    <cellStyle name="Normal 4 22 3" xfId="4721" xr:uid="{00000000-0005-0000-0000-000067250000}"/>
    <cellStyle name="Normal 4 23" xfId="1168" xr:uid="{00000000-0005-0000-0000-000068250000}"/>
    <cellStyle name="Normal 4 23 2" xfId="3178" xr:uid="{00000000-0005-0000-0000-000069250000}"/>
    <cellStyle name="Normal 4 23 2 2" xfId="6252" xr:uid="{00000000-0005-0000-0000-00006A250000}"/>
    <cellStyle name="Normal 4 23 3" xfId="4722" xr:uid="{00000000-0005-0000-0000-00006B250000}"/>
    <cellStyle name="Normal 4 24" xfId="1169" xr:uid="{00000000-0005-0000-0000-00006C250000}"/>
    <cellStyle name="Normal 4 24 2" xfId="3179" xr:uid="{00000000-0005-0000-0000-00006D250000}"/>
    <cellStyle name="Normal 4 24 2 2" xfId="6253" xr:uid="{00000000-0005-0000-0000-00006E250000}"/>
    <cellStyle name="Normal 4 24 3" xfId="4723" xr:uid="{00000000-0005-0000-0000-00006F250000}"/>
    <cellStyle name="Normal 4 25" xfId="1170" xr:uid="{00000000-0005-0000-0000-000070250000}"/>
    <cellStyle name="Normal 4 25 2" xfId="3180" xr:uid="{00000000-0005-0000-0000-000071250000}"/>
    <cellStyle name="Normal 4 25 2 2" xfId="6254" xr:uid="{00000000-0005-0000-0000-000072250000}"/>
    <cellStyle name="Normal 4 25 3" xfId="4724" xr:uid="{00000000-0005-0000-0000-000073250000}"/>
    <cellStyle name="Normal 4 26" xfId="1171" xr:uid="{00000000-0005-0000-0000-000074250000}"/>
    <cellStyle name="Normal 4 26 2" xfId="3181" xr:uid="{00000000-0005-0000-0000-000075250000}"/>
    <cellStyle name="Normal 4 26 2 2" xfId="6255" xr:uid="{00000000-0005-0000-0000-000076250000}"/>
    <cellStyle name="Normal 4 26 3" xfId="4725" xr:uid="{00000000-0005-0000-0000-000077250000}"/>
    <cellStyle name="Normal 4 27" xfId="1172" xr:uid="{00000000-0005-0000-0000-000078250000}"/>
    <cellStyle name="Normal 4 27 2" xfId="3182" xr:uid="{00000000-0005-0000-0000-000079250000}"/>
    <cellStyle name="Normal 4 27 2 2" xfId="6256" xr:uid="{00000000-0005-0000-0000-00007A250000}"/>
    <cellStyle name="Normal 4 27 3" xfId="4726" xr:uid="{00000000-0005-0000-0000-00007B250000}"/>
    <cellStyle name="Normal 4 28" xfId="1173" xr:uid="{00000000-0005-0000-0000-00007C250000}"/>
    <cellStyle name="Normal 4 28 2" xfId="3183" xr:uid="{00000000-0005-0000-0000-00007D250000}"/>
    <cellStyle name="Normal 4 28 2 2" xfId="6257" xr:uid="{00000000-0005-0000-0000-00007E250000}"/>
    <cellStyle name="Normal 4 28 3" xfId="4727" xr:uid="{00000000-0005-0000-0000-00007F250000}"/>
    <cellStyle name="Normal 4 29" xfId="1174" xr:uid="{00000000-0005-0000-0000-000080250000}"/>
    <cellStyle name="Normal 4 29 2" xfId="3184" xr:uid="{00000000-0005-0000-0000-000081250000}"/>
    <cellStyle name="Normal 4 29 2 2" xfId="6258" xr:uid="{00000000-0005-0000-0000-000082250000}"/>
    <cellStyle name="Normal 4 29 3" xfId="4728" xr:uid="{00000000-0005-0000-0000-000083250000}"/>
    <cellStyle name="Normal 4 3" xfId="1175" xr:uid="{00000000-0005-0000-0000-000084250000}"/>
    <cellStyle name="Normal 4 3 10" xfId="1176" xr:uid="{00000000-0005-0000-0000-000085250000}"/>
    <cellStyle name="Normal 4 3 10 2" xfId="3186" xr:uid="{00000000-0005-0000-0000-000086250000}"/>
    <cellStyle name="Normal 4 3 10 2 2" xfId="6260" xr:uid="{00000000-0005-0000-0000-000087250000}"/>
    <cellStyle name="Normal 4 3 10 3" xfId="4730" xr:uid="{00000000-0005-0000-0000-000088250000}"/>
    <cellStyle name="Normal 4 3 11" xfId="1177" xr:uid="{00000000-0005-0000-0000-000089250000}"/>
    <cellStyle name="Normal 4 3 11 2" xfId="3187" xr:uid="{00000000-0005-0000-0000-00008A250000}"/>
    <cellStyle name="Normal 4 3 11 2 2" xfId="6261" xr:uid="{00000000-0005-0000-0000-00008B250000}"/>
    <cellStyle name="Normal 4 3 11 3" xfId="4731" xr:uid="{00000000-0005-0000-0000-00008C250000}"/>
    <cellStyle name="Normal 4 3 12" xfId="1178" xr:uid="{00000000-0005-0000-0000-00008D250000}"/>
    <cellStyle name="Normal 4 3 12 2" xfId="3188" xr:uid="{00000000-0005-0000-0000-00008E250000}"/>
    <cellStyle name="Normal 4 3 12 2 2" xfId="6262" xr:uid="{00000000-0005-0000-0000-00008F250000}"/>
    <cellStyle name="Normal 4 3 12 3" xfId="4732" xr:uid="{00000000-0005-0000-0000-000090250000}"/>
    <cellStyle name="Normal 4 3 13" xfId="1179" xr:uid="{00000000-0005-0000-0000-000091250000}"/>
    <cellStyle name="Normal 4 3 13 2" xfId="3189" xr:uid="{00000000-0005-0000-0000-000092250000}"/>
    <cellStyle name="Normal 4 3 13 2 2" xfId="6263" xr:uid="{00000000-0005-0000-0000-000093250000}"/>
    <cellStyle name="Normal 4 3 13 3" xfId="4733" xr:uid="{00000000-0005-0000-0000-000094250000}"/>
    <cellStyle name="Normal 4 3 14" xfId="1180" xr:uid="{00000000-0005-0000-0000-000095250000}"/>
    <cellStyle name="Normal 4 3 14 2" xfId="3190" xr:uid="{00000000-0005-0000-0000-000096250000}"/>
    <cellStyle name="Normal 4 3 14 2 2" xfId="6264" xr:uid="{00000000-0005-0000-0000-000097250000}"/>
    <cellStyle name="Normal 4 3 14 3" xfId="4734" xr:uid="{00000000-0005-0000-0000-000098250000}"/>
    <cellStyle name="Normal 4 3 15" xfId="1181" xr:uid="{00000000-0005-0000-0000-000099250000}"/>
    <cellStyle name="Normal 4 3 15 2" xfId="3191" xr:uid="{00000000-0005-0000-0000-00009A250000}"/>
    <cellStyle name="Normal 4 3 15 2 2" xfId="6265" xr:uid="{00000000-0005-0000-0000-00009B250000}"/>
    <cellStyle name="Normal 4 3 15 3" xfId="4735" xr:uid="{00000000-0005-0000-0000-00009C250000}"/>
    <cellStyle name="Normal 4 3 16" xfId="1182" xr:uid="{00000000-0005-0000-0000-00009D250000}"/>
    <cellStyle name="Normal 4 3 16 2" xfId="3192" xr:uid="{00000000-0005-0000-0000-00009E250000}"/>
    <cellStyle name="Normal 4 3 16 2 2" xfId="6266" xr:uid="{00000000-0005-0000-0000-00009F250000}"/>
    <cellStyle name="Normal 4 3 16 3" xfId="4736" xr:uid="{00000000-0005-0000-0000-0000A0250000}"/>
    <cellStyle name="Normal 4 3 17" xfId="1183" xr:uid="{00000000-0005-0000-0000-0000A1250000}"/>
    <cellStyle name="Normal 4 3 17 2" xfId="3193" xr:uid="{00000000-0005-0000-0000-0000A2250000}"/>
    <cellStyle name="Normal 4 3 17 2 2" xfId="6267" xr:uid="{00000000-0005-0000-0000-0000A3250000}"/>
    <cellStyle name="Normal 4 3 17 3" xfId="4737" xr:uid="{00000000-0005-0000-0000-0000A4250000}"/>
    <cellStyle name="Normal 4 3 18" xfId="1184" xr:uid="{00000000-0005-0000-0000-0000A5250000}"/>
    <cellStyle name="Normal 4 3 18 2" xfId="3194" xr:uid="{00000000-0005-0000-0000-0000A6250000}"/>
    <cellStyle name="Normal 4 3 18 2 2" xfId="6268" xr:uid="{00000000-0005-0000-0000-0000A7250000}"/>
    <cellStyle name="Normal 4 3 18 3" xfId="4738" xr:uid="{00000000-0005-0000-0000-0000A8250000}"/>
    <cellStyle name="Normal 4 3 19" xfId="1185" xr:uid="{00000000-0005-0000-0000-0000A9250000}"/>
    <cellStyle name="Normal 4 3 19 2" xfId="3195" xr:uid="{00000000-0005-0000-0000-0000AA250000}"/>
    <cellStyle name="Normal 4 3 19 2 2" xfId="6269" xr:uid="{00000000-0005-0000-0000-0000AB250000}"/>
    <cellStyle name="Normal 4 3 19 3" xfId="4739" xr:uid="{00000000-0005-0000-0000-0000AC250000}"/>
    <cellStyle name="Normal 4 3 2" xfId="1186" xr:uid="{00000000-0005-0000-0000-0000AD250000}"/>
    <cellStyle name="Normal 4 3 2 2" xfId="1187" xr:uid="{00000000-0005-0000-0000-0000AE250000}"/>
    <cellStyle name="Normal 4 3 2 2 2" xfId="3197" xr:uid="{00000000-0005-0000-0000-0000AF250000}"/>
    <cellStyle name="Normal 4 3 2 2 2 2" xfId="6271" xr:uid="{00000000-0005-0000-0000-0000B0250000}"/>
    <cellStyle name="Normal 4 3 2 2 3" xfId="4741" xr:uid="{00000000-0005-0000-0000-0000B1250000}"/>
    <cellStyle name="Normal 4 3 2 3" xfId="3196" xr:uid="{00000000-0005-0000-0000-0000B2250000}"/>
    <cellStyle name="Normal 4 3 2 3 2" xfId="6270" xr:uid="{00000000-0005-0000-0000-0000B3250000}"/>
    <cellStyle name="Normal 4 3 2 4" xfId="4740" xr:uid="{00000000-0005-0000-0000-0000B4250000}"/>
    <cellStyle name="Normal 4 3 20" xfId="1188" xr:uid="{00000000-0005-0000-0000-0000B5250000}"/>
    <cellStyle name="Normal 4 3 20 2" xfId="3198" xr:uid="{00000000-0005-0000-0000-0000B6250000}"/>
    <cellStyle name="Normal 4 3 20 2 2" xfId="6272" xr:uid="{00000000-0005-0000-0000-0000B7250000}"/>
    <cellStyle name="Normal 4 3 20 3" xfId="4742" xr:uid="{00000000-0005-0000-0000-0000B8250000}"/>
    <cellStyle name="Normal 4 3 21" xfId="1189" xr:uid="{00000000-0005-0000-0000-0000B9250000}"/>
    <cellStyle name="Normal 4 3 21 2" xfId="3199" xr:uid="{00000000-0005-0000-0000-0000BA250000}"/>
    <cellStyle name="Normal 4 3 21 2 2" xfId="6273" xr:uid="{00000000-0005-0000-0000-0000BB250000}"/>
    <cellStyle name="Normal 4 3 21 3" xfId="4743" xr:uid="{00000000-0005-0000-0000-0000BC250000}"/>
    <cellStyle name="Normal 4 3 22" xfId="1190" xr:uid="{00000000-0005-0000-0000-0000BD250000}"/>
    <cellStyle name="Normal 4 3 22 2" xfId="3200" xr:uid="{00000000-0005-0000-0000-0000BE250000}"/>
    <cellStyle name="Normal 4 3 22 2 2" xfId="6274" xr:uid="{00000000-0005-0000-0000-0000BF250000}"/>
    <cellStyle name="Normal 4 3 22 3" xfId="4744" xr:uid="{00000000-0005-0000-0000-0000C0250000}"/>
    <cellStyle name="Normal 4 3 23" xfId="1191" xr:uid="{00000000-0005-0000-0000-0000C1250000}"/>
    <cellStyle name="Normal 4 3 23 2" xfId="3201" xr:uid="{00000000-0005-0000-0000-0000C2250000}"/>
    <cellStyle name="Normal 4 3 23 2 2" xfId="6275" xr:uid="{00000000-0005-0000-0000-0000C3250000}"/>
    <cellStyle name="Normal 4 3 23 3" xfId="4745" xr:uid="{00000000-0005-0000-0000-0000C4250000}"/>
    <cellStyle name="Normal 4 3 24" xfId="1192" xr:uid="{00000000-0005-0000-0000-0000C5250000}"/>
    <cellStyle name="Normal 4 3 24 2" xfId="3202" xr:uid="{00000000-0005-0000-0000-0000C6250000}"/>
    <cellStyle name="Normal 4 3 24 2 2" xfId="6276" xr:uid="{00000000-0005-0000-0000-0000C7250000}"/>
    <cellStyle name="Normal 4 3 24 3" xfId="4746" xr:uid="{00000000-0005-0000-0000-0000C8250000}"/>
    <cellStyle name="Normal 4 3 25" xfId="1193" xr:uid="{00000000-0005-0000-0000-0000C9250000}"/>
    <cellStyle name="Normal 4 3 25 2" xfId="3203" xr:uid="{00000000-0005-0000-0000-0000CA250000}"/>
    <cellStyle name="Normal 4 3 25 2 2" xfId="6277" xr:uid="{00000000-0005-0000-0000-0000CB250000}"/>
    <cellStyle name="Normal 4 3 25 3" xfId="4747" xr:uid="{00000000-0005-0000-0000-0000CC250000}"/>
    <cellStyle name="Normal 4 3 26" xfId="1194" xr:uid="{00000000-0005-0000-0000-0000CD250000}"/>
    <cellStyle name="Normal 4 3 26 2" xfId="3204" xr:uid="{00000000-0005-0000-0000-0000CE250000}"/>
    <cellStyle name="Normal 4 3 26 2 2" xfId="6278" xr:uid="{00000000-0005-0000-0000-0000CF250000}"/>
    <cellStyle name="Normal 4 3 26 3" xfId="4748" xr:uid="{00000000-0005-0000-0000-0000D0250000}"/>
    <cellStyle name="Normal 4 3 27" xfId="1195" xr:uid="{00000000-0005-0000-0000-0000D1250000}"/>
    <cellStyle name="Normal 4 3 27 2" xfId="3205" xr:uid="{00000000-0005-0000-0000-0000D2250000}"/>
    <cellStyle name="Normal 4 3 27 2 2" xfId="6279" xr:uid="{00000000-0005-0000-0000-0000D3250000}"/>
    <cellStyle name="Normal 4 3 27 3" xfId="4749" xr:uid="{00000000-0005-0000-0000-0000D4250000}"/>
    <cellStyle name="Normal 4 3 28" xfId="1196" xr:uid="{00000000-0005-0000-0000-0000D5250000}"/>
    <cellStyle name="Normal 4 3 28 2" xfId="3206" xr:uid="{00000000-0005-0000-0000-0000D6250000}"/>
    <cellStyle name="Normal 4 3 28 2 2" xfId="6280" xr:uid="{00000000-0005-0000-0000-0000D7250000}"/>
    <cellStyle name="Normal 4 3 28 3" xfId="4750" xr:uid="{00000000-0005-0000-0000-0000D8250000}"/>
    <cellStyle name="Normal 4 3 29" xfId="1197" xr:uid="{00000000-0005-0000-0000-0000D9250000}"/>
    <cellStyle name="Normal 4 3 29 2" xfId="3207" xr:uid="{00000000-0005-0000-0000-0000DA250000}"/>
    <cellStyle name="Normal 4 3 29 2 2" xfId="6281" xr:uid="{00000000-0005-0000-0000-0000DB250000}"/>
    <cellStyle name="Normal 4 3 29 3" xfId="4751" xr:uid="{00000000-0005-0000-0000-0000DC250000}"/>
    <cellStyle name="Normal 4 3 3" xfId="1198" xr:uid="{00000000-0005-0000-0000-0000DD250000}"/>
    <cellStyle name="Normal 4 3 3 2" xfId="3208" xr:uid="{00000000-0005-0000-0000-0000DE250000}"/>
    <cellStyle name="Normal 4 3 3 2 2" xfId="6282" xr:uid="{00000000-0005-0000-0000-0000DF250000}"/>
    <cellStyle name="Normal 4 3 3 3" xfId="4752" xr:uid="{00000000-0005-0000-0000-0000E0250000}"/>
    <cellStyle name="Normal 4 3 30" xfId="1199" xr:uid="{00000000-0005-0000-0000-0000E1250000}"/>
    <cellStyle name="Normal 4 3 30 2" xfId="3209" xr:uid="{00000000-0005-0000-0000-0000E2250000}"/>
    <cellStyle name="Normal 4 3 30 2 2" xfId="6283" xr:uid="{00000000-0005-0000-0000-0000E3250000}"/>
    <cellStyle name="Normal 4 3 30 3" xfId="4753" xr:uid="{00000000-0005-0000-0000-0000E4250000}"/>
    <cellStyle name="Normal 4 3 31" xfId="1200" xr:uid="{00000000-0005-0000-0000-0000E5250000}"/>
    <cellStyle name="Normal 4 3 31 2" xfId="3210" xr:uid="{00000000-0005-0000-0000-0000E6250000}"/>
    <cellStyle name="Normal 4 3 31 2 2" xfId="6284" xr:uid="{00000000-0005-0000-0000-0000E7250000}"/>
    <cellStyle name="Normal 4 3 31 3" xfId="4754" xr:uid="{00000000-0005-0000-0000-0000E8250000}"/>
    <cellStyle name="Normal 4 3 32" xfId="1201" xr:uid="{00000000-0005-0000-0000-0000E9250000}"/>
    <cellStyle name="Normal 4 3 32 2" xfId="3211" xr:uid="{00000000-0005-0000-0000-0000EA250000}"/>
    <cellStyle name="Normal 4 3 32 2 2" xfId="6285" xr:uid="{00000000-0005-0000-0000-0000EB250000}"/>
    <cellStyle name="Normal 4 3 32 3" xfId="4755" xr:uid="{00000000-0005-0000-0000-0000EC250000}"/>
    <cellStyle name="Normal 4 3 33" xfId="1202" xr:uid="{00000000-0005-0000-0000-0000ED250000}"/>
    <cellStyle name="Normal 4 3 33 2" xfId="3212" xr:uid="{00000000-0005-0000-0000-0000EE250000}"/>
    <cellStyle name="Normal 4 3 33 2 2" xfId="6286" xr:uid="{00000000-0005-0000-0000-0000EF250000}"/>
    <cellStyle name="Normal 4 3 33 3" xfId="4756" xr:uid="{00000000-0005-0000-0000-0000F0250000}"/>
    <cellStyle name="Normal 4 3 34" xfId="1203" xr:uid="{00000000-0005-0000-0000-0000F1250000}"/>
    <cellStyle name="Normal 4 3 34 2" xfId="3213" xr:uid="{00000000-0005-0000-0000-0000F2250000}"/>
    <cellStyle name="Normal 4 3 34 2 2" xfId="6287" xr:uid="{00000000-0005-0000-0000-0000F3250000}"/>
    <cellStyle name="Normal 4 3 34 3" xfId="4757" xr:uid="{00000000-0005-0000-0000-0000F4250000}"/>
    <cellStyle name="Normal 4 3 35" xfId="1204" xr:uid="{00000000-0005-0000-0000-0000F5250000}"/>
    <cellStyle name="Normal 4 3 35 2" xfId="3214" xr:uid="{00000000-0005-0000-0000-0000F6250000}"/>
    <cellStyle name="Normal 4 3 35 2 2" xfId="6288" xr:uid="{00000000-0005-0000-0000-0000F7250000}"/>
    <cellStyle name="Normal 4 3 35 3" xfId="4758" xr:uid="{00000000-0005-0000-0000-0000F8250000}"/>
    <cellStyle name="Normal 4 3 36" xfId="1205" xr:uid="{00000000-0005-0000-0000-0000F9250000}"/>
    <cellStyle name="Normal 4 3 36 2" xfId="3215" xr:uid="{00000000-0005-0000-0000-0000FA250000}"/>
    <cellStyle name="Normal 4 3 36 2 2" xfId="6289" xr:uid="{00000000-0005-0000-0000-0000FB250000}"/>
    <cellStyle name="Normal 4 3 36 3" xfId="4759" xr:uid="{00000000-0005-0000-0000-0000FC250000}"/>
    <cellStyle name="Normal 4 3 37" xfId="1206" xr:uid="{00000000-0005-0000-0000-0000FD250000}"/>
    <cellStyle name="Normal 4 3 37 2" xfId="3216" xr:uid="{00000000-0005-0000-0000-0000FE250000}"/>
    <cellStyle name="Normal 4 3 37 2 2" xfId="6290" xr:uid="{00000000-0005-0000-0000-0000FF250000}"/>
    <cellStyle name="Normal 4 3 37 3" xfId="4760" xr:uid="{00000000-0005-0000-0000-000000260000}"/>
    <cellStyle name="Normal 4 3 38" xfId="1207" xr:uid="{00000000-0005-0000-0000-000001260000}"/>
    <cellStyle name="Normal 4 3 38 2" xfId="3217" xr:uid="{00000000-0005-0000-0000-000002260000}"/>
    <cellStyle name="Normal 4 3 38 2 2" xfId="6291" xr:uid="{00000000-0005-0000-0000-000003260000}"/>
    <cellStyle name="Normal 4 3 38 3" xfId="4761" xr:uid="{00000000-0005-0000-0000-000004260000}"/>
    <cellStyle name="Normal 4 3 39" xfId="1208" xr:uid="{00000000-0005-0000-0000-000005260000}"/>
    <cellStyle name="Normal 4 3 39 2" xfId="3218" xr:uid="{00000000-0005-0000-0000-000006260000}"/>
    <cellStyle name="Normal 4 3 39 2 2" xfId="6292" xr:uid="{00000000-0005-0000-0000-000007260000}"/>
    <cellStyle name="Normal 4 3 39 3" xfId="4762" xr:uid="{00000000-0005-0000-0000-000008260000}"/>
    <cellStyle name="Normal 4 3 4" xfId="1209" xr:uid="{00000000-0005-0000-0000-000009260000}"/>
    <cellStyle name="Normal 4 3 4 2" xfId="3219" xr:uid="{00000000-0005-0000-0000-00000A260000}"/>
    <cellStyle name="Normal 4 3 4 2 2" xfId="6293" xr:uid="{00000000-0005-0000-0000-00000B260000}"/>
    <cellStyle name="Normal 4 3 4 3" xfId="4763" xr:uid="{00000000-0005-0000-0000-00000C260000}"/>
    <cellStyle name="Normal 4 3 40" xfId="1210" xr:uid="{00000000-0005-0000-0000-00000D260000}"/>
    <cellStyle name="Normal 4 3 40 2" xfId="3220" xr:uid="{00000000-0005-0000-0000-00000E260000}"/>
    <cellStyle name="Normal 4 3 40 2 2" xfId="6294" xr:uid="{00000000-0005-0000-0000-00000F260000}"/>
    <cellStyle name="Normal 4 3 40 3" xfId="4764" xr:uid="{00000000-0005-0000-0000-000010260000}"/>
    <cellStyle name="Normal 4 3 41" xfId="1211" xr:uid="{00000000-0005-0000-0000-000011260000}"/>
    <cellStyle name="Normal 4 3 41 2" xfId="3221" xr:uid="{00000000-0005-0000-0000-000012260000}"/>
    <cellStyle name="Normal 4 3 41 2 2" xfId="6295" xr:uid="{00000000-0005-0000-0000-000013260000}"/>
    <cellStyle name="Normal 4 3 41 3" xfId="4765" xr:uid="{00000000-0005-0000-0000-000014260000}"/>
    <cellStyle name="Normal 4 3 42" xfId="1212" xr:uid="{00000000-0005-0000-0000-000015260000}"/>
    <cellStyle name="Normal 4 3 42 2" xfId="3222" xr:uid="{00000000-0005-0000-0000-000016260000}"/>
    <cellStyle name="Normal 4 3 42 2 2" xfId="6296" xr:uid="{00000000-0005-0000-0000-000017260000}"/>
    <cellStyle name="Normal 4 3 42 3" xfId="4766" xr:uid="{00000000-0005-0000-0000-000018260000}"/>
    <cellStyle name="Normal 4 3 43" xfId="1213" xr:uid="{00000000-0005-0000-0000-000019260000}"/>
    <cellStyle name="Normal 4 3 43 2" xfId="3223" xr:uid="{00000000-0005-0000-0000-00001A260000}"/>
    <cellStyle name="Normal 4 3 43 2 2" xfId="6297" xr:uid="{00000000-0005-0000-0000-00001B260000}"/>
    <cellStyle name="Normal 4 3 43 3" xfId="4767" xr:uid="{00000000-0005-0000-0000-00001C260000}"/>
    <cellStyle name="Normal 4 3 44" xfId="1214" xr:uid="{00000000-0005-0000-0000-00001D260000}"/>
    <cellStyle name="Normal 4 3 44 2" xfId="3224" xr:uid="{00000000-0005-0000-0000-00001E260000}"/>
    <cellStyle name="Normal 4 3 44 2 2" xfId="6298" xr:uid="{00000000-0005-0000-0000-00001F260000}"/>
    <cellStyle name="Normal 4 3 44 3" xfId="4768" xr:uid="{00000000-0005-0000-0000-000020260000}"/>
    <cellStyle name="Normal 4 3 45" xfId="3185" xr:uid="{00000000-0005-0000-0000-000021260000}"/>
    <cellStyle name="Normal 4 3 45 2" xfId="6259" xr:uid="{00000000-0005-0000-0000-000022260000}"/>
    <cellStyle name="Normal 4 3 46" xfId="4729" xr:uid="{00000000-0005-0000-0000-000023260000}"/>
    <cellStyle name="Normal 4 3 5" xfId="1215" xr:uid="{00000000-0005-0000-0000-000024260000}"/>
    <cellStyle name="Normal 4 3 5 2" xfId="3225" xr:uid="{00000000-0005-0000-0000-000025260000}"/>
    <cellStyle name="Normal 4 3 5 2 2" xfId="6299" xr:uid="{00000000-0005-0000-0000-000026260000}"/>
    <cellStyle name="Normal 4 3 5 3" xfId="4769" xr:uid="{00000000-0005-0000-0000-000027260000}"/>
    <cellStyle name="Normal 4 3 6" xfId="1216" xr:uid="{00000000-0005-0000-0000-000028260000}"/>
    <cellStyle name="Normal 4 3 6 2" xfId="3226" xr:uid="{00000000-0005-0000-0000-000029260000}"/>
    <cellStyle name="Normal 4 3 6 2 2" xfId="6300" xr:uid="{00000000-0005-0000-0000-00002A260000}"/>
    <cellStyle name="Normal 4 3 6 3" xfId="4770" xr:uid="{00000000-0005-0000-0000-00002B260000}"/>
    <cellStyle name="Normal 4 3 7" xfId="1217" xr:uid="{00000000-0005-0000-0000-00002C260000}"/>
    <cellStyle name="Normal 4 3 7 2" xfId="3227" xr:uid="{00000000-0005-0000-0000-00002D260000}"/>
    <cellStyle name="Normal 4 3 7 2 2" xfId="6301" xr:uid="{00000000-0005-0000-0000-00002E260000}"/>
    <cellStyle name="Normal 4 3 7 3" xfId="4771" xr:uid="{00000000-0005-0000-0000-00002F260000}"/>
    <cellStyle name="Normal 4 3 8" xfId="1218" xr:uid="{00000000-0005-0000-0000-000030260000}"/>
    <cellStyle name="Normal 4 3 8 2" xfId="3228" xr:uid="{00000000-0005-0000-0000-000031260000}"/>
    <cellStyle name="Normal 4 3 8 2 2" xfId="6302" xr:uid="{00000000-0005-0000-0000-000032260000}"/>
    <cellStyle name="Normal 4 3 8 3" xfId="4772" xr:uid="{00000000-0005-0000-0000-000033260000}"/>
    <cellStyle name="Normal 4 3 9" xfId="1219" xr:uid="{00000000-0005-0000-0000-000034260000}"/>
    <cellStyle name="Normal 4 3 9 2" xfId="3229" xr:uid="{00000000-0005-0000-0000-000035260000}"/>
    <cellStyle name="Normal 4 3 9 2 2" xfId="6303" xr:uid="{00000000-0005-0000-0000-000036260000}"/>
    <cellStyle name="Normal 4 3 9 3" xfId="4773" xr:uid="{00000000-0005-0000-0000-000037260000}"/>
    <cellStyle name="Normal 4 30" xfId="1220" xr:uid="{00000000-0005-0000-0000-000038260000}"/>
    <cellStyle name="Normal 4 30 2" xfId="3230" xr:uid="{00000000-0005-0000-0000-000039260000}"/>
    <cellStyle name="Normal 4 30 2 2" xfId="6304" xr:uid="{00000000-0005-0000-0000-00003A260000}"/>
    <cellStyle name="Normal 4 30 3" xfId="4774" xr:uid="{00000000-0005-0000-0000-00003B260000}"/>
    <cellStyle name="Normal 4 31" xfId="1221" xr:uid="{00000000-0005-0000-0000-00003C260000}"/>
    <cellStyle name="Normal 4 31 2" xfId="3231" xr:uid="{00000000-0005-0000-0000-00003D260000}"/>
    <cellStyle name="Normal 4 31 2 2" xfId="6305" xr:uid="{00000000-0005-0000-0000-00003E260000}"/>
    <cellStyle name="Normal 4 31 3" xfId="4775" xr:uid="{00000000-0005-0000-0000-00003F260000}"/>
    <cellStyle name="Normal 4 32" xfId="1222" xr:uid="{00000000-0005-0000-0000-000040260000}"/>
    <cellStyle name="Normal 4 32 2" xfId="3232" xr:uid="{00000000-0005-0000-0000-000041260000}"/>
    <cellStyle name="Normal 4 32 2 2" xfId="6306" xr:uid="{00000000-0005-0000-0000-000042260000}"/>
    <cellStyle name="Normal 4 32 3" xfId="4776" xr:uid="{00000000-0005-0000-0000-000043260000}"/>
    <cellStyle name="Normal 4 33" xfId="1223" xr:uid="{00000000-0005-0000-0000-000044260000}"/>
    <cellStyle name="Normal 4 33 2" xfId="3233" xr:uid="{00000000-0005-0000-0000-000045260000}"/>
    <cellStyle name="Normal 4 33 2 2" xfId="6307" xr:uid="{00000000-0005-0000-0000-000046260000}"/>
    <cellStyle name="Normal 4 33 3" xfId="4777" xr:uid="{00000000-0005-0000-0000-000047260000}"/>
    <cellStyle name="Normal 4 34" xfId="1224" xr:uid="{00000000-0005-0000-0000-000048260000}"/>
    <cellStyle name="Normal 4 34 2" xfId="3234" xr:uid="{00000000-0005-0000-0000-000049260000}"/>
    <cellStyle name="Normal 4 34 2 2" xfId="6308" xr:uid="{00000000-0005-0000-0000-00004A260000}"/>
    <cellStyle name="Normal 4 34 3" xfId="4778" xr:uid="{00000000-0005-0000-0000-00004B260000}"/>
    <cellStyle name="Normal 4 35" xfId="1225" xr:uid="{00000000-0005-0000-0000-00004C260000}"/>
    <cellStyle name="Normal 4 35 2" xfId="3235" xr:uid="{00000000-0005-0000-0000-00004D260000}"/>
    <cellStyle name="Normal 4 35 2 2" xfId="6309" xr:uid="{00000000-0005-0000-0000-00004E260000}"/>
    <cellStyle name="Normal 4 35 3" xfId="4779" xr:uid="{00000000-0005-0000-0000-00004F260000}"/>
    <cellStyle name="Normal 4 36" xfId="1226" xr:uid="{00000000-0005-0000-0000-000050260000}"/>
    <cellStyle name="Normal 4 36 2" xfId="3236" xr:uid="{00000000-0005-0000-0000-000051260000}"/>
    <cellStyle name="Normal 4 36 2 2" xfId="6310" xr:uid="{00000000-0005-0000-0000-000052260000}"/>
    <cellStyle name="Normal 4 36 3" xfId="4780" xr:uid="{00000000-0005-0000-0000-000053260000}"/>
    <cellStyle name="Normal 4 37" xfId="1227" xr:uid="{00000000-0005-0000-0000-000054260000}"/>
    <cellStyle name="Normal 4 37 2" xfId="3237" xr:uid="{00000000-0005-0000-0000-000055260000}"/>
    <cellStyle name="Normal 4 37 2 2" xfId="6311" xr:uid="{00000000-0005-0000-0000-000056260000}"/>
    <cellStyle name="Normal 4 37 3" xfId="4781" xr:uid="{00000000-0005-0000-0000-000057260000}"/>
    <cellStyle name="Normal 4 38" xfId="1228" xr:uid="{00000000-0005-0000-0000-000058260000}"/>
    <cellStyle name="Normal 4 38 2" xfId="3238" xr:uid="{00000000-0005-0000-0000-000059260000}"/>
    <cellStyle name="Normal 4 38 2 2" xfId="6312" xr:uid="{00000000-0005-0000-0000-00005A260000}"/>
    <cellStyle name="Normal 4 38 3" xfId="4782" xr:uid="{00000000-0005-0000-0000-00005B260000}"/>
    <cellStyle name="Normal 4 39" xfId="1229" xr:uid="{00000000-0005-0000-0000-00005C260000}"/>
    <cellStyle name="Normal 4 39 2" xfId="3239" xr:uid="{00000000-0005-0000-0000-00005D260000}"/>
    <cellStyle name="Normal 4 39 2 2" xfId="6313" xr:uid="{00000000-0005-0000-0000-00005E260000}"/>
    <cellStyle name="Normal 4 39 3" xfId="4783" xr:uid="{00000000-0005-0000-0000-00005F260000}"/>
    <cellStyle name="Normal 4 4" xfId="1230" xr:uid="{00000000-0005-0000-0000-000060260000}"/>
    <cellStyle name="Normal 4 4 10" xfId="1231" xr:uid="{00000000-0005-0000-0000-000061260000}"/>
    <cellStyle name="Normal 4 4 10 2" xfId="3241" xr:uid="{00000000-0005-0000-0000-000062260000}"/>
    <cellStyle name="Normal 4 4 10 2 2" xfId="6315" xr:uid="{00000000-0005-0000-0000-000063260000}"/>
    <cellStyle name="Normal 4 4 10 3" xfId="4785" xr:uid="{00000000-0005-0000-0000-000064260000}"/>
    <cellStyle name="Normal 4 4 11" xfId="1232" xr:uid="{00000000-0005-0000-0000-000065260000}"/>
    <cellStyle name="Normal 4 4 11 2" xfId="3242" xr:uid="{00000000-0005-0000-0000-000066260000}"/>
    <cellStyle name="Normal 4 4 11 2 2" xfId="6316" xr:uid="{00000000-0005-0000-0000-000067260000}"/>
    <cellStyle name="Normal 4 4 11 3" xfId="4786" xr:uid="{00000000-0005-0000-0000-000068260000}"/>
    <cellStyle name="Normal 4 4 12" xfId="1233" xr:uid="{00000000-0005-0000-0000-000069260000}"/>
    <cellStyle name="Normal 4 4 12 2" xfId="3243" xr:uid="{00000000-0005-0000-0000-00006A260000}"/>
    <cellStyle name="Normal 4 4 12 2 2" xfId="6317" xr:uid="{00000000-0005-0000-0000-00006B260000}"/>
    <cellStyle name="Normal 4 4 12 3" xfId="4787" xr:uid="{00000000-0005-0000-0000-00006C260000}"/>
    <cellStyle name="Normal 4 4 13" xfId="1234" xr:uid="{00000000-0005-0000-0000-00006D260000}"/>
    <cellStyle name="Normal 4 4 13 2" xfId="3244" xr:uid="{00000000-0005-0000-0000-00006E260000}"/>
    <cellStyle name="Normal 4 4 13 2 2" xfId="6318" xr:uid="{00000000-0005-0000-0000-00006F260000}"/>
    <cellStyle name="Normal 4 4 13 3" xfId="4788" xr:uid="{00000000-0005-0000-0000-000070260000}"/>
    <cellStyle name="Normal 4 4 14" xfId="1235" xr:uid="{00000000-0005-0000-0000-000071260000}"/>
    <cellStyle name="Normal 4 4 14 2" xfId="3245" xr:uid="{00000000-0005-0000-0000-000072260000}"/>
    <cellStyle name="Normal 4 4 14 2 2" xfId="6319" xr:uid="{00000000-0005-0000-0000-000073260000}"/>
    <cellStyle name="Normal 4 4 14 3" xfId="4789" xr:uid="{00000000-0005-0000-0000-000074260000}"/>
    <cellStyle name="Normal 4 4 15" xfId="1236" xr:uid="{00000000-0005-0000-0000-000075260000}"/>
    <cellStyle name="Normal 4 4 15 2" xfId="3246" xr:uid="{00000000-0005-0000-0000-000076260000}"/>
    <cellStyle name="Normal 4 4 15 2 2" xfId="6320" xr:uid="{00000000-0005-0000-0000-000077260000}"/>
    <cellStyle name="Normal 4 4 15 3" xfId="4790" xr:uid="{00000000-0005-0000-0000-000078260000}"/>
    <cellStyle name="Normal 4 4 16" xfId="1237" xr:uid="{00000000-0005-0000-0000-000079260000}"/>
    <cellStyle name="Normal 4 4 16 2" xfId="3247" xr:uid="{00000000-0005-0000-0000-00007A260000}"/>
    <cellStyle name="Normal 4 4 16 2 2" xfId="6321" xr:uid="{00000000-0005-0000-0000-00007B260000}"/>
    <cellStyle name="Normal 4 4 16 3" xfId="4791" xr:uid="{00000000-0005-0000-0000-00007C260000}"/>
    <cellStyle name="Normal 4 4 17" xfId="1238" xr:uid="{00000000-0005-0000-0000-00007D260000}"/>
    <cellStyle name="Normal 4 4 17 2" xfId="3248" xr:uid="{00000000-0005-0000-0000-00007E260000}"/>
    <cellStyle name="Normal 4 4 17 2 2" xfId="6322" xr:uid="{00000000-0005-0000-0000-00007F260000}"/>
    <cellStyle name="Normal 4 4 17 3" xfId="4792" xr:uid="{00000000-0005-0000-0000-000080260000}"/>
    <cellStyle name="Normal 4 4 18" xfId="1239" xr:uid="{00000000-0005-0000-0000-000081260000}"/>
    <cellStyle name="Normal 4 4 18 2" xfId="3249" xr:uid="{00000000-0005-0000-0000-000082260000}"/>
    <cellStyle name="Normal 4 4 18 2 2" xfId="6323" xr:uid="{00000000-0005-0000-0000-000083260000}"/>
    <cellStyle name="Normal 4 4 18 3" xfId="4793" xr:uid="{00000000-0005-0000-0000-000084260000}"/>
    <cellStyle name="Normal 4 4 19" xfId="1240" xr:uid="{00000000-0005-0000-0000-000085260000}"/>
    <cellStyle name="Normal 4 4 19 2" xfId="3250" xr:uid="{00000000-0005-0000-0000-000086260000}"/>
    <cellStyle name="Normal 4 4 19 2 2" xfId="6324" xr:uid="{00000000-0005-0000-0000-000087260000}"/>
    <cellStyle name="Normal 4 4 19 3" xfId="4794" xr:uid="{00000000-0005-0000-0000-000088260000}"/>
    <cellStyle name="Normal 4 4 2" xfId="1241" xr:uid="{00000000-0005-0000-0000-000089260000}"/>
    <cellStyle name="Normal 4 4 2 2" xfId="3251" xr:uid="{00000000-0005-0000-0000-00008A260000}"/>
    <cellStyle name="Normal 4 4 2 2 2" xfId="6325" xr:uid="{00000000-0005-0000-0000-00008B260000}"/>
    <cellStyle name="Normal 4 4 2 3" xfId="4795" xr:uid="{00000000-0005-0000-0000-00008C260000}"/>
    <cellStyle name="Normal 4 4 20" xfId="1242" xr:uid="{00000000-0005-0000-0000-00008D260000}"/>
    <cellStyle name="Normal 4 4 20 2" xfId="3252" xr:uid="{00000000-0005-0000-0000-00008E260000}"/>
    <cellStyle name="Normal 4 4 20 2 2" xfId="6326" xr:uid="{00000000-0005-0000-0000-00008F260000}"/>
    <cellStyle name="Normal 4 4 20 3" xfId="4796" xr:uid="{00000000-0005-0000-0000-000090260000}"/>
    <cellStyle name="Normal 4 4 21" xfId="1243" xr:uid="{00000000-0005-0000-0000-000091260000}"/>
    <cellStyle name="Normal 4 4 21 2" xfId="3253" xr:uid="{00000000-0005-0000-0000-000092260000}"/>
    <cellStyle name="Normal 4 4 21 2 2" xfId="6327" xr:uid="{00000000-0005-0000-0000-000093260000}"/>
    <cellStyle name="Normal 4 4 21 3" xfId="4797" xr:uid="{00000000-0005-0000-0000-000094260000}"/>
    <cellStyle name="Normal 4 4 22" xfId="1244" xr:uid="{00000000-0005-0000-0000-000095260000}"/>
    <cellStyle name="Normal 4 4 22 2" xfId="3254" xr:uid="{00000000-0005-0000-0000-000096260000}"/>
    <cellStyle name="Normal 4 4 22 2 2" xfId="6328" xr:uid="{00000000-0005-0000-0000-000097260000}"/>
    <cellStyle name="Normal 4 4 22 3" xfId="4798" xr:uid="{00000000-0005-0000-0000-000098260000}"/>
    <cellStyle name="Normal 4 4 23" xfId="1245" xr:uid="{00000000-0005-0000-0000-000099260000}"/>
    <cellStyle name="Normal 4 4 23 2" xfId="3255" xr:uid="{00000000-0005-0000-0000-00009A260000}"/>
    <cellStyle name="Normal 4 4 23 2 2" xfId="6329" xr:uid="{00000000-0005-0000-0000-00009B260000}"/>
    <cellStyle name="Normal 4 4 23 3" xfId="4799" xr:uid="{00000000-0005-0000-0000-00009C260000}"/>
    <cellStyle name="Normal 4 4 24" xfId="1246" xr:uid="{00000000-0005-0000-0000-00009D260000}"/>
    <cellStyle name="Normal 4 4 24 2" xfId="3256" xr:uid="{00000000-0005-0000-0000-00009E260000}"/>
    <cellStyle name="Normal 4 4 24 2 2" xfId="6330" xr:uid="{00000000-0005-0000-0000-00009F260000}"/>
    <cellStyle name="Normal 4 4 24 3" xfId="4800" xr:uid="{00000000-0005-0000-0000-0000A0260000}"/>
    <cellStyle name="Normal 4 4 25" xfId="1247" xr:uid="{00000000-0005-0000-0000-0000A1260000}"/>
    <cellStyle name="Normal 4 4 25 2" xfId="3257" xr:uid="{00000000-0005-0000-0000-0000A2260000}"/>
    <cellStyle name="Normal 4 4 25 2 2" xfId="6331" xr:uid="{00000000-0005-0000-0000-0000A3260000}"/>
    <cellStyle name="Normal 4 4 25 3" xfId="4801" xr:uid="{00000000-0005-0000-0000-0000A4260000}"/>
    <cellStyle name="Normal 4 4 26" xfId="1248" xr:uid="{00000000-0005-0000-0000-0000A5260000}"/>
    <cellStyle name="Normal 4 4 26 2" xfId="3258" xr:uid="{00000000-0005-0000-0000-0000A6260000}"/>
    <cellStyle name="Normal 4 4 26 2 2" xfId="6332" xr:uid="{00000000-0005-0000-0000-0000A7260000}"/>
    <cellStyle name="Normal 4 4 26 3" xfId="4802" xr:uid="{00000000-0005-0000-0000-0000A8260000}"/>
    <cellStyle name="Normal 4 4 27" xfId="1249" xr:uid="{00000000-0005-0000-0000-0000A9260000}"/>
    <cellStyle name="Normal 4 4 27 2" xfId="3259" xr:uid="{00000000-0005-0000-0000-0000AA260000}"/>
    <cellStyle name="Normal 4 4 27 2 2" xfId="6333" xr:uid="{00000000-0005-0000-0000-0000AB260000}"/>
    <cellStyle name="Normal 4 4 27 3" xfId="4803" xr:uid="{00000000-0005-0000-0000-0000AC260000}"/>
    <cellStyle name="Normal 4 4 28" xfId="1250" xr:uid="{00000000-0005-0000-0000-0000AD260000}"/>
    <cellStyle name="Normal 4 4 28 2" xfId="3260" xr:uid="{00000000-0005-0000-0000-0000AE260000}"/>
    <cellStyle name="Normal 4 4 28 2 2" xfId="6334" xr:uid="{00000000-0005-0000-0000-0000AF260000}"/>
    <cellStyle name="Normal 4 4 28 3" xfId="4804" xr:uid="{00000000-0005-0000-0000-0000B0260000}"/>
    <cellStyle name="Normal 4 4 29" xfId="1251" xr:uid="{00000000-0005-0000-0000-0000B1260000}"/>
    <cellStyle name="Normal 4 4 29 2" xfId="3261" xr:uid="{00000000-0005-0000-0000-0000B2260000}"/>
    <cellStyle name="Normal 4 4 29 2 2" xfId="6335" xr:uid="{00000000-0005-0000-0000-0000B3260000}"/>
    <cellStyle name="Normal 4 4 29 3" xfId="4805" xr:uid="{00000000-0005-0000-0000-0000B4260000}"/>
    <cellStyle name="Normal 4 4 3" xfId="1252" xr:uid="{00000000-0005-0000-0000-0000B5260000}"/>
    <cellStyle name="Normal 4 4 3 2" xfId="3262" xr:uid="{00000000-0005-0000-0000-0000B6260000}"/>
    <cellStyle name="Normal 4 4 3 2 2" xfId="6336" xr:uid="{00000000-0005-0000-0000-0000B7260000}"/>
    <cellStyle name="Normal 4 4 3 3" xfId="4806" xr:uid="{00000000-0005-0000-0000-0000B8260000}"/>
    <cellStyle name="Normal 4 4 30" xfId="1253" xr:uid="{00000000-0005-0000-0000-0000B9260000}"/>
    <cellStyle name="Normal 4 4 30 2" xfId="3263" xr:uid="{00000000-0005-0000-0000-0000BA260000}"/>
    <cellStyle name="Normal 4 4 30 2 2" xfId="6337" xr:uid="{00000000-0005-0000-0000-0000BB260000}"/>
    <cellStyle name="Normal 4 4 30 3" xfId="4807" xr:uid="{00000000-0005-0000-0000-0000BC260000}"/>
    <cellStyle name="Normal 4 4 31" xfId="1254" xr:uid="{00000000-0005-0000-0000-0000BD260000}"/>
    <cellStyle name="Normal 4 4 31 2" xfId="3264" xr:uid="{00000000-0005-0000-0000-0000BE260000}"/>
    <cellStyle name="Normal 4 4 31 2 2" xfId="6338" xr:uid="{00000000-0005-0000-0000-0000BF260000}"/>
    <cellStyle name="Normal 4 4 31 3" xfId="4808" xr:uid="{00000000-0005-0000-0000-0000C0260000}"/>
    <cellStyle name="Normal 4 4 32" xfId="1255" xr:uid="{00000000-0005-0000-0000-0000C1260000}"/>
    <cellStyle name="Normal 4 4 32 2" xfId="3265" xr:uid="{00000000-0005-0000-0000-0000C2260000}"/>
    <cellStyle name="Normal 4 4 32 2 2" xfId="6339" xr:uid="{00000000-0005-0000-0000-0000C3260000}"/>
    <cellStyle name="Normal 4 4 32 3" xfId="4809" xr:uid="{00000000-0005-0000-0000-0000C4260000}"/>
    <cellStyle name="Normal 4 4 33" xfId="1256" xr:uid="{00000000-0005-0000-0000-0000C5260000}"/>
    <cellStyle name="Normal 4 4 33 2" xfId="3266" xr:uid="{00000000-0005-0000-0000-0000C6260000}"/>
    <cellStyle name="Normal 4 4 33 2 2" xfId="6340" xr:uid="{00000000-0005-0000-0000-0000C7260000}"/>
    <cellStyle name="Normal 4 4 33 3" xfId="4810" xr:uid="{00000000-0005-0000-0000-0000C8260000}"/>
    <cellStyle name="Normal 4 4 34" xfId="1257" xr:uid="{00000000-0005-0000-0000-0000C9260000}"/>
    <cellStyle name="Normal 4 4 34 2" xfId="3267" xr:uid="{00000000-0005-0000-0000-0000CA260000}"/>
    <cellStyle name="Normal 4 4 34 2 2" xfId="6341" xr:uid="{00000000-0005-0000-0000-0000CB260000}"/>
    <cellStyle name="Normal 4 4 34 3" xfId="4811" xr:uid="{00000000-0005-0000-0000-0000CC260000}"/>
    <cellStyle name="Normal 4 4 35" xfId="1258" xr:uid="{00000000-0005-0000-0000-0000CD260000}"/>
    <cellStyle name="Normal 4 4 35 2" xfId="3268" xr:uid="{00000000-0005-0000-0000-0000CE260000}"/>
    <cellStyle name="Normal 4 4 35 2 2" xfId="6342" xr:uid="{00000000-0005-0000-0000-0000CF260000}"/>
    <cellStyle name="Normal 4 4 35 3" xfId="4812" xr:uid="{00000000-0005-0000-0000-0000D0260000}"/>
    <cellStyle name="Normal 4 4 36" xfId="1259" xr:uid="{00000000-0005-0000-0000-0000D1260000}"/>
    <cellStyle name="Normal 4 4 36 2" xfId="3269" xr:uid="{00000000-0005-0000-0000-0000D2260000}"/>
    <cellStyle name="Normal 4 4 36 2 2" xfId="6343" xr:uid="{00000000-0005-0000-0000-0000D3260000}"/>
    <cellStyle name="Normal 4 4 36 3" xfId="4813" xr:uid="{00000000-0005-0000-0000-0000D4260000}"/>
    <cellStyle name="Normal 4 4 37" xfId="1260" xr:uid="{00000000-0005-0000-0000-0000D5260000}"/>
    <cellStyle name="Normal 4 4 37 2" xfId="3270" xr:uid="{00000000-0005-0000-0000-0000D6260000}"/>
    <cellStyle name="Normal 4 4 37 2 2" xfId="6344" xr:uid="{00000000-0005-0000-0000-0000D7260000}"/>
    <cellStyle name="Normal 4 4 37 3" xfId="4814" xr:uid="{00000000-0005-0000-0000-0000D8260000}"/>
    <cellStyle name="Normal 4 4 38" xfId="1261" xr:uid="{00000000-0005-0000-0000-0000D9260000}"/>
    <cellStyle name="Normal 4 4 38 2" xfId="3271" xr:uid="{00000000-0005-0000-0000-0000DA260000}"/>
    <cellStyle name="Normal 4 4 38 2 2" xfId="6345" xr:uid="{00000000-0005-0000-0000-0000DB260000}"/>
    <cellStyle name="Normal 4 4 38 3" xfId="4815" xr:uid="{00000000-0005-0000-0000-0000DC260000}"/>
    <cellStyle name="Normal 4 4 39" xfId="1262" xr:uid="{00000000-0005-0000-0000-0000DD260000}"/>
    <cellStyle name="Normal 4 4 39 2" xfId="3272" xr:uid="{00000000-0005-0000-0000-0000DE260000}"/>
    <cellStyle name="Normal 4 4 39 2 2" xfId="6346" xr:uid="{00000000-0005-0000-0000-0000DF260000}"/>
    <cellStyle name="Normal 4 4 39 3" xfId="4816" xr:uid="{00000000-0005-0000-0000-0000E0260000}"/>
    <cellStyle name="Normal 4 4 4" xfId="1263" xr:uid="{00000000-0005-0000-0000-0000E1260000}"/>
    <cellStyle name="Normal 4 4 4 2" xfId="3273" xr:uid="{00000000-0005-0000-0000-0000E2260000}"/>
    <cellStyle name="Normal 4 4 4 2 2" xfId="6347" xr:uid="{00000000-0005-0000-0000-0000E3260000}"/>
    <cellStyle name="Normal 4 4 4 3" xfId="4817" xr:uid="{00000000-0005-0000-0000-0000E4260000}"/>
    <cellStyle name="Normal 4 4 40" xfId="1264" xr:uid="{00000000-0005-0000-0000-0000E5260000}"/>
    <cellStyle name="Normal 4 4 40 2" xfId="3274" xr:uid="{00000000-0005-0000-0000-0000E6260000}"/>
    <cellStyle name="Normal 4 4 40 2 2" xfId="6348" xr:uid="{00000000-0005-0000-0000-0000E7260000}"/>
    <cellStyle name="Normal 4 4 40 3" xfId="4818" xr:uid="{00000000-0005-0000-0000-0000E8260000}"/>
    <cellStyle name="Normal 4 4 41" xfId="1265" xr:uid="{00000000-0005-0000-0000-0000E9260000}"/>
    <cellStyle name="Normal 4 4 41 2" xfId="3275" xr:uid="{00000000-0005-0000-0000-0000EA260000}"/>
    <cellStyle name="Normal 4 4 41 2 2" xfId="6349" xr:uid="{00000000-0005-0000-0000-0000EB260000}"/>
    <cellStyle name="Normal 4 4 41 3" xfId="4819" xr:uid="{00000000-0005-0000-0000-0000EC260000}"/>
    <cellStyle name="Normal 4 4 42" xfId="1266" xr:uid="{00000000-0005-0000-0000-0000ED260000}"/>
    <cellStyle name="Normal 4 4 42 2" xfId="3276" xr:uid="{00000000-0005-0000-0000-0000EE260000}"/>
    <cellStyle name="Normal 4 4 42 2 2" xfId="6350" xr:uid="{00000000-0005-0000-0000-0000EF260000}"/>
    <cellStyle name="Normal 4 4 42 3" xfId="4820" xr:uid="{00000000-0005-0000-0000-0000F0260000}"/>
    <cellStyle name="Normal 4 4 43" xfId="1267" xr:uid="{00000000-0005-0000-0000-0000F1260000}"/>
    <cellStyle name="Normal 4 4 43 2" xfId="3277" xr:uid="{00000000-0005-0000-0000-0000F2260000}"/>
    <cellStyle name="Normal 4 4 43 2 2" xfId="6351" xr:uid="{00000000-0005-0000-0000-0000F3260000}"/>
    <cellStyle name="Normal 4 4 43 3" xfId="4821" xr:uid="{00000000-0005-0000-0000-0000F4260000}"/>
    <cellStyle name="Normal 4 4 44" xfId="1268" xr:uid="{00000000-0005-0000-0000-0000F5260000}"/>
    <cellStyle name="Normal 4 4 44 2" xfId="3278" xr:uid="{00000000-0005-0000-0000-0000F6260000}"/>
    <cellStyle name="Normal 4 4 44 2 2" xfId="6352" xr:uid="{00000000-0005-0000-0000-0000F7260000}"/>
    <cellStyle name="Normal 4 4 44 3" xfId="4822" xr:uid="{00000000-0005-0000-0000-0000F8260000}"/>
    <cellStyle name="Normal 4 4 45" xfId="3240" xr:uid="{00000000-0005-0000-0000-0000F9260000}"/>
    <cellStyle name="Normal 4 4 45 2" xfId="6314" xr:uid="{00000000-0005-0000-0000-0000FA260000}"/>
    <cellStyle name="Normal 4 4 46" xfId="4784" xr:uid="{00000000-0005-0000-0000-0000FB260000}"/>
    <cellStyle name="Normal 4 4 5" xfId="1269" xr:uid="{00000000-0005-0000-0000-0000FC260000}"/>
    <cellStyle name="Normal 4 4 5 2" xfId="3279" xr:uid="{00000000-0005-0000-0000-0000FD260000}"/>
    <cellStyle name="Normal 4 4 5 2 2" xfId="6353" xr:uid="{00000000-0005-0000-0000-0000FE260000}"/>
    <cellStyle name="Normal 4 4 5 3" xfId="4823" xr:uid="{00000000-0005-0000-0000-0000FF260000}"/>
    <cellStyle name="Normal 4 4 6" xfId="1270" xr:uid="{00000000-0005-0000-0000-000000270000}"/>
    <cellStyle name="Normal 4 4 6 2" xfId="3280" xr:uid="{00000000-0005-0000-0000-000001270000}"/>
    <cellStyle name="Normal 4 4 6 2 2" xfId="6354" xr:uid="{00000000-0005-0000-0000-000002270000}"/>
    <cellStyle name="Normal 4 4 6 3" xfId="4824" xr:uid="{00000000-0005-0000-0000-000003270000}"/>
    <cellStyle name="Normal 4 4 7" xfId="1271" xr:uid="{00000000-0005-0000-0000-000004270000}"/>
    <cellStyle name="Normal 4 4 7 2" xfId="3281" xr:uid="{00000000-0005-0000-0000-000005270000}"/>
    <cellStyle name="Normal 4 4 7 2 2" xfId="6355" xr:uid="{00000000-0005-0000-0000-000006270000}"/>
    <cellStyle name="Normal 4 4 7 3" xfId="4825" xr:uid="{00000000-0005-0000-0000-000007270000}"/>
    <cellStyle name="Normal 4 4 8" xfId="1272" xr:uid="{00000000-0005-0000-0000-000008270000}"/>
    <cellStyle name="Normal 4 4 8 2" xfId="3282" xr:uid="{00000000-0005-0000-0000-000009270000}"/>
    <cellStyle name="Normal 4 4 8 2 2" xfId="6356" xr:uid="{00000000-0005-0000-0000-00000A270000}"/>
    <cellStyle name="Normal 4 4 8 3" xfId="4826" xr:uid="{00000000-0005-0000-0000-00000B270000}"/>
    <cellStyle name="Normal 4 4 9" xfId="1273" xr:uid="{00000000-0005-0000-0000-00000C270000}"/>
    <cellStyle name="Normal 4 4 9 2" xfId="3283" xr:uid="{00000000-0005-0000-0000-00000D270000}"/>
    <cellStyle name="Normal 4 4 9 2 2" xfId="6357" xr:uid="{00000000-0005-0000-0000-00000E270000}"/>
    <cellStyle name="Normal 4 4 9 3" xfId="4827" xr:uid="{00000000-0005-0000-0000-00000F270000}"/>
    <cellStyle name="Normal 4 40" xfId="1274" xr:uid="{00000000-0005-0000-0000-000010270000}"/>
    <cellStyle name="Normal 4 40 2" xfId="3284" xr:uid="{00000000-0005-0000-0000-000011270000}"/>
    <cellStyle name="Normal 4 40 2 2" xfId="6358" xr:uid="{00000000-0005-0000-0000-000012270000}"/>
    <cellStyle name="Normal 4 40 3" xfId="4828" xr:uid="{00000000-0005-0000-0000-000013270000}"/>
    <cellStyle name="Normal 4 41" xfId="1275" xr:uid="{00000000-0005-0000-0000-000014270000}"/>
    <cellStyle name="Normal 4 41 2" xfId="3285" xr:uid="{00000000-0005-0000-0000-000015270000}"/>
    <cellStyle name="Normal 4 41 2 2" xfId="6359" xr:uid="{00000000-0005-0000-0000-000016270000}"/>
    <cellStyle name="Normal 4 41 3" xfId="4829" xr:uid="{00000000-0005-0000-0000-000017270000}"/>
    <cellStyle name="Normal 4 42" xfId="1276" xr:uid="{00000000-0005-0000-0000-000018270000}"/>
    <cellStyle name="Normal 4 42 2" xfId="3286" xr:uid="{00000000-0005-0000-0000-000019270000}"/>
    <cellStyle name="Normal 4 42 2 2" xfId="6360" xr:uid="{00000000-0005-0000-0000-00001A270000}"/>
    <cellStyle name="Normal 4 42 3" xfId="4830" xr:uid="{00000000-0005-0000-0000-00001B270000}"/>
    <cellStyle name="Normal 4 43" xfId="1277" xr:uid="{00000000-0005-0000-0000-00001C270000}"/>
    <cellStyle name="Normal 4 43 2" xfId="3287" xr:uid="{00000000-0005-0000-0000-00001D270000}"/>
    <cellStyle name="Normal 4 43 2 2" xfId="6361" xr:uid="{00000000-0005-0000-0000-00001E270000}"/>
    <cellStyle name="Normal 4 43 3" xfId="4831" xr:uid="{00000000-0005-0000-0000-00001F270000}"/>
    <cellStyle name="Normal 4 44" xfId="1278" xr:uid="{00000000-0005-0000-0000-000020270000}"/>
    <cellStyle name="Normal 4 44 2" xfId="3288" xr:uid="{00000000-0005-0000-0000-000021270000}"/>
    <cellStyle name="Normal 4 44 2 2" xfId="6362" xr:uid="{00000000-0005-0000-0000-000022270000}"/>
    <cellStyle name="Normal 4 44 3" xfId="4832" xr:uid="{00000000-0005-0000-0000-000023270000}"/>
    <cellStyle name="Normal 4 45" xfId="1279" xr:uid="{00000000-0005-0000-0000-000024270000}"/>
    <cellStyle name="Normal 4 45 2" xfId="3289" xr:uid="{00000000-0005-0000-0000-000025270000}"/>
    <cellStyle name="Normal 4 45 2 2" xfId="6363" xr:uid="{00000000-0005-0000-0000-000026270000}"/>
    <cellStyle name="Normal 4 45 3" xfId="4833" xr:uid="{00000000-0005-0000-0000-000027270000}"/>
    <cellStyle name="Normal 4 46" xfId="1280" xr:uid="{00000000-0005-0000-0000-000028270000}"/>
    <cellStyle name="Normal 4 46 2" xfId="3290" xr:uid="{00000000-0005-0000-0000-000029270000}"/>
    <cellStyle name="Normal 4 46 2 2" xfId="6364" xr:uid="{00000000-0005-0000-0000-00002A270000}"/>
    <cellStyle name="Normal 4 46 3" xfId="4834" xr:uid="{00000000-0005-0000-0000-00002B270000}"/>
    <cellStyle name="Normal 4 47" xfId="1281" xr:uid="{00000000-0005-0000-0000-00002C270000}"/>
    <cellStyle name="Normal 4 47 2" xfId="3291" xr:uid="{00000000-0005-0000-0000-00002D270000}"/>
    <cellStyle name="Normal 4 47 2 2" xfId="6365" xr:uid="{00000000-0005-0000-0000-00002E270000}"/>
    <cellStyle name="Normal 4 47 3" xfId="4835" xr:uid="{00000000-0005-0000-0000-00002F270000}"/>
    <cellStyle name="Normal 4 48" xfId="1282" xr:uid="{00000000-0005-0000-0000-000030270000}"/>
    <cellStyle name="Normal 4 48 2" xfId="3292" xr:uid="{00000000-0005-0000-0000-000031270000}"/>
    <cellStyle name="Normal 4 48 2 2" xfId="6366" xr:uid="{00000000-0005-0000-0000-000032270000}"/>
    <cellStyle name="Normal 4 48 3" xfId="4836" xr:uid="{00000000-0005-0000-0000-000033270000}"/>
    <cellStyle name="Normal 4 49" xfId="1283" xr:uid="{00000000-0005-0000-0000-000034270000}"/>
    <cellStyle name="Normal 4 49 2" xfId="3293" xr:uid="{00000000-0005-0000-0000-000035270000}"/>
    <cellStyle name="Normal 4 49 2 2" xfId="6367" xr:uid="{00000000-0005-0000-0000-000036270000}"/>
    <cellStyle name="Normal 4 49 3" xfId="4837" xr:uid="{00000000-0005-0000-0000-000037270000}"/>
    <cellStyle name="Normal 4 5" xfId="1284" xr:uid="{00000000-0005-0000-0000-000038270000}"/>
    <cellStyle name="Normal 4 5 10" xfId="1285" xr:uid="{00000000-0005-0000-0000-000039270000}"/>
    <cellStyle name="Normal 4 5 10 2" xfId="3295" xr:uid="{00000000-0005-0000-0000-00003A270000}"/>
    <cellStyle name="Normal 4 5 10 2 2" xfId="6369" xr:uid="{00000000-0005-0000-0000-00003B270000}"/>
    <cellStyle name="Normal 4 5 10 3" xfId="4839" xr:uid="{00000000-0005-0000-0000-00003C270000}"/>
    <cellStyle name="Normal 4 5 11" xfId="1286" xr:uid="{00000000-0005-0000-0000-00003D270000}"/>
    <cellStyle name="Normal 4 5 11 2" xfId="3296" xr:uid="{00000000-0005-0000-0000-00003E270000}"/>
    <cellStyle name="Normal 4 5 11 2 2" xfId="6370" xr:uid="{00000000-0005-0000-0000-00003F270000}"/>
    <cellStyle name="Normal 4 5 11 3" xfId="4840" xr:uid="{00000000-0005-0000-0000-000040270000}"/>
    <cellStyle name="Normal 4 5 12" xfId="1287" xr:uid="{00000000-0005-0000-0000-000041270000}"/>
    <cellStyle name="Normal 4 5 12 2" xfId="3297" xr:uid="{00000000-0005-0000-0000-000042270000}"/>
    <cellStyle name="Normal 4 5 12 2 2" xfId="6371" xr:uid="{00000000-0005-0000-0000-000043270000}"/>
    <cellStyle name="Normal 4 5 12 3" xfId="4841" xr:uid="{00000000-0005-0000-0000-000044270000}"/>
    <cellStyle name="Normal 4 5 13" xfId="1288" xr:uid="{00000000-0005-0000-0000-000045270000}"/>
    <cellStyle name="Normal 4 5 13 2" xfId="3298" xr:uid="{00000000-0005-0000-0000-000046270000}"/>
    <cellStyle name="Normal 4 5 13 2 2" xfId="6372" xr:uid="{00000000-0005-0000-0000-000047270000}"/>
    <cellStyle name="Normal 4 5 13 3" xfId="4842" xr:uid="{00000000-0005-0000-0000-000048270000}"/>
    <cellStyle name="Normal 4 5 14" xfId="1289" xr:uid="{00000000-0005-0000-0000-000049270000}"/>
    <cellStyle name="Normal 4 5 14 2" xfId="3299" xr:uid="{00000000-0005-0000-0000-00004A270000}"/>
    <cellStyle name="Normal 4 5 14 2 2" xfId="6373" xr:uid="{00000000-0005-0000-0000-00004B270000}"/>
    <cellStyle name="Normal 4 5 14 3" xfId="4843" xr:uid="{00000000-0005-0000-0000-00004C270000}"/>
    <cellStyle name="Normal 4 5 15" xfId="1290" xr:uid="{00000000-0005-0000-0000-00004D270000}"/>
    <cellStyle name="Normal 4 5 15 2" xfId="3300" xr:uid="{00000000-0005-0000-0000-00004E270000}"/>
    <cellStyle name="Normal 4 5 15 2 2" xfId="6374" xr:uid="{00000000-0005-0000-0000-00004F270000}"/>
    <cellStyle name="Normal 4 5 15 3" xfId="4844" xr:uid="{00000000-0005-0000-0000-000050270000}"/>
    <cellStyle name="Normal 4 5 16" xfId="1291" xr:uid="{00000000-0005-0000-0000-000051270000}"/>
    <cellStyle name="Normal 4 5 16 2" xfId="3301" xr:uid="{00000000-0005-0000-0000-000052270000}"/>
    <cellStyle name="Normal 4 5 16 2 2" xfId="6375" xr:uid="{00000000-0005-0000-0000-000053270000}"/>
    <cellStyle name="Normal 4 5 16 3" xfId="4845" xr:uid="{00000000-0005-0000-0000-000054270000}"/>
    <cellStyle name="Normal 4 5 17" xfId="1292" xr:uid="{00000000-0005-0000-0000-000055270000}"/>
    <cellStyle name="Normal 4 5 17 2" xfId="3302" xr:uid="{00000000-0005-0000-0000-000056270000}"/>
    <cellStyle name="Normal 4 5 17 2 2" xfId="6376" xr:uid="{00000000-0005-0000-0000-000057270000}"/>
    <cellStyle name="Normal 4 5 17 3" xfId="4846" xr:uid="{00000000-0005-0000-0000-000058270000}"/>
    <cellStyle name="Normal 4 5 18" xfId="1293" xr:uid="{00000000-0005-0000-0000-000059270000}"/>
    <cellStyle name="Normal 4 5 18 2" xfId="3303" xr:uid="{00000000-0005-0000-0000-00005A270000}"/>
    <cellStyle name="Normal 4 5 18 2 2" xfId="6377" xr:uid="{00000000-0005-0000-0000-00005B270000}"/>
    <cellStyle name="Normal 4 5 18 3" xfId="4847" xr:uid="{00000000-0005-0000-0000-00005C270000}"/>
    <cellStyle name="Normal 4 5 19" xfId="1294" xr:uid="{00000000-0005-0000-0000-00005D270000}"/>
    <cellStyle name="Normal 4 5 19 2" xfId="3304" xr:uid="{00000000-0005-0000-0000-00005E270000}"/>
    <cellStyle name="Normal 4 5 19 2 2" xfId="6378" xr:uid="{00000000-0005-0000-0000-00005F270000}"/>
    <cellStyle name="Normal 4 5 19 3" xfId="4848" xr:uid="{00000000-0005-0000-0000-000060270000}"/>
    <cellStyle name="Normal 4 5 2" xfId="1295" xr:uid="{00000000-0005-0000-0000-000061270000}"/>
    <cellStyle name="Normal 4 5 2 2" xfId="3305" xr:uid="{00000000-0005-0000-0000-000062270000}"/>
    <cellStyle name="Normal 4 5 2 2 2" xfId="6379" xr:uid="{00000000-0005-0000-0000-000063270000}"/>
    <cellStyle name="Normal 4 5 2 3" xfId="4849" xr:uid="{00000000-0005-0000-0000-000064270000}"/>
    <cellStyle name="Normal 4 5 20" xfId="1296" xr:uid="{00000000-0005-0000-0000-000065270000}"/>
    <cellStyle name="Normal 4 5 20 2" xfId="3306" xr:uid="{00000000-0005-0000-0000-000066270000}"/>
    <cellStyle name="Normal 4 5 20 2 2" xfId="6380" xr:uid="{00000000-0005-0000-0000-000067270000}"/>
    <cellStyle name="Normal 4 5 20 3" xfId="4850" xr:uid="{00000000-0005-0000-0000-000068270000}"/>
    <cellStyle name="Normal 4 5 21" xfId="1297" xr:uid="{00000000-0005-0000-0000-000069270000}"/>
    <cellStyle name="Normal 4 5 21 2" xfId="3307" xr:uid="{00000000-0005-0000-0000-00006A270000}"/>
    <cellStyle name="Normal 4 5 21 2 2" xfId="6381" xr:uid="{00000000-0005-0000-0000-00006B270000}"/>
    <cellStyle name="Normal 4 5 21 3" xfId="4851" xr:uid="{00000000-0005-0000-0000-00006C270000}"/>
    <cellStyle name="Normal 4 5 22" xfId="1298" xr:uid="{00000000-0005-0000-0000-00006D270000}"/>
    <cellStyle name="Normal 4 5 22 2" xfId="3308" xr:uid="{00000000-0005-0000-0000-00006E270000}"/>
    <cellStyle name="Normal 4 5 22 2 2" xfId="6382" xr:uid="{00000000-0005-0000-0000-00006F270000}"/>
    <cellStyle name="Normal 4 5 22 3" xfId="4852" xr:uid="{00000000-0005-0000-0000-000070270000}"/>
    <cellStyle name="Normal 4 5 23" xfId="1299" xr:uid="{00000000-0005-0000-0000-000071270000}"/>
    <cellStyle name="Normal 4 5 23 2" xfId="3309" xr:uid="{00000000-0005-0000-0000-000072270000}"/>
    <cellStyle name="Normal 4 5 23 2 2" xfId="6383" xr:uid="{00000000-0005-0000-0000-000073270000}"/>
    <cellStyle name="Normal 4 5 23 3" xfId="4853" xr:uid="{00000000-0005-0000-0000-000074270000}"/>
    <cellStyle name="Normal 4 5 24" xfId="1300" xr:uid="{00000000-0005-0000-0000-000075270000}"/>
    <cellStyle name="Normal 4 5 24 2" xfId="3310" xr:uid="{00000000-0005-0000-0000-000076270000}"/>
    <cellStyle name="Normal 4 5 24 2 2" xfId="6384" xr:uid="{00000000-0005-0000-0000-000077270000}"/>
    <cellStyle name="Normal 4 5 24 3" xfId="4854" xr:uid="{00000000-0005-0000-0000-000078270000}"/>
    <cellStyle name="Normal 4 5 25" xfId="1301" xr:uid="{00000000-0005-0000-0000-000079270000}"/>
    <cellStyle name="Normal 4 5 25 2" xfId="3311" xr:uid="{00000000-0005-0000-0000-00007A270000}"/>
    <cellStyle name="Normal 4 5 25 2 2" xfId="6385" xr:uid="{00000000-0005-0000-0000-00007B270000}"/>
    <cellStyle name="Normal 4 5 25 3" xfId="4855" xr:uid="{00000000-0005-0000-0000-00007C270000}"/>
    <cellStyle name="Normal 4 5 26" xfId="1302" xr:uid="{00000000-0005-0000-0000-00007D270000}"/>
    <cellStyle name="Normal 4 5 26 2" xfId="3312" xr:uid="{00000000-0005-0000-0000-00007E270000}"/>
    <cellStyle name="Normal 4 5 26 2 2" xfId="6386" xr:uid="{00000000-0005-0000-0000-00007F270000}"/>
    <cellStyle name="Normal 4 5 26 3" xfId="4856" xr:uid="{00000000-0005-0000-0000-000080270000}"/>
    <cellStyle name="Normal 4 5 27" xfId="1303" xr:uid="{00000000-0005-0000-0000-000081270000}"/>
    <cellStyle name="Normal 4 5 27 2" xfId="3313" xr:uid="{00000000-0005-0000-0000-000082270000}"/>
    <cellStyle name="Normal 4 5 27 2 2" xfId="6387" xr:uid="{00000000-0005-0000-0000-000083270000}"/>
    <cellStyle name="Normal 4 5 27 3" xfId="4857" xr:uid="{00000000-0005-0000-0000-000084270000}"/>
    <cellStyle name="Normal 4 5 28" xfId="1304" xr:uid="{00000000-0005-0000-0000-000085270000}"/>
    <cellStyle name="Normal 4 5 28 2" xfId="3314" xr:uid="{00000000-0005-0000-0000-000086270000}"/>
    <cellStyle name="Normal 4 5 28 2 2" xfId="6388" xr:uid="{00000000-0005-0000-0000-000087270000}"/>
    <cellStyle name="Normal 4 5 28 3" xfId="4858" xr:uid="{00000000-0005-0000-0000-000088270000}"/>
    <cellStyle name="Normal 4 5 29" xfId="1305" xr:uid="{00000000-0005-0000-0000-000089270000}"/>
    <cellStyle name="Normal 4 5 29 2" xfId="3315" xr:uid="{00000000-0005-0000-0000-00008A270000}"/>
    <cellStyle name="Normal 4 5 29 2 2" xfId="6389" xr:uid="{00000000-0005-0000-0000-00008B270000}"/>
    <cellStyle name="Normal 4 5 29 3" xfId="4859" xr:uid="{00000000-0005-0000-0000-00008C270000}"/>
    <cellStyle name="Normal 4 5 3" xfId="1306" xr:uid="{00000000-0005-0000-0000-00008D270000}"/>
    <cellStyle name="Normal 4 5 3 2" xfId="3316" xr:uid="{00000000-0005-0000-0000-00008E270000}"/>
    <cellStyle name="Normal 4 5 3 2 2" xfId="6390" xr:uid="{00000000-0005-0000-0000-00008F270000}"/>
    <cellStyle name="Normal 4 5 3 3" xfId="4860" xr:uid="{00000000-0005-0000-0000-000090270000}"/>
    <cellStyle name="Normal 4 5 30" xfId="1307" xr:uid="{00000000-0005-0000-0000-000091270000}"/>
    <cellStyle name="Normal 4 5 30 2" xfId="3317" xr:uid="{00000000-0005-0000-0000-000092270000}"/>
    <cellStyle name="Normal 4 5 30 2 2" xfId="6391" xr:uid="{00000000-0005-0000-0000-000093270000}"/>
    <cellStyle name="Normal 4 5 30 3" xfId="4861" xr:uid="{00000000-0005-0000-0000-000094270000}"/>
    <cellStyle name="Normal 4 5 31" xfId="1308" xr:uid="{00000000-0005-0000-0000-000095270000}"/>
    <cellStyle name="Normal 4 5 31 2" xfId="3318" xr:uid="{00000000-0005-0000-0000-000096270000}"/>
    <cellStyle name="Normal 4 5 31 2 2" xfId="6392" xr:uid="{00000000-0005-0000-0000-000097270000}"/>
    <cellStyle name="Normal 4 5 31 3" xfId="4862" xr:uid="{00000000-0005-0000-0000-000098270000}"/>
    <cellStyle name="Normal 4 5 32" xfId="1309" xr:uid="{00000000-0005-0000-0000-000099270000}"/>
    <cellStyle name="Normal 4 5 32 2" xfId="3319" xr:uid="{00000000-0005-0000-0000-00009A270000}"/>
    <cellStyle name="Normal 4 5 32 2 2" xfId="6393" xr:uid="{00000000-0005-0000-0000-00009B270000}"/>
    <cellStyle name="Normal 4 5 32 3" xfId="4863" xr:uid="{00000000-0005-0000-0000-00009C270000}"/>
    <cellStyle name="Normal 4 5 33" xfId="1310" xr:uid="{00000000-0005-0000-0000-00009D270000}"/>
    <cellStyle name="Normal 4 5 33 2" xfId="3320" xr:uid="{00000000-0005-0000-0000-00009E270000}"/>
    <cellStyle name="Normal 4 5 33 2 2" xfId="6394" xr:uid="{00000000-0005-0000-0000-00009F270000}"/>
    <cellStyle name="Normal 4 5 33 3" xfId="4864" xr:uid="{00000000-0005-0000-0000-0000A0270000}"/>
    <cellStyle name="Normal 4 5 34" xfId="1311" xr:uid="{00000000-0005-0000-0000-0000A1270000}"/>
    <cellStyle name="Normal 4 5 34 2" xfId="3321" xr:uid="{00000000-0005-0000-0000-0000A2270000}"/>
    <cellStyle name="Normal 4 5 34 2 2" xfId="6395" xr:uid="{00000000-0005-0000-0000-0000A3270000}"/>
    <cellStyle name="Normal 4 5 34 3" xfId="4865" xr:uid="{00000000-0005-0000-0000-0000A4270000}"/>
    <cellStyle name="Normal 4 5 35" xfId="1312" xr:uid="{00000000-0005-0000-0000-0000A5270000}"/>
    <cellStyle name="Normal 4 5 35 2" xfId="3322" xr:uid="{00000000-0005-0000-0000-0000A6270000}"/>
    <cellStyle name="Normal 4 5 35 2 2" xfId="6396" xr:uid="{00000000-0005-0000-0000-0000A7270000}"/>
    <cellStyle name="Normal 4 5 35 3" xfId="4866" xr:uid="{00000000-0005-0000-0000-0000A8270000}"/>
    <cellStyle name="Normal 4 5 36" xfId="1313" xr:uid="{00000000-0005-0000-0000-0000A9270000}"/>
    <cellStyle name="Normal 4 5 36 2" xfId="3323" xr:uid="{00000000-0005-0000-0000-0000AA270000}"/>
    <cellStyle name="Normal 4 5 36 2 2" xfId="6397" xr:uid="{00000000-0005-0000-0000-0000AB270000}"/>
    <cellStyle name="Normal 4 5 36 3" xfId="4867" xr:uid="{00000000-0005-0000-0000-0000AC270000}"/>
    <cellStyle name="Normal 4 5 37" xfId="1314" xr:uid="{00000000-0005-0000-0000-0000AD270000}"/>
    <cellStyle name="Normal 4 5 37 2" xfId="3324" xr:uid="{00000000-0005-0000-0000-0000AE270000}"/>
    <cellStyle name="Normal 4 5 37 2 2" xfId="6398" xr:uid="{00000000-0005-0000-0000-0000AF270000}"/>
    <cellStyle name="Normal 4 5 37 3" xfId="4868" xr:uid="{00000000-0005-0000-0000-0000B0270000}"/>
    <cellStyle name="Normal 4 5 38" xfId="1315" xr:uid="{00000000-0005-0000-0000-0000B1270000}"/>
    <cellStyle name="Normal 4 5 38 2" xfId="3325" xr:uid="{00000000-0005-0000-0000-0000B2270000}"/>
    <cellStyle name="Normal 4 5 38 2 2" xfId="6399" xr:uid="{00000000-0005-0000-0000-0000B3270000}"/>
    <cellStyle name="Normal 4 5 38 3" xfId="4869" xr:uid="{00000000-0005-0000-0000-0000B4270000}"/>
    <cellStyle name="Normal 4 5 39" xfId="1316" xr:uid="{00000000-0005-0000-0000-0000B5270000}"/>
    <cellStyle name="Normal 4 5 39 2" xfId="3326" xr:uid="{00000000-0005-0000-0000-0000B6270000}"/>
    <cellStyle name="Normal 4 5 39 2 2" xfId="6400" xr:uid="{00000000-0005-0000-0000-0000B7270000}"/>
    <cellStyle name="Normal 4 5 39 3" xfId="4870" xr:uid="{00000000-0005-0000-0000-0000B8270000}"/>
    <cellStyle name="Normal 4 5 4" xfId="1317" xr:uid="{00000000-0005-0000-0000-0000B9270000}"/>
    <cellStyle name="Normal 4 5 4 2" xfId="3327" xr:uid="{00000000-0005-0000-0000-0000BA270000}"/>
    <cellStyle name="Normal 4 5 4 2 2" xfId="6401" xr:uid="{00000000-0005-0000-0000-0000BB270000}"/>
    <cellStyle name="Normal 4 5 4 3" xfId="4871" xr:uid="{00000000-0005-0000-0000-0000BC270000}"/>
    <cellStyle name="Normal 4 5 40" xfId="1318" xr:uid="{00000000-0005-0000-0000-0000BD270000}"/>
    <cellStyle name="Normal 4 5 40 2" xfId="3328" xr:uid="{00000000-0005-0000-0000-0000BE270000}"/>
    <cellStyle name="Normal 4 5 40 2 2" xfId="6402" xr:uid="{00000000-0005-0000-0000-0000BF270000}"/>
    <cellStyle name="Normal 4 5 40 3" xfId="4872" xr:uid="{00000000-0005-0000-0000-0000C0270000}"/>
    <cellStyle name="Normal 4 5 41" xfId="1319" xr:uid="{00000000-0005-0000-0000-0000C1270000}"/>
    <cellStyle name="Normal 4 5 41 2" xfId="3329" xr:uid="{00000000-0005-0000-0000-0000C2270000}"/>
    <cellStyle name="Normal 4 5 41 2 2" xfId="6403" xr:uid="{00000000-0005-0000-0000-0000C3270000}"/>
    <cellStyle name="Normal 4 5 41 3" xfId="4873" xr:uid="{00000000-0005-0000-0000-0000C4270000}"/>
    <cellStyle name="Normal 4 5 42" xfId="1320" xr:uid="{00000000-0005-0000-0000-0000C5270000}"/>
    <cellStyle name="Normal 4 5 42 2" xfId="3330" xr:uid="{00000000-0005-0000-0000-0000C6270000}"/>
    <cellStyle name="Normal 4 5 42 2 2" xfId="6404" xr:uid="{00000000-0005-0000-0000-0000C7270000}"/>
    <cellStyle name="Normal 4 5 42 3" xfId="4874" xr:uid="{00000000-0005-0000-0000-0000C8270000}"/>
    <cellStyle name="Normal 4 5 43" xfId="1321" xr:uid="{00000000-0005-0000-0000-0000C9270000}"/>
    <cellStyle name="Normal 4 5 43 2" xfId="3331" xr:uid="{00000000-0005-0000-0000-0000CA270000}"/>
    <cellStyle name="Normal 4 5 43 2 2" xfId="6405" xr:uid="{00000000-0005-0000-0000-0000CB270000}"/>
    <cellStyle name="Normal 4 5 43 3" xfId="4875" xr:uid="{00000000-0005-0000-0000-0000CC270000}"/>
    <cellStyle name="Normal 4 5 44" xfId="3294" xr:uid="{00000000-0005-0000-0000-0000CD270000}"/>
    <cellStyle name="Normal 4 5 44 2" xfId="6368" xr:uid="{00000000-0005-0000-0000-0000CE270000}"/>
    <cellStyle name="Normal 4 5 45" xfId="4838" xr:uid="{00000000-0005-0000-0000-0000CF270000}"/>
    <cellStyle name="Normal 4 5 5" xfId="1322" xr:uid="{00000000-0005-0000-0000-0000D0270000}"/>
    <cellStyle name="Normal 4 5 5 2" xfId="3332" xr:uid="{00000000-0005-0000-0000-0000D1270000}"/>
    <cellStyle name="Normal 4 5 5 2 2" xfId="6406" xr:uid="{00000000-0005-0000-0000-0000D2270000}"/>
    <cellStyle name="Normal 4 5 5 3" xfId="4876" xr:uid="{00000000-0005-0000-0000-0000D3270000}"/>
    <cellStyle name="Normal 4 5 6" xfId="1323" xr:uid="{00000000-0005-0000-0000-0000D4270000}"/>
    <cellStyle name="Normal 4 5 6 2" xfId="3333" xr:uid="{00000000-0005-0000-0000-0000D5270000}"/>
    <cellStyle name="Normal 4 5 6 2 2" xfId="6407" xr:uid="{00000000-0005-0000-0000-0000D6270000}"/>
    <cellStyle name="Normal 4 5 6 3" xfId="4877" xr:uid="{00000000-0005-0000-0000-0000D7270000}"/>
    <cellStyle name="Normal 4 5 7" xfId="1324" xr:uid="{00000000-0005-0000-0000-0000D8270000}"/>
    <cellStyle name="Normal 4 5 7 2" xfId="3334" xr:uid="{00000000-0005-0000-0000-0000D9270000}"/>
    <cellStyle name="Normal 4 5 7 2 2" xfId="6408" xr:uid="{00000000-0005-0000-0000-0000DA270000}"/>
    <cellStyle name="Normal 4 5 7 3" xfId="4878" xr:uid="{00000000-0005-0000-0000-0000DB270000}"/>
    <cellStyle name="Normal 4 5 8" xfId="1325" xr:uid="{00000000-0005-0000-0000-0000DC270000}"/>
    <cellStyle name="Normal 4 5 8 2" xfId="3335" xr:uid="{00000000-0005-0000-0000-0000DD270000}"/>
    <cellStyle name="Normal 4 5 8 2 2" xfId="6409" xr:uid="{00000000-0005-0000-0000-0000DE270000}"/>
    <cellStyle name="Normal 4 5 8 3" xfId="4879" xr:uid="{00000000-0005-0000-0000-0000DF270000}"/>
    <cellStyle name="Normal 4 5 9" xfId="1326" xr:uid="{00000000-0005-0000-0000-0000E0270000}"/>
    <cellStyle name="Normal 4 5 9 2" xfId="3336" xr:uid="{00000000-0005-0000-0000-0000E1270000}"/>
    <cellStyle name="Normal 4 5 9 2 2" xfId="6410" xr:uid="{00000000-0005-0000-0000-0000E2270000}"/>
    <cellStyle name="Normal 4 5 9 3" xfId="4880" xr:uid="{00000000-0005-0000-0000-0000E3270000}"/>
    <cellStyle name="Normal 4 50" xfId="1327" xr:uid="{00000000-0005-0000-0000-0000E4270000}"/>
    <cellStyle name="Normal 4 50 2" xfId="3337" xr:uid="{00000000-0005-0000-0000-0000E5270000}"/>
    <cellStyle name="Normal 4 50 2 2" xfId="6411" xr:uid="{00000000-0005-0000-0000-0000E6270000}"/>
    <cellStyle name="Normal 4 50 3" xfId="4881" xr:uid="{00000000-0005-0000-0000-0000E7270000}"/>
    <cellStyle name="Normal 4 51" xfId="1328" xr:uid="{00000000-0005-0000-0000-0000E8270000}"/>
    <cellStyle name="Normal 4 51 2" xfId="3338" xr:uid="{00000000-0005-0000-0000-0000E9270000}"/>
    <cellStyle name="Normal 4 51 2 2" xfId="6412" xr:uid="{00000000-0005-0000-0000-0000EA270000}"/>
    <cellStyle name="Normal 4 51 3" xfId="4882" xr:uid="{00000000-0005-0000-0000-0000EB270000}"/>
    <cellStyle name="Normal 4 52" xfId="1329" xr:uid="{00000000-0005-0000-0000-0000EC270000}"/>
    <cellStyle name="Normal 4 52 2" xfId="3339" xr:uid="{00000000-0005-0000-0000-0000ED270000}"/>
    <cellStyle name="Normal 4 52 2 2" xfId="6413" xr:uid="{00000000-0005-0000-0000-0000EE270000}"/>
    <cellStyle name="Normal 4 52 3" xfId="4883" xr:uid="{00000000-0005-0000-0000-0000EF270000}"/>
    <cellStyle name="Normal 4 53" xfId="1330" xr:uid="{00000000-0005-0000-0000-0000F0270000}"/>
    <cellStyle name="Normal 4 53 2" xfId="3340" xr:uid="{00000000-0005-0000-0000-0000F1270000}"/>
    <cellStyle name="Normal 4 53 2 2" xfId="6414" xr:uid="{00000000-0005-0000-0000-0000F2270000}"/>
    <cellStyle name="Normal 4 53 3" xfId="4884" xr:uid="{00000000-0005-0000-0000-0000F3270000}"/>
    <cellStyle name="Normal 4 54" xfId="1331" xr:uid="{00000000-0005-0000-0000-0000F4270000}"/>
    <cellStyle name="Normal 4 54 2" xfId="3341" xr:uid="{00000000-0005-0000-0000-0000F5270000}"/>
    <cellStyle name="Normal 4 54 2 2" xfId="6415" xr:uid="{00000000-0005-0000-0000-0000F6270000}"/>
    <cellStyle name="Normal 4 54 3" xfId="4885" xr:uid="{00000000-0005-0000-0000-0000F7270000}"/>
    <cellStyle name="Normal 4 55" xfId="1332" xr:uid="{00000000-0005-0000-0000-0000F8270000}"/>
    <cellStyle name="Normal 4 55 2" xfId="3342" xr:uid="{00000000-0005-0000-0000-0000F9270000}"/>
    <cellStyle name="Normal 4 55 2 2" xfId="6416" xr:uid="{00000000-0005-0000-0000-0000FA270000}"/>
    <cellStyle name="Normal 4 55 3" xfId="4886" xr:uid="{00000000-0005-0000-0000-0000FB270000}"/>
    <cellStyle name="Normal 4 56" xfId="1333" xr:uid="{00000000-0005-0000-0000-0000FC270000}"/>
    <cellStyle name="Normal 4 56 2" xfId="3343" xr:uid="{00000000-0005-0000-0000-0000FD270000}"/>
    <cellStyle name="Normal 4 56 2 2" xfId="6417" xr:uid="{00000000-0005-0000-0000-0000FE270000}"/>
    <cellStyle name="Normal 4 56 3" xfId="4887" xr:uid="{00000000-0005-0000-0000-0000FF270000}"/>
    <cellStyle name="Normal 4 57" xfId="2951" xr:uid="{00000000-0005-0000-0000-000000280000}"/>
    <cellStyle name="Normal 4 57 2" xfId="6025" xr:uid="{00000000-0005-0000-0000-000001280000}"/>
    <cellStyle name="Normal 4 58" xfId="4495" xr:uid="{00000000-0005-0000-0000-000002280000}"/>
    <cellStyle name="Normal 4 6" xfId="1334" xr:uid="{00000000-0005-0000-0000-000003280000}"/>
    <cellStyle name="Normal 4 6 10" xfId="1335" xr:uid="{00000000-0005-0000-0000-000004280000}"/>
    <cellStyle name="Normal 4 6 10 2" xfId="3345" xr:uid="{00000000-0005-0000-0000-000005280000}"/>
    <cellStyle name="Normal 4 6 10 2 2" xfId="6419" xr:uid="{00000000-0005-0000-0000-000006280000}"/>
    <cellStyle name="Normal 4 6 10 3" xfId="4889" xr:uid="{00000000-0005-0000-0000-000007280000}"/>
    <cellStyle name="Normal 4 6 11" xfId="1336" xr:uid="{00000000-0005-0000-0000-000008280000}"/>
    <cellStyle name="Normal 4 6 11 2" xfId="3346" xr:uid="{00000000-0005-0000-0000-000009280000}"/>
    <cellStyle name="Normal 4 6 11 2 2" xfId="6420" xr:uid="{00000000-0005-0000-0000-00000A280000}"/>
    <cellStyle name="Normal 4 6 11 3" xfId="4890" xr:uid="{00000000-0005-0000-0000-00000B280000}"/>
    <cellStyle name="Normal 4 6 12" xfId="1337" xr:uid="{00000000-0005-0000-0000-00000C280000}"/>
    <cellStyle name="Normal 4 6 12 2" xfId="3347" xr:uid="{00000000-0005-0000-0000-00000D280000}"/>
    <cellStyle name="Normal 4 6 12 2 2" xfId="6421" xr:uid="{00000000-0005-0000-0000-00000E280000}"/>
    <cellStyle name="Normal 4 6 12 3" xfId="4891" xr:uid="{00000000-0005-0000-0000-00000F280000}"/>
    <cellStyle name="Normal 4 6 13" xfId="1338" xr:uid="{00000000-0005-0000-0000-000010280000}"/>
    <cellStyle name="Normal 4 6 13 2" xfId="3348" xr:uid="{00000000-0005-0000-0000-000011280000}"/>
    <cellStyle name="Normal 4 6 13 2 2" xfId="6422" xr:uid="{00000000-0005-0000-0000-000012280000}"/>
    <cellStyle name="Normal 4 6 13 3" xfId="4892" xr:uid="{00000000-0005-0000-0000-000013280000}"/>
    <cellStyle name="Normal 4 6 14" xfId="1339" xr:uid="{00000000-0005-0000-0000-000014280000}"/>
    <cellStyle name="Normal 4 6 14 2" xfId="3349" xr:uid="{00000000-0005-0000-0000-000015280000}"/>
    <cellStyle name="Normal 4 6 14 2 2" xfId="6423" xr:uid="{00000000-0005-0000-0000-000016280000}"/>
    <cellStyle name="Normal 4 6 14 3" xfId="4893" xr:uid="{00000000-0005-0000-0000-000017280000}"/>
    <cellStyle name="Normal 4 6 15" xfId="1340" xr:uid="{00000000-0005-0000-0000-000018280000}"/>
    <cellStyle name="Normal 4 6 15 2" xfId="3350" xr:uid="{00000000-0005-0000-0000-000019280000}"/>
    <cellStyle name="Normal 4 6 15 2 2" xfId="6424" xr:uid="{00000000-0005-0000-0000-00001A280000}"/>
    <cellStyle name="Normal 4 6 15 3" xfId="4894" xr:uid="{00000000-0005-0000-0000-00001B280000}"/>
    <cellStyle name="Normal 4 6 16" xfId="1341" xr:uid="{00000000-0005-0000-0000-00001C280000}"/>
    <cellStyle name="Normal 4 6 16 2" xfId="3351" xr:uid="{00000000-0005-0000-0000-00001D280000}"/>
    <cellStyle name="Normal 4 6 16 2 2" xfId="6425" xr:uid="{00000000-0005-0000-0000-00001E280000}"/>
    <cellStyle name="Normal 4 6 16 3" xfId="4895" xr:uid="{00000000-0005-0000-0000-00001F280000}"/>
    <cellStyle name="Normal 4 6 17" xfId="1342" xr:uid="{00000000-0005-0000-0000-000020280000}"/>
    <cellStyle name="Normal 4 6 17 2" xfId="3352" xr:uid="{00000000-0005-0000-0000-000021280000}"/>
    <cellStyle name="Normal 4 6 17 2 2" xfId="6426" xr:uid="{00000000-0005-0000-0000-000022280000}"/>
    <cellStyle name="Normal 4 6 17 3" xfId="4896" xr:uid="{00000000-0005-0000-0000-000023280000}"/>
    <cellStyle name="Normal 4 6 18" xfId="1343" xr:uid="{00000000-0005-0000-0000-000024280000}"/>
    <cellStyle name="Normal 4 6 18 2" xfId="3353" xr:uid="{00000000-0005-0000-0000-000025280000}"/>
    <cellStyle name="Normal 4 6 18 2 2" xfId="6427" xr:uid="{00000000-0005-0000-0000-000026280000}"/>
    <cellStyle name="Normal 4 6 18 3" xfId="4897" xr:uid="{00000000-0005-0000-0000-000027280000}"/>
    <cellStyle name="Normal 4 6 19" xfId="1344" xr:uid="{00000000-0005-0000-0000-000028280000}"/>
    <cellStyle name="Normal 4 6 19 2" xfId="3354" xr:uid="{00000000-0005-0000-0000-000029280000}"/>
    <cellStyle name="Normal 4 6 19 2 2" xfId="6428" xr:uid="{00000000-0005-0000-0000-00002A280000}"/>
    <cellStyle name="Normal 4 6 19 3" xfId="4898" xr:uid="{00000000-0005-0000-0000-00002B280000}"/>
    <cellStyle name="Normal 4 6 2" xfId="1345" xr:uid="{00000000-0005-0000-0000-00002C280000}"/>
    <cellStyle name="Normal 4 6 2 2" xfId="3355" xr:uid="{00000000-0005-0000-0000-00002D280000}"/>
    <cellStyle name="Normal 4 6 2 2 2" xfId="6429" xr:uid="{00000000-0005-0000-0000-00002E280000}"/>
    <cellStyle name="Normal 4 6 2 3" xfId="4899" xr:uid="{00000000-0005-0000-0000-00002F280000}"/>
    <cellStyle name="Normal 4 6 20" xfId="1346" xr:uid="{00000000-0005-0000-0000-000030280000}"/>
    <cellStyle name="Normal 4 6 20 2" xfId="3356" xr:uid="{00000000-0005-0000-0000-000031280000}"/>
    <cellStyle name="Normal 4 6 20 2 2" xfId="6430" xr:uid="{00000000-0005-0000-0000-000032280000}"/>
    <cellStyle name="Normal 4 6 20 3" xfId="4900" xr:uid="{00000000-0005-0000-0000-000033280000}"/>
    <cellStyle name="Normal 4 6 21" xfId="1347" xr:uid="{00000000-0005-0000-0000-000034280000}"/>
    <cellStyle name="Normal 4 6 21 2" xfId="3357" xr:uid="{00000000-0005-0000-0000-000035280000}"/>
    <cellStyle name="Normal 4 6 21 2 2" xfId="6431" xr:uid="{00000000-0005-0000-0000-000036280000}"/>
    <cellStyle name="Normal 4 6 21 3" xfId="4901" xr:uid="{00000000-0005-0000-0000-000037280000}"/>
    <cellStyle name="Normal 4 6 22" xfId="1348" xr:uid="{00000000-0005-0000-0000-000038280000}"/>
    <cellStyle name="Normal 4 6 22 2" xfId="3358" xr:uid="{00000000-0005-0000-0000-000039280000}"/>
    <cellStyle name="Normal 4 6 22 2 2" xfId="6432" xr:uid="{00000000-0005-0000-0000-00003A280000}"/>
    <cellStyle name="Normal 4 6 22 3" xfId="4902" xr:uid="{00000000-0005-0000-0000-00003B280000}"/>
    <cellStyle name="Normal 4 6 23" xfId="1349" xr:uid="{00000000-0005-0000-0000-00003C280000}"/>
    <cellStyle name="Normal 4 6 23 2" xfId="3359" xr:uid="{00000000-0005-0000-0000-00003D280000}"/>
    <cellStyle name="Normal 4 6 23 2 2" xfId="6433" xr:uid="{00000000-0005-0000-0000-00003E280000}"/>
    <cellStyle name="Normal 4 6 23 3" xfId="4903" xr:uid="{00000000-0005-0000-0000-00003F280000}"/>
    <cellStyle name="Normal 4 6 24" xfId="1350" xr:uid="{00000000-0005-0000-0000-000040280000}"/>
    <cellStyle name="Normal 4 6 24 2" xfId="3360" xr:uid="{00000000-0005-0000-0000-000041280000}"/>
    <cellStyle name="Normal 4 6 24 2 2" xfId="6434" xr:uid="{00000000-0005-0000-0000-000042280000}"/>
    <cellStyle name="Normal 4 6 24 3" xfId="4904" xr:uid="{00000000-0005-0000-0000-000043280000}"/>
    <cellStyle name="Normal 4 6 25" xfId="1351" xr:uid="{00000000-0005-0000-0000-000044280000}"/>
    <cellStyle name="Normal 4 6 25 2" xfId="3361" xr:uid="{00000000-0005-0000-0000-000045280000}"/>
    <cellStyle name="Normal 4 6 25 2 2" xfId="6435" xr:uid="{00000000-0005-0000-0000-000046280000}"/>
    <cellStyle name="Normal 4 6 25 3" xfId="4905" xr:uid="{00000000-0005-0000-0000-000047280000}"/>
    <cellStyle name="Normal 4 6 26" xfId="1352" xr:uid="{00000000-0005-0000-0000-000048280000}"/>
    <cellStyle name="Normal 4 6 26 2" xfId="3362" xr:uid="{00000000-0005-0000-0000-000049280000}"/>
    <cellStyle name="Normal 4 6 26 2 2" xfId="6436" xr:uid="{00000000-0005-0000-0000-00004A280000}"/>
    <cellStyle name="Normal 4 6 26 3" xfId="4906" xr:uid="{00000000-0005-0000-0000-00004B280000}"/>
    <cellStyle name="Normal 4 6 27" xfId="1353" xr:uid="{00000000-0005-0000-0000-00004C280000}"/>
    <cellStyle name="Normal 4 6 27 2" xfId="3363" xr:uid="{00000000-0005-0000-0000-00004D280000}"/>
    <cellStyle name="Normal 4 6 27 2 2" xfId="6437" xr:uid="{00000000-0005-0000-0000-00004E280000}"/>
    <cellStyle name="Normal 4 6 27 3" xfId="4907" xr:uid="{00000000-0005-0000-0000-00004F280000}"/>
    <cellStyle name="Normal 4 6 28" xfId="1354" xr:uid="{00000000-0005-0000-0000-000050280000}"/>
    <cellStyle name="Normal 4 6 28 2" xfId="3364" xr:uid="{00000000-0005-0000-0000-000051280000}"/>
    <cellStyle name="Normal 4 6 28 2 2" xfId="6438" xr:uid="{00000000-0005-0000-0000-000052280000}"/>
    <cellStyle name="Normal 4 6 28 3" xfId="4908" xr:uid="{00000000-0005-0000-0000-000053280000}"/>
    <cellStyle name="Normal 4 6 29" xfId="1355" xr:uid="{00000000-0005-0000-0000-000054280000}"/>
    <cellStyle name="Normal 4 6 29 2" xfId="3365" xr:uid="{00000000-0005-0000-0000-000055280000}"/>
    <cellStyle name="Normal 4 6 29 2 2" xfId="6439" xr:uid="{00000000-0005-0000-0000-000056280000}"/>
    <cellStyle name="Normal 4 6 29 3" xfId="4909" xr:uid="{00000000-0005-0000-0000-000057280000}"/>
    <cellStyle name="Normal 4 6 3" xfId="1356" xr:uid="{00000000-0005-0000-0000-000058280000}"/>
    <cellStyle name="Normal 4 6 3 2" xfId="3366" xr:uid="{00000000-0005-0000-0000-000059280000}"/>
    <cellStyle name="Normal 4 6 3 2 2" xfId="6440" xr:uid="{00000000-0005-0000-0000-00005A280000}"/>
    <cellStyle name="Normal 4 6 3 3" xfId="4910" xr:uid="{00000000-0005-0000-0000-00005B280000}"/>
    <cellStyle name="Normal 4 6 30" xfId="1357" xr:uid="{00000000-0005-0000-0000-00005C280000}"/>
    <cellStyle name="Normal 4 6 30 2" xfId="3367" xr:uid="{00000000-0005-0000-0000-00005D280000}"/>
    <cellStyle name="Normal 4 6 30 2 2" xfId="6441" xr:uid="{00000000-0005-0000-0000-00005E280000}"/>
    <cellStyle name="Normal 4 6 30 3" xfId="4911" xr:uid="{00000000-0005-0000-0000-00005F280000}"/>
    <cellStyle name="Normal 4 6 31" xfId="1358" xr:uid="{00000000-0005-0000-0000-000060280000}"/>
    <cellStyle name="Normal 4 6 31 2" xfId="3368" xr:uid="{00000000-0005-0000-0000-000061280000}"/>
    <cellStyle name="Normal 4 6 31 2 2" xfId="6442" xr:uid="{00000000-0005-0000-0000-000062280000}"/>
    <cellStyle name="Normal 4 6 31 3" xfId="4912" xr:uid="{00000000-0005-0000-0000-000063280000}"/>
    <cellStyle name="Normal 4 6 32" xfId="1359" xr:uid="{00000000-0005-0000-0000-000064280000}"/>
    <cellStyle name="Normal 4 6 32 2" xfId="3369" xr:uid="{00000000-0005-0000-0000-000065280000}"/>
    <cellStyle name="Normal 4 6 32 2 2" xfId="6443" xr:uid="{00000000-0005-0000-0000-000066280000}"/>
    <cellStyle name="Normal 4 6 32 3" xfId="4913" xr:uid="{00000000-0005-0000-0000-000067280000}"/>
    <cellStyle name="Normal 4 6 33" xfId="1360" xr:uid="{00000000-0005-0000-0000-000068280000}"/>
    <cellStyle name="Normal 4 6 33 2" xfId="3370" xr:uid="{00000000-0005-0000-0000-000069280000}"/>
    <cellStyle name="Normal 4 6 33 2 2" xfId="6444" xr:uid="{00000000-0005-0000-0000-00006A280000}"/>
    <cellStyle name="Normal 4 6 33 3" xfId="4914" xr:uid="{00000000-0005-0000-0000-00006B280000}"/>
    <cellStyle name="Normal 4 6 34" xfId="1361" xr:uid="{00000000-0005-0000-0000-00006C280000}"/>
    <cellStyle name="Normal 4 6 34 2" xfId="3371" xr:uid="{00000000-0005-0000-0000-00006D280000}"/>
    <cellStyle name="Normal 4 6 34 2 2" xfId="6445" xr:uid="{00000000-0005-0000-0000-00006E280000}"/>
    <cellStyle name="Normal 4 6 34 3" xfId="4915" xr:uid="{00000000-0005-0000-0000-00006F280000}"/>
    <cellStyle name="Normal 4 6 35" xfId="1362" xr:uid="{00000000-0005-0000-0000-000070280000}"/>
    <cellStyle name="Normal 4 6 35 2" xfId="3372" xr:uid="{00000000-0005-0000-0000-000071280000}"/>
    <cellStyle name="Normal 4 6 35 2 2" xfId="6446" xr:uid="{00000000-0005-0000-0000-000072280000}"/>
    <cellStyle name="Normal 4 6 35 3" xfId="4916" xr:uid="{00000000-0005-0000-0000-000073280000}"/>
    <cellStyle name="Normal 4 6 36" xfId="1363" xr:uid="{00000000-0005-0000-0000-000074280000}"/>
    <cellStyle name="Normal 4 6 36 2" xfId="3373" xr:uid="{00000000-0005-0000-0000-000075280000}"/>
    <cellStyle name="Normal 4 6 36 2 2" xfId="6447" xr:uid="{00000000-0005-0000-0000-000076280000}"/>
    <cellStyle name="Normal 4 6 36 3" xfId="4917" xr:uid="{00000000-0005-0000-0000-000077280000}"/>
    <cellStyle name="Normal 4 6 37" xfId="1364" xr:uid="{00000000-0005-0000-0000-000078280000}"/>
    <cellStyle name="Normal 4 6 37 2" xfId="3374" xr:uid="{00000000-0005-0000-0000-000079280000}"/>
    <cellStyle name="Normal 4 6 37 2 2" xfId="6448" xr:uid="{00000000-0005-0000-0000-00007A280000}"/>
    <cellStyle name="Normal 4 6 37 3" xfId="4918" xr:uid="{00000000-0005-0000-0000-00007B280000}"/>
    <cellStyle name="Normal 4 6 38" xfId="1365" xr:uid="{00000000-0005-0000-0000-00007C280000}"/>
    <cellStyle name="Normal 4 6 38 2" xfId="3375" xr:uid="{00000000-0005-0000-0000-00007D280000}"/>
    <cellStyle name="Normal 4 6 38 2 2" xfId="6449" xr:uid="{00000000-0005-0000-0000-00007E280000}"/>
    <cellStyle name="Normal 4 6 38 3" xfId="4919" xr:uid="{00000000-0005-0000-0000-00007F280000}"/>
    <cellStyle name="Normal 4 6 39" xfId="1366" xr:uid="{00000000-0005-0000-0000-000080280000}"/>
    <cellStyle name="Normal 4 6 39 2" xfId="3376" xr:uid="{00000000-0005-0000-0000-000081280000}"/>
    <cellStyle name="Normal 4 6 39 2 2" xfId="6450" xr:uid="{00000000-0005-0000-0000-000082280000}"/>
    <cellStyle name="Normal 4 6 39 3" xfId="4920" xr:uid="{00000000-0005-0000-0000-000083280000}"/>
    <cellStyle name="Normal 4 6 4" xfId="1367" xr:uid="{00000000-0005-0000-0000-000084280000}"/>
    <cellStyle name="Normal 4 6 4 2" xfId="3377" xr:uid="{00000000-0005-0000-0000-000085280000}"/>
    <cellStyle name="Normal 4 6 4 2 2" xfId="6451" xr:uid="{00000000-0005-0000-0000-000086280000}"/>
    <cellStyle name="Normal 4 6 4 3" xfId="4921" xr:uid="{00000000-0005-0000-0000-000087280000}"/>
    <cellStyle name="Normal 4 6 40" xfId="1368" xr:uid="{00000000-0005-0000-0000-000088280000}"/>
    <cellStyle name="Normal 4 6 40 2" xfId="3378" xr:uid="{00000000-0005-0000-0000-000089280000}"/>
    <cellStyle name="Normal 4 6 40 2 2" xfId="6452" xr:uid="{00000000-0005-0000-0000-00008A280000}"/>
    <cellStyle name="Normal 4 6 40 3" xfId="4922" xr:uid="{00000000-0005-0000-0000-00008B280000}"/>
    <cellStyle name="Normal 4 6 41" xfId="1369" xr:uid="{00000000-0005-0000-0000-00008C280000}"/>
    <cellStyle name="Normal 4 6 41 2" xfId="3379" xr:uid="{00000000-0005-0000-0000-00008D280000}"/>
    <cellStyle name="Normal 4 6 41 2 2" xfId="6453" xr:uid="{00000000-0005-0000-0000-00008E280000}"/>
    <cellStyle name="Normal 4 6 41 3" xfId="4923" xr:uid="{00000000-0005-0000-0000-00008F280000}"/>
    <cellStyle name="Normal 4 6 42" xfId="1370" xr:uid="{00000000-0005-0000-0000-000090280000}"/>
    <cellStyle name="Normal 4 6 42 2" xfId="3380" xr:uid="{00000000-0005-0000-0000-000091280000}"/>
    <cellStyle name="Normal 4 6 42 2 2" xfId="6454" xr:uid="{00000000-0005-0000-0000-000092280000}"/>
    <cellStyle name="Normal 4 6 42 3" xfId="4924" xr:uid="{00000000-0005-0000-0000-000093280000}"/>
    <cellStyle name="Normal 4 6 43" xfId="1371" xr:uid="{00000000-0005-0000-0000-000094280000}"/>
    <cellStyle name="Normal 4 6 43 2" xfId="3381" xr:uid="{00000000-0005-0000-0000-000095280000}"/>
    <cellStyle name="Normal 4 6 43 2 2" xfId="6455" xr:uid="{00000000-0005-0000-0000-000096280000}"/>
    <cellStyle name="Normal 4 6 43 3" xfId="4925" xr:uid="{00000000-0005-0000-0000-000097280000}"/>
    <cellStyle name="Normal 4 6 44" xfId="3344" xr:uid="{00000000-0005-0000-0000-000098280000}"/>
    <cellStyle name="Normal 4 6 44 2" xfId="6418" xr:uid="{00000000-0005-0000-0000-000099280000}"/>
    <cellStyle name="Normal 4 6 45" xfId="4888" xr:uid="{00000000-0005-0000-0000-00009A280000}"/>
    <cellStyle name="Normal 4 6 5" xfId="1372" xr:uid="{00000000-0005-0000-0000-00009B280000}"/>
    <cellStyle name="Normal 4 6 5 2" xfId="3382" xr:uid="{00000000-0005-0000-0000-00009C280000}"/>
    <cellStyle name="Normal 4 6 5 2 2" xfId="6456" xr:uid="{00000000-0005-0000-0000-00009D280000}"/>
    <cellStyle name="Normal 4 6 5 3" xfId="4926" xr:uid="{00000000-0005-0000-0000-00009E280000}"/>
    <cellStyle name="Normal 4 6 6" xfId="1373" xr:uid="{00000000-0005-0000-0000-00009F280000}"/>
    <cellStyle name="Normal 4 6 6 2" xfId="3383" xr:uid="{00000000-0005-0000-0000-0000A0280000}"/>
    <cellStyle name="Normal 4 6 6 2 2" xfId="6457" xr:uid="{00000000-0005-0000-0000-0000A1280000}"/>
    <cellStyle name="Normal 4 6 6 3" xfId="4927" xr:uid="{00000000-0005-0000-0000-0000A2280000}"/>
    <cellStyle name="Normal 4 6 7" xfId="1374" xr:uid="{00000000-0005-0000-0000-0000A3280000}"/>
    <cellStyle name="Normal 4 6 7 2" xfId="3384" xr:uid="{00000000-0005-0000-0000-0000A4280000}"/>
    <cellStyle name="Normal 4 6 7 2 2" xfId="6458" xr:uid="{00000000-0005-0000-0000-0000A5280000}"/>
    <cellStyle name="Normal 4 6 7 3" xfId="4928" xr:uid="{00000000-0005-0000-0000-0000A6280000}"/>
    <cellStyle name="Normal 4 6 8" xfId="1375" xr:uid="{00000000-0005-0000-0000-0000A7280000}"/>
    <cellStyle name="Normal 4 6 8 2" xfId="3385" xr:uid="{00000000-0005-0000-0000-0000A8280000}"/>
    <cellStyle name="Normal 4 6 8 2 2" xfId="6459" xr:uid="{00000000-0005-0000-0000-0000A9280000}"/>
    <cellStyle name="Normal 4 6 8 3" xfId="4929" xr:uid="{00000000-0005-0000-0000-0000AA280000}"/>
    <cellStyle name="Normal 4 6 9" xfId="1376" xr:uid="{00000000-0005-0000-0000-0000AB280000}"/>
    <cellStyle name="Normal 4 6 9 2" xfId="3386" xr:uid="{00000000-0005-0000-0000-0000AC280000}"/>
    <cellStyle name="Normal 4 6 9 2 2" xfId="6460" xr:uid="{00000000-0005-0000-0000-0000AD280000}"/>
    <cellStyle name="Normal 4 6 9 3" xfId="4930" xr:uid="{00000000-0005-0000-0000-0000AE280000}"/>
    <cellStyle name="Normal 4 7" xfId="1377" xr:uid="{00000000-0005-0000-0000-0000AF280000}"/>
    <cellStyle name="Normal 4 7 10" xfId="1378" xr:uid="{00000000-0005-0000-0000-0000B0280000}"/>
    <cellStyle name="Normal 4 7 10 2" xfId="3388" xr:uid="{00000000-0005-0000-0000-0000B1280000}"/>
    <cellStyle name="Normal 4 7 10 2 2" xfId="6462" xr:uid="{00000000-0005-0000-0000-0000B2280000}"/>
    <cellStyle name="Normal 4 7 10 3" xfId="4932" xr:uid="{00000000-0005-0000-0000-0000B3280000}"/>
    <cellStyle name="Normal 4 7 11" xfId="1379" xr:uid="{00000000-0005-0000-0000-0000B4280000}"/>
    <cellStyle name="Normal 4 7 11 2" xfId="3389" xr:uid="{00000000-0005-0000-0000-0000B5280000}"/>
    <cellStyle name="Normal 4 7 11 2 2" xfId="6463" xr:uid="{00000000-0005-0000-0000-0000B6280000}"/>
    <cellStyle name="Normal 4 7 11 3" xfId="4933" xr:uid="{00000000-0005-0000-0000-0000B7280000}"/>
    <cellStyle name="Normal 4 7 12" xfId="1380" xr:uid="{00000000-0005-0000-0000-0000B8280000}"/>
    <cellStyle name="Normal 4 7 12 2" xfId="3390" xr:uid="{00000000-0005-0000-0000-0000B9280000}"/>
    <cellStyle name="Normal 4 7 12 2 2" xfId="6464" xr:uid="{00000000-0005-0000-0000-0000BA280000}"/>
    <cellStyle name="Normal 4 7 12 3" xfId="4934" xr:uid="{00000000-0005-0000-0000-0000BB280000}"/>
    <cellStyle name="Normal 4 7 13" xfId="1381" xr:uid="{00000000-0005-0000-0000-0000BC280000}"/>
    <cellStyle name="Normal 4 7 13 2" xfId="3391" xr:uid="{00000000-0005-0000-0000-0000BD280000}"/>
    <cellStyle name="Normal 4 7 13 2 2" xfId="6465" xr:uid="{00000000-0005-0000-0000-0000BE280000}"/>
    <cellStyle name="Normal 4 7 13 3" xfId="4935" xr:uid="{00000000-0005-0000-0000-0000BF280000}"/>
    <cellStyle name="Normal 4 7 14" xfId="1382" xr:uid="{00000000-0005-0000-0000-0000C0280000}"/>
    <cellStyle name="Normal 4 7 14 2" xfId="3392" xr:uid="{00000000-0005-0000-0000-0000C1280000}"/>
    <cellStyle name="Normal 4 7 14 2 2" xfId="6466" xr:uid="{00000000-0005-0000-0000-0000C2280000}"/>
    <cellStyle name="Normal 4 7 14 3" xfId="4936" xr:uid="{00000000-0005-0000-0000-0000C3280000}"/>
    <cellStyle name="Normal 4 7 15" xfId="1383" xr:uid="{00000000-0005-0000-0000-0000C4280000}"/>
    <cellStyle name="Normal 4 7 15 2" xfId="3393" xr:uid="{00000000-0005-0000-0000-0000C5280000}"/>
    <cellStyle name="Normal 4 7 15 2 2" xfId="6467" xr:uid="{00000000-0005-0000-0000-0000C6280000}"/>
    <cellStyle name="Normal 4 7 15 3" xfId="4937" xr:uid="{00000000-0005-0000-0000-0000C7280000}"/>
    <cellStyle name="Normal 4 7 16" xfId="1384" xr:uid="{00000000-0005-0000-0000-0000C8280000}"/>
    <cellStyle name="Normal 4 7 16 2" xfId="3394" xr:uid="{00000000-0005-0000-0000-0000C9280000}"/>
    <cellStyle name="Normal 4 7 16 2 2" xfId="6468" xr:uid="{00000000-0005-0000-0000-0000CA280000}"/>
    <cellStyle name="Normal 4 7 16 3" xfId="4938" xr:uid="{00000000-0005-0000-0000-0000CB280000}"/>
    <cellStyle name="Normal 4 7 17" xfId="1385" xr:uid="{00000000-0005-0000-0000-0000CC280000}"/>
    <cellStyle name="Normal 4 7 17 2" xfId="3395" xr:uid="{00000000-0005-0000-0000-0000CD280000}"/>
    <cellStyle name="Normal 4 7 17 2 2" xfId="6469" xr:uid="{00000000-0005-0000-0000-0000CE280000}"/>
    <cellStyle name="Normal 4 7 17 3" xfId="4939" xr:uid="{00000000-0005-0000-0000-0000CF280000}"/>
    <cellStyle name="Normal 4 7 18" xfId="1386" xr:uid="{00000000-0005-0000-0000-0000D0280000}"/>
    <cellStyle name="Normal 4 7 18 2" xfId="3396" xr:uid="{00000000-0005-0000-0000-0000D1280000}"/>
    <cellStyle name="Normal 4 7 18 2 2" xfId="6470" xr:uid="{00000000-0005-0000-0000-0000D2280000}"/>
    <cellStyle name="Normal 4 7 18 3" xfId="4940" xr:uid="{00000000-0005-0000-0000-0000D3280000}"/>
    <cellStyle name="Normal 4 7 19" xfId="1387" xr:uid="{00000000-0005-0000-0000-0000D4280000}"/>
    <cellStyle name="Normal 4 7 19 2" xfId="3397" xr:uid="{00000000-0005-0000-0000-0000D5280000}"/>
    <cellStyle name="Normal 4 7 19 2 2" xfId="6471" xr:uid="{00000000-0005-0000-0000-0000D6280000}"/>
    <cellStyle name="Normal 4 7 19 3" xfId="4941" xr:uid="{00000000-0005-0000-0000-0000D7280000}"/>
    <cellStyle name="Normal 4 7 2" xfId="1388" xr:uid="{00000000-0005-0000-0000-0000D8280000}"/>
    <cellStyle name="Normal 4 7 2 2" xfId="3398" xr:uid="{00000000-0005-0000-0000-0000D9280000}"/>
    <cellStyle name="Normal 4 7 2 2 2" xfId="6472" xr:uid="{00000000-0005-0000-0000-0000DA280000}"/>
    <cellStyle name="Normal 4 7 2 3" xfId="4942" xr:uid="{00000000-0005-0000-0000-0000DB280000}"/>
    <cellStyle name="Normal 4 7 20" xfId="1389" xr:uid="{00000000-0005-0000-0000-0000DC280000}"/>
    <cellStyle name="Normal 4 7 20 2" xfId="3399" xr:uid="{00000000-0005-0000-0000-0000DD280000}"/>
    <cellStyle name="Normal 4 7 20 2 2" xfId="6473" xr:uid="{00000000-0005-0000-0000-0000DE280000}"/>
    <cellStyle name="Normal 4 7 20 3" xfId="4943" xr:uid="{00000000-0005-0000-0000-0000DF280000}"/>
    <cellStyle name="Normal 4 7 21" xfId="1390" xr:uid="{00000000-0005-0000-0000-0000E0280000}"/>
    <cellStyle name="Normal 4 7 21 2" xfId="3400" xr:uid="{00000000-0005-0000-0000-0000E1280000}"/>
    <cellStyle name="Normal 4 7 21 2 2" xfId="6474" xr:uid="{00000000-0005-0000-0000-0000E2280000}"/>
    <cellStyle name="Normal 4 7 21 3" xfId="4944" xr:uid="{00000000-0005-0000-0000-0000E3280000}"/>
    <cellStyle name="Normal 4 7 22" xfId="1391" xr:uid="{00000000-0005-0000-0000-0000E4280000}"/>
    <cellStyle name="Normal 4 7 22 2" xfId="3401" xr:uid="{00000000-0005-0000-0000-0000E5280000}"/>
    <cellStyle name="Normal 4 7 22 2 2" xfId="6475" xr:uid="{00000000-0005-0000-0000-0000E6280000}"/>
    <cellStyle name="Normal 4 7 22 3" xfId="4945" xr:uid="{00000000-0005-0000-0000-0000E7280000}"/>
    <cellStyle name="Normal 4 7 23" xfId="1392" xr:uid="{00000000-0005-0000-0000-0000E8280000}"/>
    <cellStyle name="Normal 4 7 23 2" xfId="3402" xr:uid="{00000000-0005-0000-0000-0000E9280000}"/>
    <cellStyle name="Normal 4 7 23 2 2" xfId="6476" xr:uid="{00000000-0005-0000-0000-0000EA280000}"/>
    <cellStyle name="Normal 4 7 23 3" xfId="4946" xr:uid="{00000000-0005-0000-0000-0000EB280000}"/>
    <cellStyle name="Normal 4 7 24" xfId="1393" xr:uid="{00000000-0005-0000-0000-0000EC280000}"/>
    <cellStyle name="Normal 4 7 24 2" xfId="3403" xr:uid="{00000000-0005-0000-0000-0000ED280000}"/>
    <cellStyle name="Normal 4 7 24 2 2" xfId="6477" xr:uid="{00000000-0005-0000-0000-0000EE280000}"/>
    <cellStyle name="Normal 4 7 24 3" xfId="4947" xr:uid="{00000000-0005-0000-0000-0000EF280000}"/>
    <cellStyle name="Normal 4 7 25" xfId="1394" xr:uid="{00000000-0005-0000-0000-0000F0280000}"/>
    <cellStyle name="Normal 4 7 25 2" xfId="3404" xr:uid="{00000000-0005-0000-0000-0000F1280000}"/>
    <cellStyle name="Normal 4 7 25 2 2" xfId="6478" xr:uid="{00000000-0005-0000-0000-0000F2280000}"/>
    <cellStyle name="Normal 4 7 25 3" xfId="4948" xr:uid="{00000000-0005-0000-0000-0000F3280000}"/>
    <cellStyle name="Normal 4 7 26" xfId="1395" xr:uid="{00000000-0005-0000-0000-0000F4280000}"/>
    <cellStyle name="Normal 4 7 26 2" xfId="3405" xr:uid="{00000000-0005-0000-0000-0000F5280000}"/>
    <cellStyle name="Normal 4 7 26 2 2" xfId="6479" xr:uid="{00000000-0005-0000-0000-0000F6280000}"/>
    <cellStyle name="Normal 4 7 26 3" xfId="4949" xr:uid="{00000000-0005-0000-0000-0000F7280000}"/>
    <cellStyle name="Normal 4 7 27" xfId="1396" xr:uid="{00000000-0005-0000-0000-0000F8280000}"/>
    <cellStyle name="Normal 4 7 27 2" xfId="3406" xr:uid="{00000000-0005-0000-0000-0000F9280000}"/>
    <cellStyle name="Normal 4 7 27 2 2" xfId="6480" xr:uid="{00000000-0005-0000-0000-0000FA280000}"/>
    <cellStyle name="Normal 4 7 27 3" xfId="4950" xr:uid="{00000000-0005-0000-0000-0000FB280000}"/>
    <cellStyle name="Normal 4 7 28" xfId="1397" xr:uid="{00000000-0005-0000-0000-0000FC280000}"/>
    <cellStyle name="Normal 4 7 28 2" xfId="3407" xr:uid="{00000000-0005-0000-0000-0000FD280000}"/>
    <cellStyle name="Normal 4 7 28 2 2" xfId="6481" xr:uid="{00000000-0005-0000-0000-0000FE280000}"/>
    <cellStyle name="Normal 4 7 28 3" xfId="4951" xr:uid="{00000000-0005-0000-0000-0000FF280000}"/>
    <cellStyle name="Normal 4 7 29" xfId="1398" xr:uid="{00000000-0005-0000-0000-000000290000}"/>
    <cellStyle name="Normal 4 7 29 2" xfId="3408" xr:uid="{00000000-0005-0000-0000-000001290000}"/>
    <cellStyle name="Normal 4 7 29 2 2" xfId="6482" xr:uid="{00000000-0005-0000-0000-000002290000}"/>
    <cellStyle name="Normal 4 7 29 3" xfId="4952" xr:uid="{00000000-0005-0000-0000-000003290000}"/>
    <cellStyle name="Normal 4 7 3" xfId="1399" xr:uid="{00000000-0005-0000-0000-000004290000}"/>
    <cellStyle name="Normal 4 7 3 2" xfId="3409" xr:uid="{00000000-0005-0000-0000-000005290000}"/>
    <cellStyle name="Normal 4 7 3 2 2" xfId="6483" xr:uid="{00000000-0005-0000-0000-000006290000}"/>
    <cellStyle name="Normal 4 7 3 3" xfId="4953" xr:uid="{00000000-0005-0000-0000-000007290000}"/>
    <cellStyle name="Normal 4 7 30" xfId="1400" xr:uid="{00000000-0005-0000-0000-000008290000}"/>
    <cellStyle name="Normal 4 7 30 2" xfId="3410" xr:uid="{00000000-0005-0000-0000-000009290000}"/>
    <cellStyle name="Normal 4 7 30 2 2" xfId="6484" xr:uid="{00000000-0005-0000-0000-00000A290000}"/>
    <cellStyle name="Normal 4 7 30 3" xfId="4954" xr:uid="{00000000-0005-0000-0000-00000B290000}"/>
    <cellStyle name="Normal 4 7 31" xfId="1401" xr:uid="{00000000-0005-0000-0000-00000C290000}"/>
    <cellStyle name="Normal 4 7 31 2" xfId="3411" xr:uid="{00000000-0005-0000-0000-00000D290000}"/>
    <cellStyle name="Normal 4 7 31 2 2" xfId="6485" xr:uid="{00000000-0005-0000-0000-00000E290000}"/>
    <cellStyle name="Normal 4 7 31 3" xfId="4955" xr:uid="{00000000-0005-0000-0000-00000F290000}"/>
    <cellStyle name="Normal 4 7 32" xfId="1402" xr:uid="{00000000-0005-0000-0000-000010290000}"/>
    <cellStyle name="Normal 4 7 32 2" xfId="3412" xr:uid="{00000000-0005-0000-0000-000011290000}"/>
    <cellStyle name="Normal 4 7 32 2 2" xfId="6486" xr:uid="{00000000-0005-0000-0000-000012290000}"/>
    <cellStyle name="Normal 4 7 32 3" xfId="4956" xr:uid="{00000000-0005-0000-0000-000013290000}"/>
    <cellStyle name="Normal 4 7 33" xfId="1403" xr:uid="{00000000-0005-0000-0000-000014290000}"/>
    <cellStyle name="Normal 4 7 33 2" xfId="3413" xr:uid="{00000000-0005-0000-0000-000015290000}"/>
    <cellStyle name="Normal 4 7 33 2 2" xfId="6487" xr:uid="{00000000-0005-0000-0000-000016290000}"/>
    <cellStyle name="Normal 4 7 33 3" xfId="4957" xr:uid="{00000000-0005-0000-0000-000017290000}"/>
    <cellStyle name="Normal 4 7 34" xfId="1404" xr:uid="{00000000-0005-0000-0000-000018290000}"/>
    <cellStyle name="Normal 4 7 34 2" xfId="3414" xr:uid="{00000000-0005-0000-0000-000019290000}"/>
    <cellStyle name="Normal 4 7 34 2 2" xfId="6488" xr:uid="{00000000-0005-0000-0000-00001A290000}"/>
    <cellStyle name="Normal 4 7 34 3" xfId="4958" xr:uid="{00000000-0005-0000-0000-00001B290000}"/>
    <cellStyle name="Normal 4 7 35" xfId="1405" xr:uid="{00000000-0005-0000-0000-00001C290000}"/>
    <cellStyle name="Normal 4 7 35 2" xfId="3415" xr:uid="{00000000-0005-0000-0000-00001D290000}"/>
    <cellStyle name="Normal 4 7 35 2 2" xfId="6489" xr:uid="{00000000-0005-0000-0000-00001E290000}"/>
    <cellStyle name="Normal 4 7 35 3" xfId="4959" xr:uid="{00000000-0005-0000-0000-00001F290000}"/>
    <cellStyle name="Normal 4 7 36" xfId="1406" xr:uid="{00000000-0005-0000-0000-000020290000}"/>
    <cellStyle name="Normal 4 7 36 2" xfId="3416" xr:uid="{00000000-0005-0000-0000-000021290000}"/>
    <cellStyle name="Normal 4 7 36 2 2" xfId="6490" xr:uid="{00000000-0005-0000-0000-000022290000}"/>
    <cellStyle name="Normal 4 7 36 3" xfId="4960" xr:uid="{00000000-0005-0000-0000-000023290000}"/>
    <cellStyle name="Normal 4 7 37" xfId="1407" xr:uid="{00000000-0005-0000-0000-000024290000}"/>
    <cellStyle name="Normal 4 7 37 2" xfId="3417" xr:uid="{00000000-0005-0000-0000-000025290000}"/>
    <cellStyle name="Normal 4 7 37 2 2" xfId="6491" xr:uid="{00000000-0005-0000-0000-000026290000}"/>
    <cellStyle name="Normal 4 7 37 3" xfId="4961" xr:uid="{00000000-0005-0000-0000-000027290000}"/>
    <cellStyle name="Normal 4 7 38" xfId="1408" xr:uid="{00000000-0005-0000-0000-000028290000}"/>
    <cellStyle name="Normal 4 7 38 2" xfId="3418" xr:uid="{00000000-0005-0000-0000-000029290000}"/>
    <cellStyle name="Normal 4 7 38 2 2" xfId="6492" xr:uid="{00000000-0005-0000-0000-00002A290000}"/>
    <cellStyle name="Normal 4 7 38 3" xfId="4962" xr:uid="{00000000-0005-0000-0000-00002B290000}"/>
    <cellStyle name="Normal 4 7 39" xfId="1409" xr:uid="{00000000-0005-0000-0000-00002C290000}"/>
    <cellStyle name="Normal 4 7 39 2" xfId="3419" xr:uid="{00000000-0005-0000-0000-00002D290000}"/>
    <cellStyle name="Normal 4 7 39 2 2" xfId="6493" xr:uid="{00000000-0005-0000-0000-00002E290000}"/>
    <cellStyle name="Normal 4 7 39 3" xfId="4963" xr:uid="{00000000-0005-0000-0000-00002F290000}"/>
    <cellStyle name="Normal 4 7 4" xfId="1410" xr:uid="{00000000-0005-0000-0000-000030290000}"/>
    <cellStyle name="Normal 4 7 4 2" xfId="3420" xr:uid="{00000000-0005-0000-0000-000031290000}"/>
    <cellStyle name="Normal 4 7 4 2 2" xfId="6494" xr:uid="{00000000-0005-0000-0000-000032290000}"/>
    <cellStyle name="Normal 4 7 4 3" xfId="4964" xr:uid="{00000000-0005-0000-0000-000033290000}"/>
    <cellStyle name="Normal 4 7 40" xfId="1411" xr:uid="{00000000-0005-0000-0000-000034290000}"/>
    <cellStyle name="Normal 4 7 40 2" xfId="3421" xr:uid="{00000000-0005-0000-0000-000035290000}"/>
    <cellStyle name="Normal 4 7 40 2 2" xfId="6495" xr:uid="{00000000-0005-0000-0000-000036290000}"/>
    <cellStyle name="Normal 4 7 40 3" xfId="4965" xr:uid="{00000000-0005-0000-0000-000037290000}"/>
    <cellStyle name="Normal 4 7 41" xfId="1412" xr:uid="{00000000-0005-0000-0000-000038290000}"/>
    <cellStyle name="Normal 4 7 41 2" xfId="3422" xr:uid="{00000000-0005-0000-0000-000039290000}"/>
    <cellStyle name="Normal 4 7 41 2 2" xfId="6496" xr:uid="{00000000-0005-0000-0000-00003A290000}"/>
    <cellStyle name="Normal 4 7 41 3" xfId="4966" xr:uid="{00000000-0005-0000-0000-00003B290000}"/>
    <cellStyle name="Normal 4 7 42" xfId="1413" xr:uid="{00000000-0005-0000-0000-00003C290000}"/>
    <cellStyle name="Normal 4 7 42 2" xfId="3423" xr:uid="{00000000-0005-0000-0000-00003D290000}"/>
    <cellStyle name="Normal 4 7 42 2 2" xfId="6497" xr:uid="{00000000-0005-0000-0000-00003E290000}"/>
    <cellStyle name="Normal 4 7 42 3" xfId="4967" xr:uid="{00000000-0005-0000-0000-00003F290000}"/>
    <cellStyle name="Normal 4 7 43" xfId="1414" xr:uid="{00000000-0005-0000-0000-000040290000}"/>
    <cellStyle name="Normal 4 7 43 2" xfId="3424" xr:uid="{00000000-0005-0000-0000-000041290000}"/>
    <cellStyle name="Normal 4 7 43 2 2" xfId="6498" xr:uid="{00000000-0005-0000-0000-000042290000}"/>
    <cellStyle name="Normal 4 7 43 3" xfId="4968" xr:uid="{00000000-0005-0000-0000-000043290000}"/>
    <cellStyle name="Normal 4 7 44" xfId="3387" xr:uid="{00000000-0005-0000-0000-000044290000}"/>
    <cellStyle name="Normal 4 7 44 2" xfId="6461" xr:uid="{00000000-0005-0000-0000-000045290000}"/>
    <cellStyle name="Normal 4 7 45" xfId="4931" xr:uid="{00000000-0005-0000-0000-000046290000}"/>
    <cellStyle name="Normal 4 7 5" xfId="1415" xr:uid="{00000000-0005-0000-0000-000047290000}"/>
    <cellStyle name="Normal 4 7 5 2" xfId="3425" xr:uid="{00000000-0005-0000-0000-000048290000}"/>
    <cellStyle name="Normal 4 7 5 2 2" xfId="6499" xr:uid="{00000000-0005-0000-0000-000049290000}"/>
    <cellStyle name="Normal 4 7 5 3" xfId="4969" xr:uid="{00000000-0005-0000-0000-00004A290000}"/>
    <cellStyle name="Normal 4 7 6" xfId="1416" xr:uid="{00000000-0005-0000-0000-00004B290000}"/>
    <cellStyle name="Normal 4 7 6 2" xfId="3426" xr:uid="{00000000-0005-0000-0000-00004C290000}"/>
    <cellStyle name="Normal 4 7 6 2 2" xfId="6500" xr:uid="{00000000-0005-0000-0000-00004D290000}"/>
    <cellStyle name="Normal 4 7 6 3" xfId="4970" xr:uid="{00000000-0005-0000-0000-00004E290000}"/>
    <cellStyle name="Normal 4 7 7" xfId="1417" xr:uid="{00000000-0005-0000-0000-00004F290000}"/>
    <cellStyle name="Normal 4 7 7 2" xfId="3427" xr:uid="{00000000-0005-0000-0000-000050290000}"/>
    <cellStyle name="Normal 4 7 7 2 2" xfId="6501" xr:uid="{00000000-0005-0000-0000-000051290000}"/>
    <cellStyle name="Normal 4 7 7 3" xfId="4971" xr:uid="{00000000-0005-0000-0000-000052290000}"/>
    <cellStyle name="Normal 4 7 8" xfId="1418" xr:uid="{00000000-0005-0000-0000-000053290000}"/>
    <cellStyle name="Normal 4 7 8 2" xfId="3428" xr:uid="{00000000-0005-0000-0000-000054290000}"/>
    <cellStyle name="Normal 4 7 8 2 2" xfId="6502" xr:uid="{00000000-0005-0000-0000-000055290000}"/>
    <cellStyle name="Normal 4 7 8 3" xfId="4972" xr:uid="{00000000-0005-0000-0000-000056290000}"/>
    <cellStyle name="Normal 4 7 9" xfId="1419" xr:uid="{00000000-0005-0000-0000-000057290000}"/>
    <cellStyle name="Normal 4 7 9 2" xfId="3429" xr:uid="{00000000-0005-0000-0000-000058290000}"/>
    <cellStyle name="Normal 4 7 9 2 2" xfId="6503" xr:uid="{00000000-0005-0000-0000-000059290000}"/>
    <cellStyle name="Normal 4 7 9 3" xfId="4973" xr:uid="{00000000-0005-0000-0000-00005A290000}"/>
    <cellStyle name="Normal 4 8" xfId="1420" xr:uid="{00000000-0005-0000-0000-00005B290000}"/>
    <cellStyle name="Normal 4 8 10" xfId="1421" xr:uid="{00000000-0005-0000-0000-00005C290000}"/>
    <cellStyle name="Normal 4 8 10 2" xfId="3431" xr:uid="{00000000-0005-0000-0000-00005D290000}"/>
    <cellStyle name="Normal 4 8 10 2 2" xfId="6505" xr:uid="{00000000-0005-0000-0000-00005E290000}"/>
    <cellStyle name="Normal 4 8 10 3" xfId="4975" xr:uid="{00000000-0005-0000-0000-00005F290000}"/>
    <cellStyle name="Normal 4 8 11" xfId="1422" xr:uid="{00000000-0005-0000-0000-000060290000}"/>
    <cellStyle name="Normal 4 8 11 2" xfId="3432" xr:uid="{00000000-0005-0000-0000-000061290000}"/>
    <cellStyle name="Normal 4 8 11 2 2" xfId="6506" xr:uid="{00000000-0005-0000-0000-000062290000}"/>
    <cellStyle name="Normal 4 8 11 3" xfId="4976" xr:uid="{00000000-0005-0000-0000-000063290000}"/>
    <cellStyle name="Normal 4 8 12" xfId="1423" xr:uid="{00000000-0005-0000-0000-000064290000}"/>
    <cellStyle name="Normal 4 8 12 2" xfId="3433" xr:uid="{00000000-0005-0000-0000-000065290000}"/>
    <cellStyle name="Normal 4 8 12 2 2" xfId="6507" xr:uid="{00000000-0005-0000-0000-000066290000}"/>
    <cellStyle name="Normal 4 8 12 3" xfId="4977" xr:uid="{00000000-0005-0000-0000-000067290000}"/>
    <cellStyle name="Normal 4 8 13" xfId="1424" xr:uid="{00000000-0005-0000-0000-000068290000}"/>
    <cellStyle name="Normal 4 8 13 2" xfId="3434" xr:uid="{00000000-0005-0000-0000-000069290000}"/>
    <cellStyle name="Normal 4 8 13 2 2" xfId="6508" xr:uid="{00000000-0005-0000-0000-00006A290000}"/>
    <cellStyle name="Normal 4 8 13 3" xfId="4978" xr:uid="{00000000-0005-0000-0000-00006B290000}"/>
    <cellStyle name="Normal 4 8 14" xfId="1425" xr:uid="{00000000-0005-0000-0000-00006C290000}"/>
    <cellStyle name="Normal 4 8 14 2" xfId="3435" xr:uid="{00000000-0005-0000-0000-00006D290000}"/>
    <cellStyle name="Normal 4 8 14 2 2" xfId="6509" xr:uid="{00000000-0005-0000-0000-00006E290000}"/>
    <cellStyle name="Normal 4 8 14 3" xfId="4979" xr:uid="{00000000-0005-0000-0000-00006F290000}"/>
    <cellStyle name="Normal 4 8 15" xfId="1426" xr:uid="{00000000-0005-0000-0000-000070290000}"/>
    <cellStyle name="Normal 4 8 15 2" xfId="3436" xr:uid="{00000000-0005-0000-0000-000071290000}"/>
    <cellStyle name="Normal 4 8 15 2 2" xfId="6510" xr:uid="{00000000-0005-0000-0000-000072290000}"/>
    <cellStyle name="Normal 4 8 15 3" xfId="4980" xr:uid="{00000000-0005-0000-0000-000073290000}"/>
    <cellStyle name="Normal 4 8 16" xfId="1427" xr:uid="{00000000-0005-0000-0000-000074290000}"/>
    <cellStyle name="Normal 4 8 16 2" xfId="3437" xr:uid="{00000000-0005-0000-0000-000075290000}"/>
    <cellStyle name="Normal 4 8 16 2 2" xfId="6511" xr:uid="{00000000-0005-0000-0000-000076290000}"/>
    <cellStyle name="Normal 4 8 16 3" xfId="4981" xr:uid="{00000000-0005-0000-0000-000077290000}"/>
    <cellStyle name="Normal 4 8 17" xfId="1428" xr:uid="{00000000-0005-0000-0000-000078290000}"/>
    <cellStyle name="Normal 4 8 17 2" xfId="3438" xr:uid="{00000000-0005-0000-0000-000079290000}"/>
    <cellStyle name="Normal 4 8 17 2 2" xfId="6512" xr:uid="{00000000-0005-0000-0000-00007A290000}"/>
    <cellStyle name="Normal 4 8 17 3" xfId="4982" xr:uid="{00000000-0005-0000-0000-00007B290000}"/>
    <cellStyle name="Normal 4 8 18" xfId="1429" xr:uid="{00000000-0005-0000-0000-00007C290000}"/>
    <cellStyle name="Normal 4 8 18 2" xfId="3439" xr:uid="{00000000-0005-0000-0000-00007D290000}"/>
    <cellStyle name="Normal 4 8 18 2 2" xfId="6513" xr:uid="{00000000-0005-0000-0000-00007E290000}"/>
    <cellStyle name="Normal 4 8 18 3" xfId="4983" xr:uid="{00000000-0005-0000-0000-00007F290000}"/>
    <cellStyle name="Normal 4 8 19" xfId="1430" xr:uid="{00000000-0005-0000-0000-000080290000}"/>
    <cellStyle name="Normal 4 8 19 2" xfId="3440" xr:uid="{00000000-0005-0000-0000-000081290000}"/>
    <cellStyle name="Normal 4 8 19 2 2" xfId="6514" xr:uid="{00000000-0005-0000-0000-000082290000}"/>
    <cellStyle name="Normal 4 8 19 3" xfId="4984" xr:uid="{00000000-0005-0000-0000-000083290000}"/>
    <cellStyle name="Normal 4 8 2" xfId="1431" xr:uid="{00000000-0005-0000-0000-000084290000}"/>
    <cellStyle name="Normal 4 8 2 2" xfId="3441" xr:uid="{00000000-0005-0000-0000-000085290000}"/>
    <cellStyle name="Normal 4 8 2 2 2" xfId="6515" xr:uid="{00000000-0005-0000-0000-000086290000}"/>
    <cellStyle name="Normal 4 8 2 3" xfId="4985" xr:uid="{00000000-0005-0000-0000-000087290000}"/>
    <cellStyle name="Normal 4 8 20" xfId="1432" xr:uid="{00000000-0005-0000-0000-000088290000}"/>
    <cellStyle name="Normal 4 8 20 2" xfId="3442" xr:uid="{00000000-0005-0000-0000-000089290000}"/>
    <cellStyle name="Normal 4 8 20 2 2" xfId="6516" xr:uid="{00000000-0005-0000-0000-00008A290000}"/>
    <cellStyle name="Normal 4 8 20 3" xfId="4986" xr:uid="{00000000-0005-0000-0000-00008B290000}"/>
    <cellStyle name="Normal 4 8 21" xfId="1433" xr:uid="{00000000-0005-0000-0000-00008C290000}"/>
    <cellStyle name="Normal 4 8 21 2" xfId="3443" xr:uid="{00000000-0005-0000-0000-00008D290000}"/>
    <cellStyle name="Normal 4 8 21 2 2" xfId="6517" xr:uid="{00000000-0005-0000-0000-00008E290000}"/>
    <cellStyle name="Normal 4 8 21 3" xfId="4987" xr:uid="{00000000-0005-0000-0000-00008F290000}"/>
    <cellStyle name="Normal 4 8 22" xfId="1434" xr:uid="{00000000-0005-0000-0000-000090290000}"/>
    <cellStyle name="Normal 4 8 22 2" xfId="3444" xr:uid="{00000000-0005-0000-0000-000091290000}"/>
    <cellStyle name="Normal 4 8 22 2 2" xfId="6518" xr:uid="{00000000-0005-0000-0000-000092290000}"/>
    <cellStyle name="Normal 4 8 22 3" xfId="4988" xr:uid="{00000000-0005-0000-0000-000093290000}"/>
    <cellStyle name="Normal 4 8 23" xfId="1435" xr:uid="{00000000-0005-0000-0000-000094290000}"/>
    <cellStyle name="Normal 4 8 23 2" xfId="3445" xr:uid="{00000000-0005-0000-0000-000095290000}"/>
    <cellStyle name="Normal 4 8 23 2 2" xfId="6519" xr:uid="{00000000-0005-0000-0000-000096290000}"/>
    <cellStyle name="Normal 4 8 23 3" xfId="4989" xr:uid="{00000000-0005-0000-0000-000097290000}"/>
    <cellStyle name="Normal 4 8 24" xfId="1436" xr:uid="{00000000-0005-0000-0000-000098290000}"/>
    <cellStyle name="Normal 4 8 24 2" xfId="3446" xr:uid="{00000000-0005-0000-0000-000099290000}"/>
    <cellStyle name="Normal 4 8 24 2 2" xfId="6520" xr:uid="{00000000-0005-0000-0000-00009A290000}"/>
    <cellStyle name="Normal 4 8 24 3" xfId="4990" xr:uid="{00000000-0005-0000-0000-00009B290000}"/>
    <cellStyle name="Normal 4 8 25" xfId="1437" xr:uid="{00000000-0005-0000-0000-00009C290000}"/>
    <cellStyle name="Normal 4 8 25 2" xfId="3447" xr:uid="{00000000-0005-0000-0000-00009D290000}"/>
    <cellStyle name="Normal 4 8 25 2 2" xfId="6521" xr:uid="{00000000-0005-0000-0000-00009E290000}"/>
    <cellStyle name="Normal 4 8 25 3" xfId="4991" xr:uid="{00000000-0005-0000-0000-00009F290000}"/>
    <cellStyle name="Normal 4 8 26" xfId="1438" xr:uid="{00000000-0005-0000-0000-0000A0290000}"/>
    <cellStyle name="Normal 4 8 26 2" xfId="3448" xr:uid="{00000000-0005-0000-0000-0000A1290000}"/>
    <cellStyle name="Normal 4 8 26 2 2" xfId="6522" xr:uid="{00000000-0005-0000-0000-0000A2290000}"/>
    <cellStyle name="Normal 4 8 26 3" xfId="4992" xr:uid="{00000000-0005-0000-0000-0000A3290000}"/>
    <cellStyle name="Normal 4 8 27" xfId="1439" xr:uid="{00000000-0005-0000-0000-0000A4290000}"/>
    <cellStyle name="Normal 4 8 27 2" xfId="3449" xr:uid="{00000000-0005-0000-0000-0000A5290000}"/>
    <cellStyle name="Normal 4 8 27 2 2" xfId="6523" xr:uid="{00000000-0005-0000-0000-0000A6290000}"/>
    <cellStyle name="Normal 4 8 27 3" xfId="4993" xr:uid="{00000000-0005-0000-0000-0000A7290000}"/>
    <cellStyle name="Normal 4 8 28" xfId="1440" xr:uid="{00000000-0005-0000-0000-0000A8290000}"/>
    <cellStyle name="Normal 4 8 28 2" xfId="3450" xr:uid="{00000000-0005-0000-0000-0000A9290000}"/>
    <cellStyle name="Normal 4 8 28 2 2" xfId="6524" xr:uid="{00000000-0005-0000-0000-0000AA290000}"/>
    <cellStyle name="Normal 4 8 28 3" xfId="4994" xr:uid="{00000000-0005-0000-0000-0000AB290000}"/>
    <cellStyle name="Normal 4 8 29" xfId="1441" xr:uid="{00000000-0005-0000-0000-0000AC290000}"/>
    <cellStyle name="Normal 4 8 29 2" xfId="3451" xr:uid="{00000000-0005-0000-0000-0000AD290000}"/>
    <cellStyle name="Normal 4 8 29 2 2" xfId="6525" xr:uid="{00000000-0005-0000-0000-0000AE290000}"/>
    <cellStyle name="Normal 4 8 29 3" xfId="4995" xr:uid="{00000000-0005-0000-0000-0000AF290000}"/>
    <cellStyle name="Normal 4 8 3" xfId="1442" xr:uid="{00000000-0005-0000-0000-0000B0290000}"/>
    <cellStyle name="Normal 4 8 3 2" xfId="3452" xr:uid="{00000000-0005-0000-0000-0000B1290000}"/>
    <cellStyle name="Normal 4 8 3 2 2" xfId="6526" xr:uid="{00000000-0005-0000-0000-0000B2290000}"/>
    <cellStyle name="Normal 4 8 3 3" xfId="4996" xr:uid="{00000000-0005-0000-0000-0000B3290000}"/>
    <cellStyle name="Normal 4 8 30" xfId="1443" xr:uid="{00000000-0005-0000-0000-0000B4290000}"/>
    <cellStyle name="Normal 4 8 30 2" xfId="3453" xr:uid="{00000000-0005-0000-0000-0000B5290000}"/>
    <cellStyle name="Normal 4 8 30 2 2" xfId="6527" xr:uid="{00000000-0005-0000-0000-0000B6290000}"/>
    <cellStyle name="Normal 4 8 30 3" xfId="4997" xr:uid="{00000000-0005-0000-0000-0000B7290000}"/>
    <cellStyle name="Normal 4 8 31" xfId="1444" xr:uid="{00000000-0005-0000-0000-0000B8290000}"/>
    <cellStyle name="Normal 4 8 31 2" xfId="3454" xr:uid="{00000000-0005-0000-0000-0000B9290000}"/>
    <cellStyle name="Normal 4 8 31 2 2" xfId="6528" xr:uid="{00000000-0005-0000-0000-0000BA290000}"/>
    <cellStyle name="Normal 4 8 31 3" xfId="4998" xr:uid="{00000000-0005-0000-0000-0000BB290000}"/>
    <cellStyle name="Normal 4 8 32" xfId="1445" xr:uid="{00000000-0005-0000-0000-0000BC290000}"/>
    <cellStyle name="Normal 4 8 32 2" xfId="3455" xr:uid="{00000000-0005-0000-0000-0000BD290000}"/>
    <cellStyle name="Normal 4 8 32 2 2" xfId="6529" xr:uid="{00000000-0005-0000-0000-0000BE290000}"/>
    <cellStyle name="Normal 4 8 32 3" xfId="4999" xr:uid="{00000000-0005-0000-0000-0000BF290000}"/>
    <cellStyle name="Normal 4 8 33" xfId="1446" xr:uid="{00000000-0005-0000-0000-0000C0290000}"/>
    <cellStyle name="Normal 4 8 33 2" xfId="3456" xr:uid="{00000000-0005-0000-0000-0000C1290000}"/>
    <cellStyle name="Normal 4 8 33 2 2" xfId="6530" xr:uid="{00000000-0005-0000-0000-0000C2290000}"/>
    <cellStyle name="Normal 4 8 33 3" xfId="5000" xr:uid="{00000000-0005-0000-0000-0000C3290000}"/>
    <cellStyle name="Normal 4 8 34" xfId="1447" xr:uid="{00000000-0005-0000-0000-0000C4290000}"/>
    <cellStyle name="Normal 4 8 34 2" xfId="3457" xr:uid="{00000000-0005-0000-0000-0000C5290000}"/>
    <cellStyle name="Normal 4 8 34 2 2" xfId="6531" xr:uid="{00000000-0005-0000-0000-0000C6290000}"/>
    <cellStyle name="Normal 4 8 34 3" xfId="5001" xr:uid="{00000000-0005-0000-0000-0000C7290000}"/>
    <cellStyle name="Normal 4 8 35" xfId="1448" xr:uid="{00000000-0005-0000-0000-0000C8290000}"/>
    <cellStyle name="Normal 4 8 35 2" xfId="3458" xr:uid="{00000000-0005-0000-0000-0000C9290000}"/>
    <cellStyle name="Normal 4 8 35 2 2" xfId="6532" xr:uid="{00000000-0005-0000-0000-0000CA290000}"/>
    <cellStyle name="Normal 4 8 35 3" xfId="5002" xr:uid="{00000000-0005-0000-0000-0000CB290000}"/>
    <cellStyle name="Normal 4 8 36" xfId="1449" xr:uid="{00000000-0005-0000-0000-0000CC290000}"/>
    <cellStyle name="Normal 4 8 36 2" xfId="3459" xr:uid="{00000000-0005-0000-0000-0000CD290000}"/>
    <cellStyle name="Normal 4 8 36 2 2" xfId="6533" xr:uid="{00000000-0005-0000-0000-0000CE290000}"/>
    <cellStyle name="Normal 4 8 36 3" xfId="5003" xr:uid="{00000000-0005-0000-0000-0000CF290000}"/>
    <cellStyle name="Normal 4 8 37" xfId="1450" xr:uid="{00000000-0005-0000-0000-0000D0290000}"/>
    <cellStyle name="Normal 4 8 37 2" xfId="3460" xr:uid="{00000000-0005-0000-0000-0000D1290000}"/>
    <cellStyle name="Normal 4 8 37 2 2" xfId="6534" xr:uid="{00000000-0005-0000-0000-0000D2290000}"/>
    <cellStyle name="Normal 4 8 37 3" xfId="5004" xr:uid="{00000000-0005-0000-0000-0000D3290000}"/>
    <cellStyle name="Normal 4 8 38" xfId="1451" xr:uid="{00000000-0005-0000-0000-0000D4290000}"/>
    <cellStyle name="Normal 4 8 38 2" xfId="3461" xr:uid="{00000000-0005-0000-0000-0000D5290000}"/>
    <cellStyle name="Normal 4 8 38 2 2" xfId="6535" xr:uid="{00000000-0005-0000-0000-0000D6290000}"/>
    <cellStyle name="Normal 4 8 38 3" xfId="5005" xr:uid="{00000000-0005-0000-0000-0000D7290000}"/>
    <cellStyle name="Normal 4 8 39" xfId="1452" xr:uid="{00000000-0005-0000-0000-0000D8290000}"/>
    <cellStyle name="Normal 4 8 39 2" xfId="3462" xr:uid="{00000000-0005-0000-0000-0000D9290000}"/>
    <cellStyle name="Normal 4 8 39 2 2" xfId="6536" xr:uid="{00000000-0005-0000-0000-0000DA290000}"/>
    <cellStyle name="Normal 4 8 39 3" xfId="5006" xr:uid="{00000000-0005-0000-0000-0000DB290000}"/>
    <cellStyle name="Normal 4 8 4" xfId="1453" xr:uid="{00000000-0005-0000-0000-0000DC290000}"/>
    <cellStyle name="Normal 4 8 4 2" xfId="3463" xr:uid="{00000000-0005-0000-0000-0000DD290000}"/>
    <cellStyle name="Normal 4 8 4 2 2" xfId="6537" xr:uid="{00000000-0005-0000-0000-0000DE290000}"/>
    <cellStyle name="Normal 4 8 4 3" xfId="5007" xr:uid="{00000000-0005-0000-0000-0000DF290000}"/>
    <cellStyle name="Normal 4 8 40" xfId="1454" xr:uid="{00000000-0005-0000-0000-0000E0290000}"/>
    <cellStyle name="Normal 4 8 40 2" xfId="3464" xr:uid="{00000000-0005-0000-0000-0000E1290000}"/>
    <cellStyle name="Normal 4 8 40 2 2" xfId="6538" xr:uid="{00000000-0005-0000-0000-0000E2290000}"/>
    <cellStyle name="Normal 4 8 40 3" xfId="5008" xr:uid="{00000000-0005-0000-0000-0000E3290000}"/>
    <cellStyle name="Normal 4 8 41" xfId="1455" xr:uid="{00000000-0005-0000-0000-0000E4290000}"/>
    <cellStyle name="Normal 4 8 41 2" xfId="3465" xr:uid="{00000000-0005-0000-0000-0000E5290000}"/>
    <cellStyle name="Normal 4 8 41 2 2" xfId="6539" xr:uid="{00000000-0005-0000-0000-0000E6290000}"/>
    <cellStyle name="Normal 4 8 41 3" xfId="5009" xr:uid="{00000000-0005-0000-0000-0000E7290000}"/>
    <cellStyle name="Normal 4 8 42" xfId="1456" xr:uid="{00000000-0005-0000-0000-0000E8290000}"/>
    <cellStyle name="Normal 4 8 42 2" xfId="3466" xr:uid="{00000000-0005-0000-0000-0000E9290000}"/>
    <cellStyle name="Normal 4 8 42 2 2" xfId="6540" xr:uid="{00000000-0005-0000-0000-0000EA290000}"/>
    <cellStyle name="Normal 4 8 42 3" xfId="5010" xr:uid="{00000000-0005-0000-0000-0000EB290000}"/>
    <cellStyle name="Normal 4 8 43" xfId="1457" xr:uid="{00000000-0005-0000-0000-0000EC290000}"/>
    <cellStyle name="Normal 4 8 43 2" xfId="3467" xr:uid="{00000000-0005-0000-0000-0000ED290000}"/>
    <cellStyle name="Normal 4 8 43 2 2" xfId="6541" xr:uid="{00000000-0005-0000-0000-0000EE290000}"/>
    <cellStyle name="Normal 4 8 43 3" xfId="5011" xr:uid="{00000000-0005-0000-0000-0000EF290000}"/>
    <cellStyle name="Normal 4 8 44" xfId="3430" xr:uid="{00000000-0005-0000-0000-0000F0290000}"/>
    <cellStyle name="Normal 4 8 44 2" xfId="6504" xr:uid="{00000000-0005-0000-0000-0000F1290000}"/>
    <cellStyle name="Normal 4 8 45" xfId="4974" xr:uid="{00000000-0005-0000-0000-0000F2290000}"/>
    <cellStyle name="Normal 4 8 5" xfId="1458" xr:uid="{00000000-0005-0000-0000-0000F3290000}"/>
    <cellStyle name="Normal 4 8 5 2" xfId="3468" xr:uid="{00000000-0005-0000-0000-0000F4290000}"/>
    <cellStyle name="Normal 4 8 5 2 2" xfId="6542" xr:uid="{00000000-0005-0000-0000-0000F5290000}"/>
    <cellStyle name="Normal 4 8 5 3" xfId="5012" xr:uid="{00000000-0005-0000-0000-0000F6290000}"/>
    <cellStyle name="Normal 4 8 6" xfId="1459" xr:uid="{00000000-0005-0000-0000-0000F7290000}"/>
    <cellStyle name="Normal 4 8 6 2" xfId="3469" xr:uid="{00000000-0005-0000-0000-0000F8290000}"/>
    <cellStyle name="Normal 4 8 6 2 2" xfId="6543" xr:uid="{00000000-0005-0000-0000-0000F9290000}"/>
    <cellStyle name="Normal 4 8 6 3" xfId="5013" xr:uid="{00000000-0005-0000-0000-0000FA290000}"/>
    <cellStyle name="Normal 4 8 7" xfId="1460" xr:uid="{00000000-0005-0000-0000-0000FB290000}"/>
    <cellStyle name="Normal 4 8 7 2" xfId="3470" xr:uid="{00000000-0005-0000-0000-0000FC290000}"/>
    <cellStyle name="Normal 4 8 7 2 2" xfId="6544" xr:uid="{00000000-0005-0000-0000-0000FD290000}"/>
    <cellStyle name="Normal 4 8 7 3" xfId="5014" xr:uid="{00000000-0005-0000-0000-0000FE290000}"/>
    <cellStyle name="Normal 4 8 8" xfId="1461" xr:uid="{00000000-0005-0000-0000-0000FF290000}"/>
    <cellStyle name="Normal 4 8 8 2" xfId="3471" xr:uid="{00000000-0005-0000-0000-0000002A0000}"/>
    <cellStyle name="Normal 4 8 8 2 2" xfId="6545" xr:uid="{00000000-0005-0000-0000-0000012A0000}"/>
    <cellStyle name="Normal 4 8 8 3" xfId="5015" xr:uid="{00000000-0005-0000-0000-0000022A0000}"/>
    <cellStyle name="Normal 4 8 9" xfId="1462" xr:uid="{00000000-0005-0000-0000-0000032A0000}"/>
    <cellStyle name="Normal 4 8 9 2" xfId="3472" xr:uid="{00000000-0005-0000-0000-0000042A0000}"/>
    <cellStyle name="Normal 4 8 9 2 2" xfId="6546" xr:uid="{00000000-0005-0000-0000-0000052A0000}"/>
    <cellStyle name="Normal 4 8 9 3" xfId="5016" xr:uid="{00000000-0005-0000-0000-0000062A0000}"/>
    <cellStyle name="Normal 4 9" xfId="1463" xr:uid="{00000000-0005-0000-0000-0000072A0000}"/>
    <cellStyle name="Normal 4 9 10" xfId="1464" xr:uid="{00000000-0005-0000-0000-0000082A0000}"/>
    <cellStyle name="Normal 4 9 10 2" xfId="3474" xr:uid="{00000000-0005-0000-0000-0000092A0000}"/>
    <cellStyle name="Normal 4 9 10 2 2" xfId="6548" xr:uid="{00000000-0005-0000-0000-00000A2A0000}"/>
    <cellStyle name="Normal 4 9 10 3" xfId="5018" xr:uid="{00000000-0005-0000-0000-00000B2A0000}"/>
    <cellStyle name="Normal 4 9 11" xfId="1465" xr:uid="{00000000-0005-0000-0000-00000C2A0000}"/>
    <cellStyle name="Normal 4 9 11 2" xfId="3475" xr:uid="{00000000-0005-0000-0000-00000D2A0000}"/>
    <cellStyle name="Normal 4 9 11 2 2" xfId="6549" xr:uid="{00000000-0005-0000-0000-00000E2A0000}"/>
    <cellStyle name="Normal 4 9 11 3" xfId="5019" xr:uid="{00000000-0005-0000-0000-00000F2A0000}"/>
    <cellStyle name="Normal 4 9 12" xfId="1466" xr:uid="{00000000-0005-0000-0000-0000102A0000}"/>
    <cellStyle name="Normal 4 9 12 2" xfId="3476" xr:uid="{00000000-0005-0000-0000-0000112A0000}"/>
    <cellStyle name="Normal 4 9 12 2 2" xfId="6550" xr:uid="{00000000-0005-0000-0000-0000122A0000}"/>
    <cellStyle name="Normal 4 9 12 3" xfId="5020" xr:uid="{00000000-0005-0000-0000-0000132A0000}"/>
    <cellStyle name="Normal 4 9 13" xfId="1467" xr:uid="{00000000-0005-0000-0000-0000142A0000}"/>
    <cellStyle name="Normal 4 9 13 2" xfId="3477" xr:uid="{00000000-0005-0000-0000-0000152A0000}"/>
    <cellStyle name="Normal 4 9 13 2 2" xfId="6551" xr:uid="{00000000-0005-0000-0000-0000162A0000}"/>
    <cellStyle name="Normal 4 9 13 3" xfId="5021" xr:uid="{00000000-0005-0000-0000-0000172A0000}"/>
    <cellStyle name="Normal 4 9 14" xfId="1468" xr:uid="{00000000-0005-0000-0000-0000182A0000}"/>
    <cellStyle name="Normal 4 9 14 2" xfId="3478" xr:uid="{00000000-0005-0000-0000-0000192A0000}"/>
    <cellStyle name="Normal 4 9 14 2 2" xfId="6552" xr:uid="{00000000-0005-0000-0000-00001A2A0000}"/>
    <cellStyle name="Normal 4 9 14 3" xfId="5022" xr:uid="{00000000-0005-0000-0000-00001B2A0000}"/>
    <cellStyle name="Normal 4 9 15" xfId="1469" xr:uid="{00000000-0005-0000-0000-00001C2A0000}"/>
    <cellStyle name="Normal 4 9 15 2" xfId="3479" xr:uid="{00000000-0005-0000-0000-00001D2A0000}"/>
    <cellStyle name="Normal 4 9 15 2 2" xfId="6553" xr:uid="{00000000-0005-0000-0000-00001E2A0000}"/>
    <cellStyle name="Normal 4 9 15 3" xfId="5023" xr:uid="{00000000-0005-0000-0000-00001F2A0000}"/>
    <cellStyle name="Normal 4 9 16" xfId="1470" xr:uid="{00000000-0005-0000-0000-0000202A0000}"/>
    <cellStyle name="Normal 4 9 16 2" xfId="3480" xr:uid="{00000000-0005-0000-0000-0000212A0000}"/>
    <cellStyle name="Normal 4 9 16 2 2" xfId="6554" xr:uid="{00000000-0005-0000-0000-0000222A0000}"/>
    <cellStyle name="Normal 4 9 16 3" xfId="5024" xr:uid="{00000000-0005-0000-0000-0000232A0000}"/>
    <cellStyle name="Normal 4 9 17" xfId="1471" xr:uid="{00000000-0005-0000-0000-0000242A0000}"/>
    <cellStyle name="Normal 4 9 17 2" xfId="3481" xr:uid="{00000000-0005-0000-0000-0000252A0000}"/>
    <cellStyle name="Normal 4 9 17 2 2" xfId="6555" xr:uid="{00000000-0005-0000-0000-0000262A0000}"/>
    <cellStyle name="Normal 4 9 17 3" xfId="5025" xr:uid="{00000000-0005-0000-0000-0000272A0000}"/>
    <cellStyle name="Normal 4 9 18" xfId="1472" xr:uid="{00000000-0005-0000-0000-0000282A0000}"/>
    <cellStyle name="Normal 4 9 18 2" xfId="3482" xr:uid="{00000000-0005-0000-0000-0000292A0000}"/>
    <cellStyle name="Normal 4 9 18 2 2" xfId="6556" xr:uid="{00000000-0005-0000-0000-00002A2A0000}"/>
    <cellStyle name="Normal 4 9 18 3" xfId="5026" xr:uid="{00000000-0005-0000-0000-00002B2A0000}"/>
    <cellStyle name="Normal 4 9 19" xfId="1473" xr:uid="{00000000-0005-0000-0000-00002C2A0000}"/>
    <cellStyle name="Normal 4 9 19 2" xfId="3483" xr:uid="{00000000-0005-0000-0000-00002D2A0000}"/>
    <cellStyle name="Normal 4 9 19 2 2" xfId="6557" xr:uid="{00000000-0005-0000-0000-00002E2A0000}"/>
    <cellStyle name="Normal 4 9 19 3" xfId="5027" xr:uid="{00000000-0005-0000-0000-00002F2A0000}"/>
    <cellStyle name="Normal 4 9 2" xfId="1474" xr:uid="{00000000-0005-0000-0000-0000302A0000}"/>
    <cellStyle name="Normal 4 9 2 2" xfId="3484" xr:uid="{00000000-0005-0000-0000-0000312A0000}"/>
    <cellStyle name="Normal 4 9 2 2 2" xfId="6558" xr:uid="{00000000-0005-0000-0000-0000322A0000}"/>
    <cellStyle name="Normal 4 9 2 3" xfId="5028" xr:uid="{00000000-0005-0000-0000-0000332A0000}"/>
    <cellStyle name="Normal 4 9 20" xfId="1475" xr:uid="{00000000-0005-0000-0000-0000342A0000}"/>
    <cellStyle name="Normal 4 9 20 2" xfId="3485" xr:uid="{00000000-0005-0000-0000-0000352A0000}"/>
    <cellStyle name="Normal 4 9 20 2 2" xfId="6559" xr:uid="{00000000-0005-0000-0000-0000362A0000}"/>
    <cellStyle name="Normal 4 9 20 3" xfId="5029" xr:uid="{00000000-0005-0000-0000-0000372A0000}"/>
    <cellStyle name="Normal 4 9 21" xfId="1476" xr:uid="{00000000-0005-0000-0000-0000382A0000}"/>
    <cellStyle name="Normal 4 9 21 2" xfId="3486" xr:uid="{00000000-0005-0000-0000-0000392A0000}"/>
    <cellStyle name="Normal 4 9 21 2 2" xfId="6560" xr:uid="{00000000-0005-0000-0000-00003A2A0000}"/>
    <cellStyle name="Normal 4 9 21 3" xfId="5030" xr:uid="{00000000-0005-0000-0000-00003B2A0000}"/>
    <cellStyle name="Normal 4 9 22" xfId="1477" xr:uid="{00000000-0005-0000-0000-00003C2A0000}"/>
    <cellStyle name="Normal 4 9 22 2" xfId="3487" xr:uid="{00000000-0005-0000-0000-00003D2A0000}"/>
    <cellStyle name="Normal 4 9 22 2 2" xfId="6561" xr:uid="{00000000-0005-0000-0000-00003E2A0000}"/>
    <cellStyle name="Normal 4 9 22 3" xfId="5031" xr:uid="{00000000-0005-0000-0000-00003F2A0000}"/>
    <cellStyle name="Normal 4 9 23" xfId="1478" xr:uid="{00000000-0005-0000-0000-0000402A0000}"/>
    <cellStyle name="Normal 4 9 23 2" xfId="3488" xr:uid="{00000000-0005-0000-0000-0000412A0000}"/>
    <cellStyle name="Normal 4 9 23 2 2" xfId="6562" xr:uid="{00000000-0005-0000-0000-0000422A0000}"/>
    <cellStyle name="Normal 4 9 23 3" xfId="5032" xr:uid="{00000000-0005-0000-0000-0000432A0000}"/>
    <cellStyle name="Normal 4 9 24" xfId="1479" xr:uid="{00000000-0005-0000-0000-0000442A0000}"/>
    <cellStyle name="Normal 4 9 24 2" xfId="3489" xr:uid="{00000000-0005-0000-0000-0000452A0000}"/>
    <cellStyle name="Normal 4 9 24 2 2" xfId="6563" xr:uid="{00000000-0005-0000-0000-0000462A0000}"/>
    <cellStyle name="Normal 4 9 24 3" xfId="5033" xr:uid="{00000000-0005-0000-0000-0000472A0000}"/>
    <cellStyle name="Normal 4 9 25" xfId="1480" xr:uid="{00000000-0005-0000-0000-0000482A0000}"/>
    <cellStyle name="Normal 4 9 25 2" xfId="3490" xr:uid="{00000000-0005-0000-0000-0000492A0000}"/>
    <cellStyle name="Normal 4 9 25 2 2" xfId="6564" xr:uid="{00000000-0005-0000-0000-00004A2A0000}"/>
    <cellStyle name="Normal 4 9 25 3" xfId="5034" xr:uid="{00000000-0005-0000-0000-00004B2A0000}"/>
    <cellStyle name="Normal 4 9 26" xfId="1481" xr:uid="{00000000-0005-0000-0000-00004C2A0000}"/>
    <cellStyle name="Normal 4 9 26 2" xfId="3491" xr:uid="{00000000-0005-0000-0000-00004D2A0000}"/>
    <cellStyle name="Normal 4 9 26 2 2" xfId="6565" xr:uid="{00000000-0005-0000-0000-00004E2A0000}"/>
    <cellStyle name="Normal 4 9 26 3" xfId="5035" xr:uid="{00000000-0005-0000-0000-00004F2A0000}"/>
    <cellStyle name="Normal 4 9 27" xfId="1482" xr:uid="{00000000-0005-0000-0000-0000502A0000}"/>
    <cellStyle name="Normal 4 9 27 2" xfId="3492" xr:uid="{00000000-0005-0000-0000-0000512A0000}"/>
    <cellStyle name="Normal 4 9 27 2 2" xfId="6566" xr:uid="{00000000-0005-0000-0000-0000522A0000}"/>
    <cellStyle name="Normal 4 9 27 3" xfId="5036" xr:uid="{00000000-0005-0000-0000-0000532A0000}"/>
    <cellStyle name="Normal 4 9 28" xfId="1483" xr:uid="{00000000-0005-0000-0000-0000542A0000}"/>
    <cellStyle name="Normal 4 9 28 2" xfId="3493" xr:uid="{00000000-0005-0000-0000-0000552A0000}"/>
    <cellStyle name="Normal 4 9 28 2 2" xfId="6567" xr:uid="{00000000-0005-0000-0000-0000562A0000}"/>
    <cellStyle name="Normal 4 9 28 3" xfId="5037" xr:uid="{00000000-0005-0000-0000-0000572A0000}"/>
    <cellStyle name="Normal 4 9 29" xfId="1484" xr:uid="{00000000-0005-0000-0000-0000582A0000}"/>
    <cellStyle name="Normal 4 9 29 2" xfId="3494" xr:uid="{00000000-0005-0000-0000-0000592A0000}"/>
    <cellStyle name="Normal 4 9 29 2 2" xfId="6568" xr:uid="{00000000-0005-0000-0000-00005A2A0000}"/>
    <cellStyle name="Normal 4 9 29 3" xfId="5038" xr:uid="{00000000-0005-0000-0000-00005B2A0000}"/>
    <cellStyle name="Normal 4 9 3" xfId="1485" xr:uid="{00000000-0005-0000-0000-00005C2A0000}"/>
    <cellStyle name="Normal 4 9 3 2" xfId="3495" xr:uid="{00000000-0005-0000-0000-00005D2A0000}"/>
    <cellStyle name="Normal 4 9 3 2 2" xfId="6569" xr:uid="{00000000-0005-0000-0000-00005E2A0000}"/>
    <cellStyle name="Normal 4 9 3 3" xfId="5039" xr:uid="{00000000-0005-0000-0000-00005F2A0000}"/>
    <cellStyle name="Normal 4 9 30" xfId="1486" xr:uid="{00000000-0005-0000-0000-0000602A0000}"/>
    <cellStyle name="Normal 4 9 30 2" xfId="3496" xr:uid="{00000000-0005-0000-0000-0000612A0000}"/>
    <cellStyle name="Normal 4 9 30 2 2" xfId="6570" xr:uid="{00000000-0005-0000-0000-0000622A0000}"/>
    <cellStyle name="Normal 4 9 30 3" xfId="5040" xr:uid="{00000000-0005-0000-0000-0000632A0000}"/>
    <cellStyle name="Normal 4 9 31" xfId="1487" xr:uid="{00000000-0005-0000-0000-0000642A0000}"/>
    <cellStyle name="Normal 4 9 31 2" xfId="3497" xr:uid="{00000000-0005-0000-0000-0000652A0000}"/>
    <cellStyle name="Normal 4 9 31 2 2" xfId="6571" xr:uid="{00000000-0005-0000-0000-0000662A0000}"/>
    <cellStyle name="Normal 4 9 31 3" xfId="5041" xr:uid="{00000000-0005-0000-0000-0000672A0000}"/>
    <cellStyle name="Normal 4 9 32" xfId="1488" xr:uid="{00000000-0005-0000-0000-0000682A0000}"/>
    <cellStyle name="Normal 4 9 32 2" xfId="3498" xr:uid="{00000000-0005-0000-0000-0000692A0000}"/>
    <cellStyle name="Normal 4 9 32 2 2" xfId="6572" xr:uid="{00000000-0005-0000-0000-00006A2A0000}"/>
    <cellStyle name="Normal 4 9 32 3" xfId="5042" xr:uid="{00000000-0005-0000-0000-00006B2A0000}"/>
    <cellStyle name="Normal 4 9 33" xfId="1489" xr:uid="{00000000-0005-0000-0000-00006C2A0000}"/>
    <cellStyle name="Normal 4 9 33 2" xfId="3499" xr:uid="{00000000-0005-0000-0000-00006D2A0000}"/>
    <cellStyle name="Normal 4 9 33 2 2" xfId="6573" xr:uid="{00000000-0005-0000-0000-00006E2A0000}"/>
    <cellStyle name="Normal 4 9 33 3" xfId="5043" xr:uid="{00000000-0005-0000-0000-00006F2A0000}"/>
    <cellStyle name="Normal 4 9 34" xfId="1490" xr:uid="{00000000-0005-0000-0000-0000702A0000}"/>
    <cellStyle name="Normal 4 9 34 2" xfId="3500" xr:uid="{00000000-0005-0000-0000-0000712A0000}"/>
    <cellStyle name="Normal 4 9 34 2 2" xfId="6574" xr:uid="{00000000-0005-0000-0000-0000722A0000}"/>
    <cellStyle name="Normal 4 9 34 3" xfId="5044" xr:uid="{00000000-0005-0000-0000-0000732A0000}"/>
    <cellStyle name="Normal 4 9 35" xfId="1491" xr:uid="{00000000-0005-0000-0000-0000742A0000}"/>
    <cellStyle name="Normal 4 9 35 2" xfId="3501" xr:uid="{00000000-0005-0000-0000-0000752A0000}"/>
    <cellStyle name="Normal 4 9 35 2 2" xfId="6575" xr:uid="{00000000-0005-0000-0000-0000762A0000}"/>
    <cellStyle name="Normal 4 9 35 3" xfId="5045" xr:uid="{00000000-0005-0000-0000-0000772A0000}"/>
    <cellStyle name="Normal 4 9 36" xfId="1492" xr:uid="{00000000-0005-0000-0000-0000782A0000}"/>
    <cellStyle name="Normal 4 9 36 2" xfId="3502" xr:uid="{00000000-0005-0000-0000-0000792A0000}"/>
    <cellStyle name="Normal 4 9 36 2 2" xfId="6576" xr:uid="{00000000-0005-0000-0000-00007A2A0000}"/>
    <cellStyle name="Normal 4 9 36 3" xfId="5046" xr:uid="{00000000-0005-0000-0000-00007B2A0000}"/>
    <cellStyle name="Normal 4 9 37" xfId="1493" xr:uid="{00000000-0005-0000-0000-00007C2A0000}"/>
    <cellStyle name="Normal 4 9 37 2" xfId="3503" xr:uid="{00000000-0005-0000-0000-00007D2A0000}"/>
    <cellStyle name="Normal 4 9 37 2 2" xfId="6577" xr:uid="{00000000-0005-0000-0000-00007E2A0000}"/>
    <cellStyle name="Normal 4 9 37 3" xfId="5047" xr:uid="{00000000-0005-0000-0000-00007F2A0000}"/>
    <cellStyle name="Normal 4 9 38" xfId="1494" xr:uid="{00000000-0005-0000-0000-0000802A0000}"/>
    <cellStyle name="Normal 4 9 38 2" xfId="3504" xr:uid="{00000000-0005-0000-0000-0000812A0000}"/>
    <cellStyle name="Normal 4 9 38 2 2" xfId="6578" xr:uid="{00000000-0005-0000-0000-0000822A0000}"/>
    <cellStyle name="Normal 4 9 38 3" xfId="5048" xr:uid="{00000000-0005-0000-0000-0000832A0000}"/>
    <cellStyle name="Normal 4 9 39" xfId="1495" xr:uid="{00000000-0005-0000-0000-0000842A0000}"/>
    <cellStyle name="Normal 4 9 39 2" xfId="3505" xr:uid="{00000000-0005-0000-0000-0000852A0000}"/>
    <cellStyle name="Normal 4 9 39 2 2" xfId="6579" xr:uid="{00000000-0005-0000-0000-0000862A0000}"/>
    <cellStyle name="Normal 4 9 39 3" xfId="5049" xr:uid="{00000000-0005-0000-0000-0000872A0000}"/>
    <cellStyle name="Normal 4 9 4" xfId="1496" xr:uid="{00000000-0005-0000-0000-0000882A0000}"/>
    <cellStyle name="Normal 4 9 4 2" xfId="3506" xr:uid="{00000000-0005-0000-0000-0000892A0000}"/>
    <cellStyle name="Normal 4 9 4 2 2" xfId="6580" xr:uid="{00000000-0005-0000-0000-00008A2A0000}"/>
    <cellStyle name="Normal 4 9 4 3" xfId="5050" xr:uid="{00000000-0005-0000-0000-00008B2A0000}"/>
    <cellStyle name="Normal 4 9 40" xfId="1497" xr:uid="{00000000-0005-0000-0000-00008C2A0000}"/>
    <cellStyle name="Normal 4 9 40 2" xfId="3507" xr:uid="{00000000-0005-0000-0000-00008D2A0000}"/>
    <cellStyle name="Normal 4 9 40 2 2" xfId="6581" xr:uid="{00000000-0005-0000-0000-00008E2A0000}"/>
    <cellStyle name="Normal 4 9 40 3" xfId="5051" xr:uid="{00000000-0005-0000-0000-00008F2A0000}"/>
    <cellStyle name="Normal 4 9 41" xfId="1498" xr:uid="{00000000-0005-0000-0000-0000902A0000}"/>
    <cellStyle name="Normal 4 9 41 2" xfId="3508" xr:uid="{00000000-0005-0000-0000-0000912A0000}"/>
    <cellStyle name="Normal 4 9 41 2 2" xfId="6582" xr:uid="{00000000-0005-0000-0000-0000922A0000}"/>
    <cellStyle name="Normal 4 9 41 3" xfId="5052" xr:uid="{00000000-0005-0000-0000-0000932A0000}"/>
    <cellStyle name="Normal 4 9 42" xfId="1499" xr:uid="{00000000-0005-0000-0000-0000942A0000}"/>
    <cellStyle name="Normal 4 9 42 2" xfId="3509" xr:uid="{00000000-0005-0000-0000-0000952A0000}"/>
    <cellStyle name="Normal 4 9 42 2 2" xfId="6583" xr:uid="{00000000-0005-0000-0000-0000962A0000}"/>
    <cellStyle name="Normal 4 9 42 3" xfId="5053" xr:uid="{00000000-0005-0000-0000-0000972A0000}"/>
    <cellStyle name="Normal 4 9 43" xfId="1500" xr:uid="{00000000-0005-0000-0000-0000982A0000}"/>
    <cellStyle name="Normal 4 9 43 2" xfId="3510" xr:uid="{00000000-0005-0000-0000-0000992A0000}"/>
    <cellStyle name="Normal 4 9 43 2 2" xfId="6584" xr:uid="{00000000-0005-0000-0000-00009A2A0000}"/>
    <cellStyle name="Normal 4 9 43 3" xfId="5054" xr:uid="{00000000-0005-0000-0000-00009B2A0000}"/>
    <cellStyle name="Normal 4 9 44" xfId="3473" xr:uid="{00000000-0005-0000-0000-00009C2A0000}"/>
    <cellStyle name="Normal 4 9 44 2" xfId="6547" xr:uid="{00000000-0005-0000-0000-00009D2A0000}"/>
    <cellStyle name="Normal 4 9 45" xfId="5017" xr:uid="{00000000-0005-0000-0000-00009E2A0000}"/>
    <cellStyle name="Normal 4 9 5" xfId="1501" xr:uid="{00000000-0005-0000-0000-00009F2A0000}"/>
    <cellStyle name="Normal 4 9 5 2" xfId="3511" xr:uid="{00000000-0005-0000-0000-0000A02A0000}"/>
    <cellStyle name="Normal 4 9 5 2 2" xfId="6585" xr:uid="{00000000-0005-0000-0000-0000A12A0000}"/>
    <cellStyle name="Normal 4 9 5 3" xfId="5055" xr:uid="{00000000-0005-0000-0000-0000A22A0000}"/>
    <cellStyle name="Normal 4 9 6" xfId="1502" xr:uid="{00000000-0005-0000-0000-0000A32A0000}"/>
    <cellStyle name="Normal 4 9 6 2" xfId="3512" xr:uid="{00000000-0005-0000-0000-0000A42A0000}"/>
    <cellStyle name="Normal 4 9 6 2 2" xfId="6586" xr:uid="{00000000-0005-0000-0000-0000A52A0000}"/>
    <cellStyle name="Normal 4 9 6 3" xfId="5056" xr:uid="{00000000-0005-0000-0000-0000A62A0000}"/>
    <cellStyle name="Normal 4 9 7" xfId="1503" xr:uid="{00000000-0005-0000-0000-0000A72A0000}"/>
    <cellStyle name="Normal 4 9 7 2" xfId="3513" xr:uid="{00000000-0005-0000-0000-0000A82A0000}"/>
    <cellStyle name="Normal 4 9 7 2 2" xfId="6587" xr:uid="{00000000-0005-0000-0000-0000A92A0000}"/>
    <cellStyle name="Normal 4 9 7 3" xfId="5057" xr:uid="{00000000-0005-0000-0000-0000AA2A0000}"/>
    <cellStyle name="Normal 4 9 8" xfId="1504" xr:uid="{00000000-0005-0000-0000-0000AB2A0000}"/>
    <cellStyle name="Normal 4 9 8 2" xfId="3514" xr:uid="{00000000-0005-0000-0000-0000AC2A0000}"/>
    <cellStyle name="Normal 4 9 8 2 2" xfId="6588" xr:uid="{00000000-0005-0000-0000-0000AD2A0000}"/>
    <cellStyle name="Normal 4 9 8 3" xfId="5058" xr:uid="{00000000-0005-0000-0000-0000AE2A0000}"/>
    <cellStyle name="Normal 4 9 9" xfId="1505" xr:uid="{00000000-0005-0000-0000-0000AF2A0000}"/>
    <cellStyle name="Normal 4 9 9 2" xfId="3515" xr:uid="{00000000-0005-0000-0000-0000B02A0000}"/>
    <cellStyle name="Normal 4 9 9 2 2" xfId="6589" xr:uid="{00000000-0005-0000-0000-0000B12A0000}"/>
    <cellStyle name="Normal 4 9 9 3" xfId="5059" xr:uid="{00000000-0005-0000-0000-0000B22A0000}"/>
    <cellStyle name="Normal 5" xfId="1506" xr:uid="{00000000-0005-0000-0000-0000B32A0000}"/>
    <cellStyle name="Normal 5 10" xfId="1507" xr:uid="{00000000-0005-0000-0000-0000B42A0000}"/>
    <cellStyle name="Normal 5 10 10" xfId="1508" xr:uid="{00000000-0005-0000-0000-0000B52A0000}"/>
    <cellStyle name="Normal 5 10 10 2" xfId="3518" xr:uid="{00000000-0005-0000-0000-0000B62A0000}"/>
    <cellStyle name="Normal 5 10 10 2 2" xfId="6592" xr:uid="{00000000-0005-0000-0000-0000B72A0000}"/>
    <cellStyle name="Normal 5 10 10 3" xfId="5062" xr:uid="{00000000-0005-0000-0000-0000B82A0000}"/>
    <cellStyle name="Normal 5 10 11" xfId="1509" xr:uid="{00000000-0005-0000-0000-0000B92A0000}"/>
    <cellStyle name="Normal 5 10 11 2" xfId="3519" xr:uid="{00000000-0005-0000-0000-0000BA2A0000}"/>
    <cellStyle name="Normal 5 10 11 2 2" xfId="6593" xr:uid="{00000000-0005-0000-0000-0000BB2A0000}"/>
    <cellStyle name="Normal 5 10 11 3" xfId="5063" xr:uid="{00000000-0005-0000-0000-0000BC2A0000}"/>
    <cellStyle name="Normal 5 10 12" xfId="1510" xr:uid="{00000000-0005-0000-0000-0000BD2A0000}"/>
    <cellStyle name="Normal 5 10 12 2" xfId="3520" xr:uid="{00000000-0005-0000-0000-0000BE2A0000}"/>
    <cellStyle name="Normal 5 10 12 2 2" xfId="6594" xr:uid="{00000000-0005-0000-0000-0000BF2A0000}"/>
    <cellStyle name="Normal 5 10 12 3" xfId="5064" xr:uid="{00000000-0005-0000-0000-0000C02A0000}"/>
    <cellStyle name="Normal 5 10 13" xfId="1511" xr:uid="{00000000-0005-0000-0000-0000C12A0000}"/>
    <cellStyle name="Normal 5 10 13 2" xfId="3521" xr:uid="{00000000-0005-0000-0000-0000C22A0000}"/>
    <cellStyle name="Normal 5 10 13 2 2" xfId="6595" xr:uid="{00000000-0005-0000-0000-0000C32A0000}"/>
    <cellStyle name="Normal 5 10 13 3" xfId="5065" xr:uid="{00000000-0005-0000-0000-0000C42A0000}"/>
    <cellStyle name="Normal 5 10 14" xfId="1512" xr:uid="{00000000-0005-0000-0000-0000C52A0000}"/>
    <cellStyle name="Normal 5 10 14 2" xfId="3522" xr:uid="{00000000-0005-0000-0000-0000C62A0000}"/>
    <cellStyle name="Normal 5 10 14 2 2" xfId="6596" xr:uid="{00000000-0005-0000-0000-0000C72A0000}"/>
    <cellStyle name="Normal 5 10 14 3" xfId="5066" xr:uid="{00000000-0005-0000-0000-0000C82A0000}"/>
    <cellStyle name="Normal 5 10 15" xfId="1513" xr:uid="{00000000-0005-0000-0000-0000C92A0000}"/>
    <cellStyle name="Normal 5 10 15 2" xfId="3523" xr:uid="{00000000-0005-0000-0000-0000CA2A0000}"/>
    <cellStyle name="Normal 5 10 15 2 2" xfId="6597" xr:uid="{00000000-0005-0000-0000-0000CB2A0000}"/>
    <cellStyle name="Normal 5 10 15 3" xfId="5067" xr:uid="{00000000-0005-0000-0000-0000CC2A0000}"/>
    <cellStyle name="Normal 5 10 16" xfId="1514" xr:uid="{00000000-0005-0000-0000-0000CD2A0000}"/>
    <cellStyle name="Normal 5 10 16 2" xfId="3524" xr:uid="{00000000-0005-0000-0000-0000CE2A0000}"/>
    <cellStyle name="Normal 5 10 16 2 2" xfId="6598" xr:uid="{00000000-0005-0000-0000-0000CF2A0000}"/>
    <cellStyle name="Normal 5 10 16 3" xfId="5068" xr:uid="{00000000-0005-0000-0000-0000D02A0000}"/>
    <cellStyle name="Normal 5 10 17" xfId="1515" xr:uid="{00000000-0005-0000-0000-0000D12A0000}"/>
    <cellStyle name="Normal 5 10 17 2" xfId="3525" xr:uid="{00000000-0005-0000-0000-0000D22A0000}"/>
    <cellStyle name="Normal 5 10 17 2 2" xfId="6599" xr:uid="{00000000-0005-0000-0000-0000D32A0000}"/>
    <cellStyle name="Normal 5 10 17 3" xfId="5069" xr:uid="{00000000-0005-0000-0000-0000D42A0000}"/>
    <cellStyle name="Normal 5 10 18" xfId="1516" xr:uid="{00000000-0005-0000-0000-0000D52A0000}"/>
    <cellStyle name="Normal 5 10 18 2" xfId="3526" xr:uid="{00000000-0005-0000-0000-0000D62A0000}"/>
    <cellStyle name="Normal 5 10 18 2 2" xfId="6600" xr:uid="{00000000-0005-0000-0000-0000D72A0000}"/>
    <cellStyle name="Normal 5 10 18 3" xfId="5070" xr:uid="{00000000-0005-0000-0000-0000D82A0000}"/>
    <cellStyle name="Normal 5 10 19" xfId="1517" xr:uid="{00000000-0005-0000-0000-0000D92A0000}"/>
    <cellStyle name="Normal 5 10 19 2" xfId="3527" xr:uid="{00000000-0005-0000-0000-0000DA2A0000}"/>
    <cellStyle name="Normal 5 10 19 2 2" xfId="6601" xr:uid="{00000000-0005-0000-0000-0000DB2A0000}"/>
    <cellStyle name="Normal 5 10 19 3" xfId="5071" xr:uid="{00000000-0005-0000-0000-0000DC2A0000}"/>
    <cellStyle name="Normal 5 10 2" xfId="1518" xr:uid="{00000000-0005-0000-0000-0000DD2A0000}"/>
    <cellStyle name="Normal 5 10 2 2" xfId="3528" xr:uid="{00000000-0005-0000-0000-0000DE2A0000}"/>
    <cellStyle name="Normal 5 10 2 2 2" xfId="6602" xr:uid="{00000000-0005-0000-0000-0000DF2A0000}"/>
    <cellStyle name="Normal 5 10 2 3" xfId="5072" xr:uid="{00000000-0005-0000-0000-0000E02A0000}"/>
    <cellStyle name="Normal 5 10 20" xfId="1519" xr:uid="{00000000-0005-0000-0000-0000E12A0000}"/>
    <cellStyle name="Normal 5 10 20 2" xfId="3529" xr:uid="{00000000-0005-0000-0000-0000E22A0000}"/>
    <cellStyle name="Normal 5 10 20 2 2" xfId="6603" xr:uid="{00000000-0005-0000-0000-0000E32A0000}"/>
    <cellStyle name="Normal 5 10 20 3" xfId="5073" xr:uid="{00000000-0005-0000-0000-0000E42A0000}"/>
    <cellStyle name="Normal 5 10 21" xfId="1520" xr:uid="{00000000-0005-0000-0000-0000E52A0000}"/>
    <cellStyle name="Normal 5 10 21 2" xfId="3530" xr:uid="{00000000-0005-0000-0000-0000E62A0000}"/>
    <cellStyle name="Normal 5 10 21 2 2" xfId="6604" xr:uid="{00000000-0005-0000-0000-0000E72A0000}"/>
    <cellStyle name="Normal 5 10 21 3" xfId="5074" xr:uid="{00000000-0005-0000-0000-0000E82A0000}"/>
    <cellStyle name="Normal 5 10 22" xfId="1521" xr:uid="{00000000-0005-0000-0000-0000E92A0000}"/>
    <cellStyle name="Normal 5 10 22 2" xfId="3531" xr:uid="{00000000-0005-0000-0000-0000EA2A0000}"/>
    <cellStyle name="Normal 5 10 22 2 2" xfId="6605" xr:uid="{00000000-0005-0000-0000-0000EB2A0000}"/>
    <cellStyle name="Normal 5 10 22 3" xfId="5075" xr:uid="{00000000-0005-0000-0000-0000EC2A0000}"/>
    <cellStyle name="Normal 5 10 23" xfId="1522" xr:uid="{00000000-0005-0000-0000-0000ED2A0000}"/>
    <cellStyle name="Normal 5 10 23 2" xfId="3532" xr:uid="{00000000-0005-0000-0000-0000EE2A0000}"/>
    <cellStyle name="Normal 5 10 23 2 2" xfId="6606" xr:uid="{00000000-0005-0000-0000-0000EF2A0000}"/>
    <cellStyle name="Normal 5 10 23 3" xfId="5076" xr:uid="{00000000-0005-0000-0000-0000F02A0000}"/>
    <cellStyle name="Normal 5 10 24" xfId="1523" xr:uid="{00000000-0005-0000-0000-0000F12A0000}"/>
    <cellStyle name="Normal 5 10 24 2" xfId="3533" xr:uid="{00000000-0005-0000-0000-0000F22A0000}"/>
    <cellStyle name="Normal 5 10 24 2 2" xfId="6607" xr:uid="{00000000-0005-0000-0000-0000F32A0000}"/>
    <cellStyle name="Normal 5 10 24 3" xfId="5077" xr:uid="{00000000-0005-0000-0000-0000F42A0000}"/>
    <cellStyle name="Normal 5 10 25" xfId="1524" xr:uid="{00000000-0005-0000-0000-0000F52A0000}"/>
    <cellStyle name="Normal 5 10 25 2" xfId="3534" xr:uid="{00000000-0005-0000-0000-0000F62A0000}"/>
    <cellStyle name="Normal 5 10 25 2 2" xfId="6608" xr:uid="{00000000-0005-0000-0000-0000F72A0000}"/>
    <cellStyle name="Normal 5 10 25 3" xfId="5078" xr:uid="{00000000-0005-0000-0000-0000F82A0000}"/>
    <cellStyle name="Normal 5 10 26" xfId="1525" xr:uid="{00000000-0005-0000-0000-0000F92A0000}"/>
    <cellStyle name="Normal 5 10 26 2" xfId="3535" xr:uid="{00000000-0005-0000-0000-0000FA2A0000}"/>
    <cellStyle name="Normal 5 10 26 2 2" xfId="6609" xr:uid="{00000000-0005-0000-0000-0000FB2A0000}"/>
    <cellStyle name="Normal 5 10 26 3" xfId="5079" xr:uid="{00000000-0005-0000-0000-0000FC2A0000}"/>
    <cellStyle name="Normal 5 10 27" xfId="1526" xr:uid="{00000000-0005-0000-0000-0000FD2A0000}"/>
    <cellStyle name="Normal 5 10 27 2" xfId="3536" xr:uid="{00000000-0005-0000-0000-0000FE2A0000}"/>
    <cellStyle name="Normal 5 10 27 2 2" xfId="6610" xr:uid="{00000000-0005-0000-0000-0000FF2A0000}"/>
    <cellStyle name="Normal 5 10 27 3" xfId="5080" xr:uid="{00000000-0005-0000-0000-0000002B0000}"/>
    <cellStyle name="Normal 5 10 28" xfId="1527" xr:uid="{00000000-0005-0000-0000-0000012B0000}"/>
    <cellStyle name="Normal 5 10 28 2" xfId="3537" xr:uid="{00000000-0005-0000-0000-0000022B0000}"/>
    <cellStyle name="Normal 5 10 28 2 2" xfId="6611" xr:uid="{00000000-0005-0000-0000-0000032B0000}"/>
    <cellStyle name="Normal 5 10 28 3" xfId="5081" xr:uid="{00000000-0005-0000-0000-0000042B0000}"/>
    <cellStyle name="Normal 5 10 29" xfId="1528" xr:uid="{00000000-0005-0000-0000-0000052B0000}"/>
    <cellStyle name="Normal 5 10 29 2" xfId="3538" xr:uid="{00000000-0005-0000-0000-0000062B0000}"/>
    <cellStyle name="Normal 5 10 29 2 2" xfId="6612" xr:uid="{00000000-0005-0000-0000-0000072B0000}"/>
    <cellStyle name="Normal 5 10 29 3" xfId="5082" xr:uid="{00000000-0005-0000-0000-0000082B0000}"/>
    <cellStyle name="Normal 5 10 3" xfId="1529" xr:uid="{00000000-0005-0000-0000-0000092B0000}"/>
    <cellStyle name="Normal 5 10 3 2" xfId="3539" xr:uid="{00000000-0005-0000-0000-00000A2B0000}"/>
    <cellStyle name="Normal 5 10 3 2 2" xfId="6613" xr:uid="{00000000-0005-0000-0000-00000B2B0000}"/>
    <cellStyle name="Normal 5 10 3 3" xfId="5083" xr:uid="{00000000-0005-0000-0000-00000C2B0000}"/>
    <cellStyle name="Normal 5 10 30" xfId="1530" xr:uid="{00000000-0005-0000-0000-00000D2B0000}"/>
    <cellStyle name="Normal 5 10 30 2" xfId="3540" xr:uid="{00000000-0005-0000-0000-00000E2B0000}"/>
    <cellStyle name="Normal 5 10 30 2 2" xfId="6614" xr:uid="{00000000-0005-0000-0000-00000F2B0000}"/>
    <cellStyle name="Normal 5 10 30 3" xfId="5084" xr:uid="{00000000-0005-0000-0000-0000102B0000}"/>
    <cellStyle name="Normal 5 10 31" xfId="1531" xr:uid="{00000000-0005-0000-0000-0000112B0000}"/>
    <cellStyle name="Normal 5 10 31 2" xfId="3541" xr:uid="{00000000-0005-0000-0000-0000122B0000}"/>
    <cellStyle name="Normal 5 10 31 2 2" xfId="6615" xr:uid="{00000000-0005-0000-0000-0000132B0000}"/>
    <cellStyle name="Normal 5 10 31 3" xfId="5085" xr:uid="{00000000-0005-0000-0000-0000142B0000}"/>
    <cellStyle name="Normal 5 10 32" xfId="1532" xr:uid="{00000000-0005-0000-0000-0000152B0000}"/>
    <cellStyle name="Normal 5 10 32 2" xfId="3542" xr:uid="{00000000-0005-0000-0000-0000162B0000}"/>
    <cellStyle name="Normal 5 10 32 2 2" xfId="6616" xr:uid="{00000000-0005-0000-0000-0000172B0000}"/>
    <cellStyle name="Normal 5 10 32 3" xfId="5086" xr:uid="{00000000-0005-0000-0000-0000182B0000}"/>
    <cellStyle name="Normal 5 10 33" xfId="1533" xr:uid="{00000000-0005-0000-0000-0000192B0000}"/>
    <cellStyle name="Normal 5 10 33 2" xfId="3543" xr:uid="{00000000-0005-0000-0000-00001A2B0000}"/>
    <cellStyle name="Normal 5 10 33 2 2" xfId="6617" xr:uid="{00000000-0005-0000-0000-00001B2B0000}"/>
    <cellStyle name="Normal 5 10 33 3" xfId="5087" xr:uid="{00000000-0005-0000-0000-00001C2B0000}"/>
    <cellStyle name="Normal 5 10 34" xfId="1534" xr:uid="{00000000-0005-0000-0000-00001D2B0000}"/>
    <cellStyle name="Normal 5 10 34 2" xfId="3544" xr:uid="{00000000-0005-0000-0000-00001E2B0000}"/>
    <cellStyle name="Normal 5 10 34 2 2" xfId="6618" xr:uid="{00000000-0005-0000-0000-00001F2B0000}"/>
    <cellStyle name="Normal 5 10 34 3" xfId="5088" xr:uid="{00000000-0005-0000-0000-0000202B0000}"/>
    <cellStyle name="Normal 5 10 35" xfId="1535" xr:uid="{00000000-0005-0000-0000-0000212B0000}"/>
    <cellStyle name="Normal 5 10 35 2" xfId="3545" xr:uid="{00000000-0005-0000-0000-0000222B0000}"/>
    <cellStyle name="Normal 5 10 35 2 2" xfId="6619" xr:uid="{00000000-0005-0000-0000-0000232B0000}"/>
    <cellStyle name="Normal 5 10 35 3" xfId="5089" xr:uid="{00000000-0005-0000-0000-0000242B0000}"/>
    <cellStyle name="Normal 5 10 36" xfId="1536" xr:uid="{00000000-0005-0000-0000-0000252B0000}"/>
    <cellStyle name="Normal 5 10 36 2" xfId="3546" xr:uid="{00000000-0005-0000-0000-0000262B0000}"/>
    <cellStyle name="Normal 5 10 36 2 2" xfId="6620" xr:uid="{00000000-0005-0000-0000-0000272B0000}"/>
    <cellStyle name="Normal 5 10 36 3" xfId="5090" xr:uid="{00000000-0005-0000-0000-0000282B0000}"/>
    <cellStyle name="Normal 5 10 37" xfId="1537" xr:uid="{00000000-0005-0000-0000-0000292B0000}"/>
    <cellStyle name="Normal 5 10 37 2" xfId="3547" xr:uid="{00000000-0005-0000-0000-00002A2B0000}"/>
    <cellStyle name="Normal 5 10 37 2 2" xfId="6621" xr:uid="{00000000-0005-0000-0000-00002B2B0000}"/>
    <cellStyle name="Normal 5 10 37 3" xfId="5091" xr:uid="{00000000-0005-0000-0000-00002C2B0000}"/>
    <cellStyle name="Normal 5 10 38" xfId="1538" xr:uid="{00000000-0005-0000-0000-00002D2B0000}"/>
    <cellStyle name="Normal 5 10 38 2" xfId="3548" xr:uid="{00000000-0005-0000-0000-00002E2B0000}"/>
    <cellStyle name="Normal 5 10 38 2 2" xfId="6622" xr:uid="{00000000-0005-0000-0000-00002F2B0000}"/>
    <cellStyle name="Normal 5 10 38 3" xfId="5092" xr:uid="{00000000-0005-0000-0000-0000302B0000}"/>
    <cellStyle name="Normal 5 10 39" xfId="1539" xr:uid="{00000000-0005-0000-0000-0000312B0000}"/>
    <cellStyle name="Normal 5 10 39 2" xfId="3549" xr:uid="{00000000-0005-0000-0000-0000322B0000}"/>
    <cellStyle name="Normal 5 10 39 2 2" xfId="6623" xr:uid="{00000000-0005-0000-0000-0000332B0000}"/>
    <cellStyle name="Normal 5 10 39 3" xfId="5093" xr:uid="{00000000-0005-0000-0000-0000342B0000}"/>
    <cellStyle name="Normal 5 10 4" xfId="1540" xr:uid="{00000000-0005-0000-0000-0000352B0000}"/>
    <cellStyle name="Normal 5 10 4 2" xfId="3550" xr:uid="{00000000-0005-0000-0000-0000362B0000}"/>
    <cellStyle name="Normal 5 10 4 2 2" xfId="6624" xr:uid="{00000000-0005-0000-0000-0000372B0000}"/>
    <cellStyle name="Normal 5 10 4 3" xfId="5094" xr:uid="{00000000-0005-0000-0000-0000382B0000}"/>
    <cellStyle name="Normal 5 10 40" xfId="1541" xr:uid="{00000000-0005-0000-0000-0000392B0000}"/>
    <cellStyle name="Normal 5 10 40 2" xfId="3551" xr:uid="{00000000-0005-0000-0000-00003A2B0000}"/>
    <cellStyle name="Normal 5 10 40 2 2" xfId="6625" xr:uid="{00000000-0005-0000-0000-00003B2B0000}"/>
    <cellStyle name="Normal 5 10 40 3" xfId="5095" xr:uid="{00000000-0005-0000-0000-00003C2B0000}"/>
    <cellStyle name="Normal 5 10 41" xfId="1542" xr:uid="{00000000-0005-0000-0000-00003D2B0000}"/>
    <cellStyle name="Normal 5 10 41 2" xfId="3552" xr:uid="{00000000-0005-0000-0000-00003E2B0000}"/>
    <cellStyle name="Normal 5 10 41 2 2" xfId="6626" xr:uid="{00000000-0005-0000-0000-00003F2B0000}"/>
    <cellStyle name="Normal 5 10 41 3" xfId="5096" xr:uid="{00000000-0005-0000-0000-0000402B0000}"/>
    <cellStyle name="Normal 5 10 42" xfId="1543" xr:uid="{00000000-0005-0000-0000-0000412B0000}"/>
    <cellStyle name="Normal 5 10 42 2" xfId="3553" xr:uid="{00000000-0005-0000-0000-0000422B0000}"/>
    <cellStyle name="Normal 5 10 42 2 2" xfId="6627" xr:uid="{00000000-0005-0000-0000-0000432B0000}"/>
    <cellStyle name="Normal 5 10 42 3" xfId="5097" xr:uid="{00000000-0005-0000-0000-0000442B0000}"/>
    <cellStyle name="Normal 5 10 43" xfId="1544" xr:uid="{00000000-0005-0000-0000-0000452B0000}"/>
    <cellStyle name="Normal 5 10 43 2" xfId="3554" xr:uid="{00000000-0005-0000-0000-0000462B0000}"/>
    <cellStyle name="Normal 5 10 43 2 2" xfId="6628" xr:uid="{00000000-0005-0000-0000-0000472B0000}"/>
    <cellStyle name="Normal 5 10 43 3" xfId="5098" xr:uid="{00000000-0005-0000-0000-0000482B0000}"/>
    <cellStyle name="Normal 5 10 44" xfId="3517" xr:uid="{00000000-0005-0000-0000-0000492B0000}"/>
    <cellStyle name="Normal 5 10 44 2" xfId="6591" xr:uid="{00000000-0005-0000-0000-00004A2B0000}"/>
    <cellStyle name="Normal 5 10 45" xfId="5061" xr:uid="{00000000-0005-0000-0000-00004B2B0000}"/>
    <cellStyle name="Normal 5 10 5" xfId="1545" xr:uid="{00000000-0005-0000-0000-00004C2B0000}"/>
    <cellStyle name="Normal 5 10 5 2" xfId="3555" xr:uid="{00000000-0005-0000-0000-00004D2B0000}"/>
    <cellStyle name="Normal 5 10 5 2 2" xfId="6629" xr:uid="{00000000-0005-0000-0000-00004E2B0000}"/>
    <cellStyle name="Normal 5 10 5 3" xfId="5099" xr:uid="{00000000-0005-0000-0000-00004F2B0000}"/>
    <cellStyle name="Normal 5 10 6" xfId="1546" xr:uid="{00000000-0005-0000-0000-0000502B0000}"/>
    <cellStyle name="Normal 5 10 6 2" xfId="3556" xr:uid="{00000000-0005-0000-0000-0000512B0000}"/>
    <cellStyle name="Normal 5 10 6 2 2" xfId="6630" xr:uid="{00000000-0005-0000-0000-0000522B0000}"/>
    <cellStyle name="Normal 5 10 6 3" xfId="5100" xr:uid="{00000000-0005-0000-0000-0000532B0000}"/>
    <cellStyle name="Normal 5 10 7" xfId="1547" xr:uid="{00000000-0005-0000-0000-0000542B0000}"/>
    <cellStyle name="Normal 5 10 7 2" xfId="3557" xr:uid="{00000000-0005-0000-0000-0000552B0000}"/>
    <cellStyle name="Normal 5 10 7 2 2" xfId="6631" xr:uid="{00000000-0005-0000-0000-0000562B0000}"/>
    <cellStyle name="Normal 5 10 7 3" xfId="5101" xr:uid="{00000000-0005-0000-0000-0000572B0000}"/>
    <cellStyle name="Normal 5 10 8" xfId="1548" xr:uid="{00000000-0005-0000-0000-0000582B0000}"/>
    <cellStyle name="Normal 5 10 8 2" xfId="3558" xr:uid="{00000000-0005-0000-0000-0000592B0000}"/>
    <cellStyle name="Normal 5 10 8 2 2" xfId="6632" xr:uid="{00000000-0005-0000-0000-00005A2B0000}"/>
    <cellStyle name="Normal 5 10 8 3" xfId="5102" xr:uid="{00000000-0005-0000-0000-00005B2B0000}"/>
    <cellStyle name="Normal 5 10 9" xfId="1549" xr:uid="{00000000-0005-0000-0000-00005C2B0000}"/>
    <cellStyle name="Normal 5 10 9 2" xfId="3559" xr:uid="{00000000-0005-0000-0000-00005D2B0000}"/>
    <cellStyle name="Normal 5 10 9 2 2" xfId="6633" xr:uid="{00000000-0005-0000-0000-00005E2B0000}"/>
    <cellStyle name="Normal 5 10 9 3" xfId="5103" xr:uid="{00000000-0005-0000-0000-00005F2B0000}"/>
    <cellStyle name="Normal 5 11" xfId="1550" xr:uid="{00000000-0005-0000-0000-0000602B0000}"/>
    <cellStyle name="Normal 5 11 10" xfId="1551" xr:uid="{00000000-0005-0000-0000-0000612B0000}"/>
    <cellStyle name="Normal 5 11 10 2" xfId="3561" xr:uid="{00000000-0005-0000-0000-0000622B0000}"/>
    <cellStyle name="Normal 5 11 10 2 2" xfId="6635" xr:uid="{00000000-0005-0000-0000-0000632B0000}"/>
    <cellStyle name="Normal 5 11 10 3" xfId="5105" xr:uid="{00000000-0005-0000-0000-0000642B0000}"/>
    <cellStyle name="Normal 5 11 11" xfId="1552" xr:uid="{00000000-0005-0000-0000-0000652B0000}"/>
    <cellStyle name="Normal 5 11 11 2" xfId="3562" xr:uid="{00000000-0005-0000-0000-0000662B0000}"/>
    <cellStyle name="Normal 5 11 11 2 2" xfId="6636" xr:uid="{00000000-0005-0000-0000-0000672B0000}"/>
    <cellStyle name="Normal 5 11 11 3" xfId="5106" xr:uid="{00000000-0005-0000-0000-0000682B0000}"/>
    <cellStyle name="Normal 5 11 12" xfId="1553" xr:uid="{00000000-0005-0000-0000-0000692B0000}"/>
    <cellStyle name="Normal 5 11 12 2" xfId="3563" xr:uid="{00000000-0005-0000-0000-00006A2B0000}"/>
    <cellStyle name="Normal 5 11 12 2 2" xfId="6637" xr:uid="{00000000-0005-0000-0000-00006B2B0000}"/>
    <cellStyle name="Normal 5 11 12 3" xfId="5107" xr:uid="{00000000-0005-0000-0000-00006C2B0000}"/>
    <cellStyle name="Normal 5 11 13" xfId="1554" xr:uid="{00000000-0005-0000-0000-00006D2B0000}"/>
    <cellStyle name="Normal 5 11 13 2" xfId="3564" xr:uid="{00000000-0005-0000-0000-00006E2B0000}"/>
    <cellStyle name="Normal 5 11 13 2 2" xfId="6638" xr:uid="{00000000-0005-0000-0000-00006F2B0000}"/>
    <cellStyle name="Normal 5 11 13 3" xfId="5108" xr:uid="{00000000-0005-0000-0000-0000702B0000}"/>
    <cellStyle name="Normal 5 11 14" xfId="1555" xr:uid="{00000000-0005-0000-0000-0000712B0000}"/>
    <cellStyle name="Normal 5 11 14 2" xfId="3565" xr:uid="{00000000-0005-0000-0000-0000722B0000}"/>
    <cellStyle name="Normal 5 11 14 2 2" xfId="6639" xr:uid="{00000000-0005-0000-0000-0000732B0000}"/>
    <cellStyle name="Normal 5 11 14 3" xfId="5109" xr:uid="{00000000-0005-0000-0000-0000742B0000}"/>
    <cellStyle name="Normal 5 11 15" xfId="1556" xr:uid="{00000000-0005-0000-0000-0000752B0000}"/>
    <cellStyle name="Normal 5 11 15 2" xfId="3566" xr:uid="{00000000-0005-0000-0000-0000762B0000}"/>
    <cellStyle name="Normal 5 11 15 2 2" xfId="6640" xr:uid="{00000000-0005-0000-0000-0000772B0000}"/>
    <cellStyle name="Normal 5 11 15 3" xfId="5110" xr:uid="{00000000-0005-0000-0000-0000782B0000}"/>
    <cellStyle name="Normal 5 11 16" xfId="1557" xr:uid="{00000000-0005-0000-0000-0000792B0000}"/>
    <cellStyle name="Normal 5 11 16 2" xfId="3567" xr:uid="{00000000-0005-0000-0000-00007A2B0000}"/>
    <cellStyle name="Normal 5 11 16 2 2" xfId="6641" xr:uid="{00000000-0005-0000-0000-00007B2B0000}"/>
    <cellStyle name="Normal 5 11 16 3" xfId="5111" xr:uid="{00000000-0005-0000-0000-00007C2B0000}"/>
    <cellStyle name="Normal 5 11 17" xfId="1558" xr:uid="{00000000-0005-0000-0000-00007D2B0000}"/>
    <cellStyle name="Normal 5 11 17 2" xfId="3568" xr:uid="{00000000-0005-0000-0000-00007E2B0000}"/>
    <cellStyle name="Normal 5 11 17 2 2" xfId="6642" xr:uid="{00000000-0005-0000-0000-00007F2B0000}"/>
    <cellStyle name="Normal 5 11 17 3" xfId="5112" xr:uid="{00000000-0005-0000-0000-0000802B0000}"/>
    <cellStyle name="Normal 5 11 18" xfId="1559" xr:uid="{00000000-0005-0000-0000-0000812B0000}"/>
    <cellStyle name="Normal 5 11 18 2" xfId="3569" xr:uid="{00000000-0005-0000-0000-0000822B0000}"/>
    <cellStyle name="Normal 5 11 18 2 2" xfId="6643" xr:uid="{00000000-0005-0000-0000-0000832B0000}"/>
    <cellStyle name="Normal 5 11 18 3" xfId="5113" xr:uid="{00000000-0005-0000-0000-0000842B0000}"/>
    <cellStyle name="Normal 5 11 19" xfId="1560" xr:uid="{00000000-0005-0000-0000-0000852B0000}"/>
    <cellStyle name="Normal 5 11 19 2" xfId="3570" xr:uid="{00000000-0005-0000-0000-0000862B0000}"/>
    <cellStyle name="Normal 5 11 19 2 2" xfId="6644" xr:uid="{00000000-0005-0000-0000-0000872B0000}"/>
    <cellStyle name="Normal 5 11 19 3" xfId="5114" xr:uid="{00000000-0005-0000-0000-0000882B0000}"/>
    <cellStyle name="Normal 5 11 2" xfId="1561" xr:uid="{00000000-0005-0000-0000-0000892B0000}"/>
    <cellStyle name="Normal 5 11 2 2" xfId="3571" xr:uid="{00000000-0005-0000-0000-00008A2B0000}"/>
    <cellStyle name="Normal 5 11 2 2 2" xfId="6645" xr:uid="{00000000-0005-0000-0000-00008B2B0000}"/>
    <cellStyle name="Normal 5 11 2 3" xfId="5115" xr:uid="{00000000-0005-0000-0000-00008C2B0000}"/>
    <cellStyle name="Normal 5 11 20" xfId="1562" xr:uid="{00000000-0005-0000-0000-00008D2B0000}"/>
    <cellStyle name="Normal 5 11 20 2" xfId="3572" xr:uid="{00000000-0005-0000-0000-00008E2B0000}"/>
    <cellStyle name="Normal 5 11 20 2 2" xfId="6646" xr:uid="{00000000-0005-0000-0000-00008F2B0000}"/>
    <cellStyle name="Normal 5 11 20 3" xfId="5116" xr:uid="{00000000-0005-0000-0000-0000902B0000}"/>
    <cellStyle name="Normal 5 11 21" xfId="1563" xr:uid="{00000000-0005-0000-0000-0000912B0000}"/>
    <cellStyle name="Normal 5 11 21 2" xfId="3573" xr:uid="{00000000-0005-0000-0000-0000922B0000}"/>
    <cellStyle name="Normal 5 11 21 2 2" xfId="6647" xr:uid="{00000000-0005-0000-0000-0000932B0000}"/>
    <cellStyle name="Normal 5 11 21 3" xfId="5117" xr:uid="{00000000-0005-0000-0000-0000942B0000}"/>
    <cellStyle name="Normal 5 11 22" xfId="1564" xr:uid="{00000000-0005-0000-0000-0000952B0000}"/>
    <cellStyle name="Normal 5 11 22 2" xfId="3574" xr:uid="{00000000-0005-0000-0000-0000962B0000}"/>
    <cellStyle name="Normal 5 11 22 2 2" xfId="6648" xr:uid="{00000000-0005-0000-0000-0000972B0000}"/>
    <cellStyle name="Normal 5 11 22 3" xfId="5118" xr:uid="{00000000-0005-0000-0000-0000982B0000}"/>
    <cellStyle name="Normal 5 11 23" xfId="1565" xr:uid="{00000000-0005-0000-0000-0000992B0000}"/>
    <cellStyle name="Normal 5 11 23 2" xfId="3575" xr:uid="{00000000-0005-0000-0000-00009A2B0000}"/>
    <cellStyle name="Normal 5 11 23 2 2" xfId="6649" xr:uid="{00000000-0005-0000-0000-00009B2B0000}"/>
    <cellStyle name="Normal 5 11 23 3" xfId="5119" xr:uid="{00000000-0005-0000-0000-00009C2B0000}"/>
    <cellStyle name="Normal 5 11 24" xfId="1566" xr:uid="{00000000-0005-0000-0000-00009D2B0000}"/>
    <cellStyle name="Normal 5 11 24 2" xfId="3576" xr:uid="{00000000-0005-0000-0000-00009E2B0000}"/>
    <cellStyle name="Normal 5 11 24 2 2" xfId="6650" xr:uid="{00000000-0005-0000-0000-00009F2B0000}"/>
    <cellStyle name="Normal 5 11 24 3" xfId="5120" xr:uid="{00000000-0005-0000-0000-0000A02B0000}"/>
    <cellStyle name="Normal 5 11 25" xfId="1567" xr:uid="{00000000-0005-0000-0000-0000A12B0000}"/>
    <cellStyle name="Normal 5 11 25 2" xfId="3577" xr:uid="{00000000-0005-0000-0000-0000A22B0000}"/>
    <cellStyle name="Normal 5 11 25 2 2" xfId="6651" xr:uid="{00000000-0005-0000-0000-0000A32B0000}"/>
    <cellStyle name="Normal 5 11 25 3" xfId="5121" xr:uid="{00000000-0005-0000-0000-0000A42B0000}"/>
    <cellStyle name="Normal 5 11 26" xfId="1568" xr:uid="{00000000-0005-0000-0000-0000A52B0000}"/>
    <cellStyle name="Normal 5 11 26 2" xfId="3578" xr:uid="{00000000-0005-0000-0000-0000A62B0000}"/>
    <cellStyle name="Normal 5 11 26 2 2" xfId="6652" xr:uid="{00000000-0005-0000-0000-0000A72B0000}"/>
    <cellStyle name="Normal 5 11 26 3" xfId="5122" xr:uid="{00000000-0005-0000-0000-0000A82B0000}"/>
    <cellStyle name="Normal 5 11 27" xfId="1569" xr:uid="{00000000-0005-0000-0000-0000A92B0000}"/>
    <cellStyle name="Normal 5 11 27 2" xfId="3579" xr:uid="{00000000-0005-0000-0000-0000AA2B0000}"/>
    <cellStyle name="Normal 5 11 27 2 2" xfId="6653" xr:uid="{00000000-0005-0000-0000-0000AB2B0000}"/>
    <cellStyle name="Normal 5 11 27 3" xfId="5123" xr:uid="{00000000-0005-0000-0000-0000AC2B0000}"/>
    <cellStyle name="Normal 5 11 28" xfId="1570" xr:uid="{00000000-0005-0000-0000-0000AD2B0000}"/>
    <cellStyle name="Normal 5 11 28 2" xfId="3580" xr:uid="{00000000-0005-0000-0000-0000AE2B0000}"/>
    <cellStyle name="Normal 5 11 28 2 2" xfId="6654" xr:uid="{00000000-0005-0000-0000-0000AF2B0000}"/>
    <cellStyle name="Normal 5 11 28 3" xfId="5124" xr:uid="{00000000-0005-0000-0000-0000B02B0000}"/>
    <cellStyle name="Normal 5 11 29" xfId="1571" xr:uid="{00000000-0005-0000-0000-0000B12B0000}"/>
    <cellStyle name="Normal 5 11 29 2" xfId="3581" xr:uid="{00000000-0005-0000-0000-0000B22B0000}"/>
    <cellStyle name="Normal 5 11 29 2 2" xfId="6655" xr:uid="{00000000-0005-0000-0000-0000B32B0000}"/>
    <cellStyle name="Normal 5 11 29 3" xfId="5125" xr:uid="{00000000-0005-0000-0000-0000B42B0000}"/>
    <cellStyle name="Normal 5 11 3" xfId="1572" xr:uid="{00000000-0005-0000-0000-0000B52B0000}"/>
    <cellStyle name="Normal 5 11 3 2" xfId="3582" xr:uid="{00000000-0005-0000-0000-0000B62B0000}"/>
    <cellStyle name="Normal 5 11 3 2 2" xfId="6656" xr:uid="{00000000-0005-0000-0000-0000B72B0000}"/>
    <cellStyle name="Normal 5 11 3 3" xfId="5126" xr:uid="{00000000-0005-0000-0000-0000B82B0000}"/>
    <cellStyle name="Normal 5 11 30" xfId="1573" xr:uid="{00000000-0005-0000-0000-0000B92B0000}"/>
    <cellStyle name="Normal 5 11 30 2" xfId="3583" xr:uid="{00000000-0005-0000-0000-0000BA2B0000}"/>
    <cellStyle name="Normal 5 11 30 2 2" xfId="6657" xr:uid="{00000000-0005-0000-0000-0000BB2B0000}"/>
    <cellStyle name="Normal 5 11 30 3" xfId="5127" xr:uid="{00000000-0005-0000-0000-0000BC2B0000}"/>
    <cellStyle name="Normal 5 11 31" xfId="1574" xr:uid="{00000000-0005-0000-0000-0000BD2B0000}"/>
    <cellStyle name="Normal 5 11 31 2" xfId="3584" xr:uid="{00000000-0005-0000-0000-0000BE2B0000}"/>
    <cellStyle name="Normal 5 11 31 2 2" xfId="6658" xr:uid="{00000000-0005-0000-0000-0000BF2B0000}"/>
    <cellStyle name="Normal 5 11 31 3" xfId="5128" xr:uid="{00000000-0005-0000-0000-0000C02B0000}"/>
    <cellStyle name="Normal 5 11 32" xfId="1575" xr:uid="{00000000-0005-0000-0000-0000C12B0000}"/>
    <cellStyle name="Normal 5 11 32 2" xfId="3585" xr:uid="{00000000-0005-0000-0000-0000C22B0000}"/>
    <cellStyle name="Normal 5 11 32 2 2" xfId="6659" xr:uid="{00000000-0005-0000-0000-0000C32B0000}"/>
    <cellStyle name="Normal 5 11 32 3" xfId="5129" xr:uid="{00000000-0005-0000-0000-0000C42B0000}"/>
    <cellStyle name="Normal 5 11 33" xfId="1576" xr:uid="{00000000-0005-0000-0000-0000C52B0000}"/>
    <cellStyle name="Normal 5 11 33 2" xfId="3586" xr:uid="{00000000-0005-0000-0000-0000C62B0000}"/>
    <cellStyle name="Normal 5 11 33 2 2" xfId="6660" xr:uid="{00000000-0005-0000-0000-0000C72B0000}"/>
    <cellStyle name="Normal 5 11 33 3" xfId="5130" xr:uid="{00000000-0005-0000-0000-0000C82B0000}"/>
    <cellStyle name="Normal 5 11 34" xfId="1577" xr:uid="{00000000-0005-0000-0000-0000C92B0000}"/>
    <cellStyle name="Normal 5 11 34 2" xfId="3587" xr:uid="{00000000-0005-0000-0000-0000CA2B0000}"/>
    <cellStyle name="Normal 5 11 34 2 2" xfId="6661" xr:uid="{00000000-0005-0000-0000-0000CB2B0000}"/>
    <cellStyle name="Normal 5 11 34 3" xfId="5131" xr:uid="{00000000-0005-0000-0000-0000CC2B0000}"/>
    <cellStyle name="Normal 5 11 35" xfId="1578" xr:uid="{00000000-0005-0000-0000-0000CD2B0000}"/>
    <cellStyle name="Normal 5 11 35 2" xfId="3588" xr:uid="{00000000-0005-0000-0000-0000CE2B0000}"/>
    <cellStyle name="Normal 5 11 35 2 2" xfId="6662" xr:uid="{00000000-0005-0000-0000-0000CF2B0000}"/>
    <cellStyle name="Normal 5 11 35 3" xfId="5132" xr:uid="{00000000-0005-0000-0000-0000D02B0000}"/>
    <cellStyle name="Normal 5 11 36" xfId="1579" xr:uid="{00000000-0005-0000-0000-0000D12B0000}"/>
    <cellStyle name="Normal 5 11 36 2" xfId="3589" xr:uid="{00000000-0005-0000-0000-0000D22B0000}"/>
    <cellStyle name="Normal 5 11 36 2 2" xfId="6663" xr:uid="{00000000-0005-0000-0000-0000D32B0000}"/>
    <cellStyle name="Normal 5 11 36 3" xfId="5133" xr:uid="{00000000-0005-0000-0000-0000D42B0000}"/>
    <cellStyle name="Normal 5 11 37" xfId="1580" xr:uid="{00000000-0005-0000-0000-0000D52B0000}"/>
    <cellStyle name="Normal 5 11 37 2" xfId="3590" xr:uid="{00000000-0005-0000-0000-0000D62B0000}"/>
    <cellStyle name="Normal 5 11 37 2 2" xfId="6664" xr:uid="{00000000-0005-0000-0000-0000D72B0000}"/>
    <cellStyle name="Normal 5 11 37 3" xfId="5134" xr:uid="{00000000-0005-0000-0000-0000D82B0000}"/>
    <cellStyle name="Normal 5 11 38" xfId="1581" xr:uid="{00000000-0005-0000-0000-0000D92B0000}"/>
    <cellStyle name="Normal 5 11 38 2" xfId="3591" xr:uid="{00000000-0005-0000-0000-0000DA2B0000}"/>
    <cellStyle name="Normal 5 11 38 2 2" xfId="6665" xr:uid="{00000000-0005-0000-0000-0000DB2B0000}"/>
    <cellStyle name="Normal 5 11 38 3" xfId="5135" xr:uid="{00000000-0005-0000-0000-0000DC2B0000}"/>
    <cellStyle name="Normal 5 11 39" xfId="1582" xr:uid="{00000000-0005-0000-0000-0000DD2B0000}"/>
    <cellStyle name="Normal 5 11 39 2" xfId="3592" xr:uid="{00000000-0005-0000-0000-0000DE2B0000}"/>
    <cellStyle name="Normal 5 11 39 2 2" xfId="6666" xr:uid="{00000000-0005-0000-0000-0000DF2B0000}"/>
    <cellStyle name="Normal 5 11 39 3" xfId="5136" xr:uid="{00000000-0005-0000-0000-0000E02B0000}"/>
    <cellStyle name="Normal 5 11 4" xfId="1583" xr:uid="{00000000-0005-0000-0000-0000E12B0000}"/>
    <cellStyle name="Normal 5 11 4 2" xfId="3593" xr:uid="{00000000-0005-0000-0000-0000E22B0000}"/>
    <cellStyle name="Normal 5 11 4 2 2" xfId="6667" xr:uid="{00000000-0005-0000-0000-0000E32B0000}"/>
    <cellStyle name="Normal 5 11 4 3" xfId="5137" xr:uid="{00000000-0005-0000-0000-0000E42B0000}"/>
    <cellStyle name="Normal 5 11 40" xfId="1584" xr:uid="{00000000-0005-0000-0000-0000E52B0000}"/>
    <cellStyle name="Normal 5 11 40 2" xfId="3594" xr:uid="{00000000-0005-0000-0000-0000E62B0000}"/>
    <cellStyle name="Normal 5 11 40 2 2" xfId="6668" xr:uid="{00000000-0005-0000-0000-0000E72B0000}"/>
    <cellStyle name="Normal 5 11 40 3" xfId="5138" xr:uid="{00000000-0005-0000-0000-0000E82B0000}"/>
    <cellStyle name="Normal 5 11 41" xfId="1585" xr:uid="{00000000-0005-0000-0000-0000E92B0000}"/>
    <cellStyle name="Normal 5 11 41 2" xfId="3595" xr:uid="{00000000-0005-0000-0000-0000EA2B0000}"/>
    <cellStyle name="Normal 5 11 41 2 2" xfId="6669" xr:uid="{00000000-0005-0000-0000-0000EB2B0000}"/>
    <cellStyle name="Normal 5 11 41 3" xfId="5139" xr:uid="{00000000-0005-0000-0000-0000EC2B0000}"/>
    <cellStyle name="Normal 5 11 42" xfId="1586" xr:uid="{00000000-0005-0000-0000-0000ED2B0000}"/>
    <cellStyle name="Normal 5 11 42 2" xfId="3596" xr:uid="{00000000-0005-0000-0000-0000EE2B0000}"/>
    <cellStyle name="Normal 5 11 42 2 2" xfId="6670" xr:uid="{00000000-0005-0000-0000-0000EF2B0000}"/>
    <cellStyle name="Normal 5 11 42 3" xfId="5140" xr:uid="{00000000-0005-0000-0000-0000F02B0000}"/>
    <cellStyle name="Normal 5 11 43" xfId="1587" xr:uid="{00000000-0005-0000-0000-0000F12B0000}"/>
    <cellStyle name="Normal 5 11 43 2" xfId="3597" xr:uid="{00000000-0005-0000-0000-0000F22B0000}"/>
    <cellStyle name="Normal 5 11 43 2 2" xfId="6671" xr:uid="{00000000-0005-0000-0000-0000F32B0000}"/>
    <cellStyle name="Normal 5 11 43 3" xfId="5141" xr:uid="{00000000-0005-0000-0000-0000F42B0000}"/>
    <cellStyle name="Normal 5 11 44" xfId="3560" xr:uid="{00000000-0005-0000-0000-0000F52B0000}"/>
    <cellStyle name="Normal 5 11 44 2" xfId="6634" xr:uid="{00000000-0005-0000-0000-0000F62B0000}"/>
    <cellStyle name="Normal 5 11 45" xfId="5104" xr:uid="{00000000-0005-0000-0000-0000F72B0000}"/>
    <cellStyle name="Normal 5 11 5" xfId="1588" xr:uid="{00000000-0005-0000-0000-0000F82B0000}"/>
    <cellStyle name="Normal 5 11 5 2" xfId="3598" xr:uid="{00000000-0005-0000-0000-0000F92B0000}"/>
    <cellStyle name="Normal 5 11 5 2 2" xfId="6672" xr:uid="{00000000-0005-0000-0000-0000FA2B0000}"/>
    <cellStyle name="Normal 5 11 5 3" xfId="5142" xr:uid="{00000000-0005-0000-0000-0000FB2B0000}"/>
    <cellStyle name="Normal 5 11 6" xfId="1589" xr:uid="{00000000-0005-0000-0000-0000FC2B0000}"/>
    <cellStyle name="Normal 5 11 6 2" xfId="3599" xr:uid="{00000000-0005-0000-0000-0000FD2B0000}"/>
    <cellStyle name="Normal 5 11 6 2 2" xfId="6673" xr:uid="{00000000-0005-0000-0000-0000FE2B0000}"/>
    <cellStyle name="Normal 5 11 6 3" xfId="5143" xr:uid="{00000000-0005-0000-0000-0000FF2B0000}"/>
    <cellStyle name="Normal 5 11 7" xfId="1590" xr:uid="{00000000-0005-0000-0000-0000002C0000}"/>
    <cellStyle name="Normal 5 11 7 2" xfId="3600" xr:uid="{00000000-0005-0000-0000-0000012C0000}"/>
    <cellStyle name="Normal 5 11 7 2 2" xfId="6674" xr:uid="{00000000-0005-0000-0000-0000022C0000}"/>
    <cellStyle name="Normal 5 11 7 3" xfId="5144" xr:uid="{00000000-0005-0000-0000-0000032C0000}"/>
    <cellStyle name="Normal 5 11 8" xfId="1591" xr:uid="{00000000-0005-0000-0000-0000042C0000}"/>
    <cellStyle name="Normal 5 11 8 2" xfId="3601" xr:uid="{00000000-0005-0000-0000-0000052C0000}"/>
    <cellStyle name="Normal 5 11 8 2 2" xfId="6675" xr:uid="{00000000-0005-0000-0000-0000062C0000}"/>
    <cellStyle name="Normal 5 11 8 3" xfId="5145" xr:uid="{00000000-0005-0000-0000-0000072C0000}"/>
    <cellStyle name="Normal 5 11 9" xfId="1592" xr:uid="{00000000-0005-0000-0000-0000082C0000}"/>
    <cellStyle name="Normal 5 11 9 2" xfId="3602" xr:uid="{00000000-0005-0000-0000-0000092C0000}"/>
    <cellStyle name="Normal 5 11 9 2 2" xfId="6676" xr:uid="{00000000-0005-0000-0000-00000A2C0000}"/>
    <cellStyle name="Normal 5 11 9 3" xfId="5146" xr:uid="{00000000-0005-0000-0000-00000B2C0000}"/>
    <cellStyle name="Normal 5 12" xfId="1593" xr:uid="{00000000-0005-0000-0000-00000C2C0000}"/>
    <cellStyle name="Normal 5 12 10" xfId="1594" xr:uid="{00000000-0005-0000-0000-00000D2C0000}"/>
    <cellStyle name="Normal 5 12 10 2" xfId="3604" xr:uid="{00000000-0005-0000-0000-00000E2C0000}"/>
    <cellStyle name="Normal 5 12 10 2 2" xfId="6678" xr:uid="{00000000-0005-0000-0000-00000F2C0000}"/>
    <cellStyle name="Normal 5 12 10 3" xfId="5148" xr:uid="{00000000-0005-0000-0000-0000102C0000}"/>
    <cellStyle name="Normal 5 12 11" xfId="1595" xr:uid="{00000000-0005-0000-0000-0000112C0000}"/>
    <cellStyle name="Normal 5 12 11 2" xfId="3605" xr:uid="{00000000-0005-0000-0000-0000122C0000}"/>
    <cellStyle name="Normal 5 12 11 2 2" xfId="6679" xr:uid="{00000000-0005-0000-0000-0000132C0000}"/>
    <cellStyle name="Normal 5 12 11 3" xfId="5149" xr:uid="{00000000-0005-0000-0000-0000142C0000}"/>
    <cellStyle name="Normal 5 12 12" xfId="1596" xr:uid="{00000000-0005-0000-0000-0000152C0000}"/>
    <cellStyle name="Normal 5 12 12 2" xfId="3606" xr:uid="{00000000-0005-0000-0000-0000162C0000}"/>
    <cellStyle name="Normal 5 12 12 2 2" xfId="6680" xr:uid="{00000000-0005-0000-0000-0000172C0000}"/>
    <cellStyle name="Normal 5 12 12 3" xfId="5150" xr:uid="{00000000-0005-0000-0000-0000182C0000}"/>
    <cellStyle name="Normal 5 12 13" xfId="1597" xr:uid="{00000000-0005-0000-0000-0000192C0000}"/>
    <cellStyle name="Normal 5 12 13 2" xfId="3607" xr:uid="{00000000-0005-0000-0000-00001A2C0000}"/>
    <cellStyle name="Normal 5 12 13 2 2" xfId="6681" xr:uid="{00000000-0005-0000-0000-00001B2C0000}"/>
    <cellStyle name="Normal 5 12 13 3" xfId="5151" xr:uid="{00000000-0005-0000-0000-00001C2C0000}"/>
    <cellStyle name="Normal 5 12 14" xfId="1598" xr:uid="{00000000-0005-0000-0000-00001D2C0000}"/>
    <cellStyle name="Normal 5 12 14 2" xfId="3608" xr:uid="{00000000-0005-0000-0000-00001E2C0000}"/>
    <cellStyle name="Normal 5 12 14 2 2" xfId="6682" xr:uid="{00000000-0005-0000-0000-00001F2C0000}"/>
    <cellStyle name="Normal 5 12 14 3" xfId="5152" xr:uid="{00000000-0005-0000-0000-0000202C0000}"/>
    <cellStyle name="Normal 5 12 15" xfId="1599" xr:uid="{00000000-0005-0000-0000-0000212C0000}"/>
    <cellStyle name="Normal 5 12 15 2" xfId="3609" xr:uid="{00000000-0005-0000-0000-0000222C0000}"/>
    <cellStyle name="Normal 5 12 15 2 2" xfId="6683" xr:uid="{00000000-0005-0000-0000-0000232C0000}"/>
    <cellStyle name="Normal 5 12 15 3" xfId="5153" xr:uid="{00000000-0005-0000-0000-0000242C0000}"/>
    <cellStyle name="Normal 5 12 16" xfId="1600" xr:uid="{00000000-0005-0000-0000-0000252C0000}"/>
    <cellStyle name="Normal 5 12 16 2" xfId="3610" xr:uid="{00000000-0005-0000-0000-0000262C0000}"/>
    <cellStyle name="Normal 5 12 16 2 2" xfId="6684" xr:uid="{00000000-0005-0000-0000-0000272C0000}"/>
    <cellStyle name="Normal 5 12 16 3" xfId="5154" xr:uid="{00000000-0005-0000-0000-0000282C0000}"/>
    <cellStyle name="Normal 5 12 17" xfId="1601" xr:uid="{00000000-0005-0000-0000-0000292C0000}"/>
    <cellStyle name="Normal 5 12 17 2" xfId="3611" xr:uid="{00000000-0005-0000-0000-00002A2C0000}"/>
    <cellStyle name="Normal 5 12 17 2 2" xfId="6685" xr:uid="{00000000-0005-0000-0000-00002B2C0000}"/>
    <cellStyle name="Normal 5 12 17 3" xfId="5155" xr:uid="{00000000-0005-0000-0000-00002C2C0000}"/>
    <cellStyle name="Normal 5 12 18" xfId="1602" xr:uid="{00000000-0005-0000-0000-00002D2C0000}"/>
    <cellStyle name="Normal 5 12 18 2" xfId="3612" xr:uid="{00000000-0005-0000-0000-00002E2C0000}"/>
    <cellStyle name="Normal 5 12 18 2 2" xfId="6686" xr:uid="{00000000-0005-0000-0000-00002F2C0000}"/>
    <cellStyle name="Normal 5 12 18 3" xfId="5156" xr:uid="{00000000-0005-0000-0000-0000302C0000}"/>
    <cellStyle name="Normal 5 12 19" xfId="1603" xr:uid="{00000000-0005-0000-0000-0000312C0000}"/>
    <cellStyle name="Normal 5 12 19 2" xfId="3613" xr:uid="{00000000-0005-0000-0000-0000322C0000}"/>
    <cellStyle name="Normal 5 12 19 2 2" xfId="6687" xr:uid="{00000000-0005-0000-0000-0000332C0000}"/>
    <cellStyle name="Normal 5 12 19 3" xfId="5157" xr:uid="{00000000-0005-0000-0000-0000342C0000}"/>
    <cellStyle name="Normal 5 12 2" xfId="1604" xr:uid="{00000000-0005-0000-0000-0000352C0000}"/>
    <cellStyle name="Normal 5 12 2 2" xfId="3614" xr:uid="{00000000-0005-0000-0000-0000362C0000}"/>
    <cellStyle name="Normal 5 12 2 2 2" xfId="6688" xr:uid="{00000000-0005-0000-0000-0000372C0000}"/>
    <cellStyle name="Normal 5 12 2 3" xfId="5158" xr:uid="{00000000-0005-0000-0000-0000382C0000}"/>
    <cellStyle name="Normal 5 12 20" xfId="1605" xr:uid="{00000000-0005-0000-0000-0000392C0000}"/>
    <cellStyle name="Normal 5 12 20 2" xfId="3615" xr:uid="{00000000-0005-0000-0000-00003A2C0000}"/>
    <cellStyle name="Normal 5 12 20 2 2" xfId="6689" xr:uid="{00000000-0005-0000-0000-00003B2C0000}"/>
    <cellStyle name="Normal 5 12 20 3" xfId="5159" xr:uid="{00000000-0005-0000-0000-00003C2C0000}"/>
    <cellStyle name="Normal 5 12 21" xfId="1606" xr:uid="{00000000-0005-0000-0000-00003D2C0000}"/>
    <cellStyle name="Normal 5 12 21 2" xfId="3616" xr:uid="{00000000-0005-0000-0000-00003E2C0000}"/>
    <cellStyle name="Normal 5 12 21 2 2" xfId="6690" xr:uid="{00000000-0005-0000-0000-00003F2C0000}"/>
    <cellStyle name="Normal 5 12 21 3" xfId="5160" xr:uid="{00000000-0005-0000-0000-0000402C0000}"/>
    <cellStyle name="Normal 5 12 22" xfId="1607" xr:uid="{00000000-0005-0000-0000-0000412C0000}"/>
    <cellStyle name="Normal 5 12 22 2" xfId="3617" xr:uid="{00000000-0005-0000-0000-0000422C0000}"/>
    <cellStyle name="Normal 5 12 22 2 2" xfId="6691" xr:uid="{00000000-0005-0000-0000-0000432C0000}"/>
    <cellStyle name="Normal 5 12 22 3" xfId="5161" xr:uid="{00000000-0005-0000-0000-0000442C0000}"/>
    <cellStyle name="Normal 5 12 23" xfId="1608" xr:uid="{00000000-0005-0000-0000-0000452C0000}"/>
    <cellStyle name="Normal 5 12 23 2" xfId="3618" xr:uid="{00000000-0005-0000-0000-0000462C0000}"/>
    <cellStyle name="Normal 5 12 23 2 2" xfId="6692" xr:uid="{00000000-0005-0000-0000-0000472C0000}"/>
    <cellStyle name="Normal 5 12 23 3" xfId="5162" xr:uid="{00000000-0005-0000-0000-0000482C0000}"/>
    <cellStyle name="Normal 5 12 24" xfId="1609" xr:uid="{00000000-0005-0000-0000-0000492C0000}"/>
    <cellStyle name="Normal 5 12 24 2" xfId="3619" xr:uid="{00000000-0005-0000-0000-00004A2C0000}"/>
    <cellStyle name="Normal 5 12 24 2 2" xfId="6693" xr:uid="{00000000-0005-0000-0000-00004B2C0000}"/>
    <cellStyle name="Normal 5 12 24 3" xfId="5163" xr:uid="{00000000-0005-0000-0000-00004C2C0000}"/>
    <cellStyle name="Normal 5 12 25" xfId="1610" xr:uid="{00000000-0005-0000-0000-00004D2C0000}"/>
    <cellStyle name="Normal 5 12 25 2" xfId="3620" xr:uid="{00000000-0005-0000-0000-00004E2C0000}"/>
    <cellStyle name="Normal 5 12 25 2 2" xfId="6694" xr:uid="{00000000-0005-0000-0000-00004F2C0000}"/>
    <cellStyle name="Normal 5 12 25 3" xfId="5164" xr:uid="{00000000-0005-0000-0000-0000502C0000}"/>
    <cellStyle name="Normal 5 12 26" xfId="1611" xr:uid="{00000000-0005-0000-0000-0000512C0000}"/>
    <cellStyle name="Normal 5 12 26 2" xfId="3621" xr:uid="{00000000-0005-0000-0000-0000522C0000}"/>
    <cellStyle name="Normal 5 12 26 2 2" xfId="6695" xr:uid="{00000000-0005-0000-0000-0000532C0000}"/>
    <cellStyle name="Normal 5 12 26 3" xfId="5165" xr:uid="{00000000-0005-0000-0000-0000542C0000}"/>
    <cellStyle name="Normal 5 12 27" xfId="1612" xr:uid="{00000000-0005-0000-0000-0000552C0000}"/>
    <cellStyle name="Normal 5 12 27 2" xfId="3622" xr:uid="{00000000-0005-0000-0000-0000562C0000}"/>
    <cellStyle name="Normal 5 12 27 2 2" xfId="6696" xr:uid="{00000000-0005-0000-0000-0000572C0000}"/>
    <cellStyle name="Normal 5 12 27 3" xfId="5166" xr:uid="{00000000-0005-0000-0000-0000582C0000}"/>
    <cellStyle name="Normal 5 12 28" xfId="1613" xr:uid="{00000000-0005-0000-0000-0000592C0000}"/>
    <cellStyle name="Normal 5 12 28 2" xfId="3623" xr:uid="{00000000-0005-0000-0000-00005A2C0000}"/>
    <cellStyle name="Normal 5 12 28 2 2" xfId="6697" xr:uid="{00000000-0005-0000-0000-00005B2C0000}"/>
    <cellStyle name="Normal 5 12 28 3" xfId="5167" xr:uid="{00000000-0005-0000-0000-00005C2C0000}"/>
    <cellStyle name="Normal 5 12 29" xfId="1614" xr:uid="{00000000-0005-0000-0000-00005D2C0000}"/>
    <cellStyle name="Normal 5 12 29 2" xfId="3624" xr:uid="{00000000-0005-0000-0000-00005E2C0000}"/>
    <cellStyle name="Normal 5 12 29 2 2" xfId="6698" xr:uid="{00000000-0005-0000-0000-00005F2C0000}"/>
    <cellStyle name="Normal 5 12 29 3" xfId="5168" xr:uid="{00000000-0005-0000-0000-0000602C0000}"/>
    <cellStyle name="Normal 5 12 3" xfId="1615" xr:uid="{00000000-0005-0000-0000-0000612C0000}"/>
    <cellStyle name="Normal 5 12 3 2" xfId="3625" xr:uid="{00000000-0005-0000-0000-0000622C0000}"/>
    <cellStyle name="Normal 5 12 3 2 2" xfId="6699" xr:uid="{00000000-0005-0000-0000-0000632C0000}"/>
    <cellStyle name="Normal 5 12 3 3" xfId="5169" xr:uid="{00000000-0005-0000-0000-0000642C0000}"/>
    <cellStyle name="Normal 5 12 30" xfId="1616" xr:uid="{00000000-0005-0000-0000-0000652C0000}"/>
    <cellStyle name="Normal 5 12 30 2" xfId="3626" xr:uid="{00000000-0005-0000-0000-0000662C0000}"/>
    <cellStyle name="Normal 5 12 30 2 2" xfId="6700" xr:uid="{00000000-0005-0000-0000-0000672C0000}"/>
    <cellStyle name="Normal 5 12 30 3" xfId="5170" xr:uid="{00000000-0005-0000-0000-0000682C0000}"/>
    <cellStyle name="Normal 5 12 31" xfId="1617" xr:uid="{00000000-0005-0000-0000-0000692C0000}"/>
    <cellStyle name="Normal 5 12 31 2" xfId="3627" xr:uid="{00000000-0005-0000-0000-00006A2C0000}"/>
    <cellStyle name="Normal 5 12 31 2 2" xfId="6701" xr:uid="{00000000-0005-0000-0000-00006B2C0000}"/>
    <cellStyle name="Normal 5 12 31 3" xfId="5171" xr:uid="{00000000-0005-0000-0000-00006C2C0000}"/>
    <cellStyle name="Normal 5 12 32" xfId="1618" xr:uid="{00000000-0005-0000-0000-00006D2C0000}"/>
    <cellStyle name="Normal 5 12 32 2" xfId="3628" xr:uid="{00000000-0005-0000-0000-00006E2C0000}"/>
    <cellStyle name="Normal 5 12 32 2 2" xfId="6702" xr:uid="{00000000-0005-0000-0000-00006F2C0000}"/>
    <cellStyle name="Normal 5 12 32 3" xfId="5172" xr:uid="{00000000-0005-0000-0000-0000702C0000}"/>
    <cellStyle name="Normal 5 12 33" xfId="1619" xr:uid="{00000000-0005-0000-0000-0000712C0000}"/>
    <cellStyle name="Normal 5 12 33 2" xfId="3629" xr:uid="{00000000-0005-0000-0000-0000722C0000}"/>
    <cellStyle name="Normal 5 12 33 2 2" xfId="6703" xr:uid="{00000000-0005-0000-0000-0000732C0000}"/>
    <cellStyle name="Normal 5 12 33 3" xfId="5173" xr:uid="{00000000-0005-0000-0000-0000742C0000}"/>
    <cellStyle name="Normal 5 12 34" xfId="1620" xr:uid="{00000000-0005-0000-0000-0000752C0000}"/>
    <cellStyle name="Normal 5 12 34 2" xfId="3630" xr:uid="{00000000-0005-0000-0000-0000762C0000}"/>
    <cellStyle name="Normal 5 12 34 2 2" xfId="6704" xr:uid="{00000000-0005-0000-0000-0000772C0000}"/>
    <cellStyle name="Normal 5 12 34 3" xfId="5174" xr:uid="{00000000-0005-0000-0000-0000782C0000}"/>
    <cellStyle name="Normal 5 12 35" xfId="1621" xr:uid="{00000000-0005-0000-0000-0000792C0000}"/>
    <cellStyle name="Normal 5 12 35 2" xfId="3631" xr:uid="{00000000-0005-0000-0000-00007A2C0000}"/>
    <cellStyle name="Normal 5 12 35 2 2" xfId="6705" xr:uid="{00000000-0005-0000-0000-00007B2C0000}"/>
    <cellStyle name="Normal 5 12 35 3" xfId="5175" xr:uid="{00000000-0005-0000-0000-00007C2C0000}"/>
    <cellStyle name="Normal 5 12 36" xfId="1622" xr:uid="{00000000-0005-0000-0000-00007D2C0000}"/>
    <cellStyle name="Normal 5 12 36 2" xfId="3632" xr:uid="{00000000-0005-0000-0000-00007E2C0000}"/>
    <cellStyle name="Normal 5 12 36 2 2" xfId="6706" xr:uid="{00000000-0005-0000-0000-00007F2C0000}"/>
    <cellStyle name="Normal 5 12 36 3" xfId="5176" xr:uid="{00000000-0005-0000-0000-0000802C0000}"/>
    <cellStyle name="Normal 5 12 37" xfId="1623" xr:uid="{00000000-0005-0000-0000-0000812C0000}"/>
    <cellStyle name="Normal 5 12 37 2" xfId="3633" xr:uid="{00000000-0005-0000-0000-0000822C0000}"/>
    <cellStyle name="Normal 5 12 37 2 2" xfId="6707" xr:uid="{00000000-0005-0000-0000-0000832C0000}"/>
    <cellStyle name="Normal 5 12 37 3" xfId="5177" xr:uid="{00000000-0005-0000-0000-0000842C0000}"/>
    <cellStyle name="Normal 5 12 38" xfId="1624" xr:uid="{00000000-0005-0000-0000-0000852C0000}"/>
    <cellStyle name="Normal 5 12 38 2" xfId="3634" xr:uid="{00000000-0005-0000-0000-0000862C0000}"/>
    <cellStyle name="Normal 5 12 38 2 2" xfId="6708" xr:uid="{00000000-0005-0000-0000-0000872C0000}"/>
    <cellStyle name="Normal 5 12 38 3" xfId="5178" xr:uid="{00000000-0005-0000-0000-0000882C0000}"/>
    <cellStyle name="Normal 5 12 39" xfId="1625" xr:uid="{00000000-0005-0000-0000-0000892C0000}"/>
    <cellStyle name="Normal 5 12 39 2" xfId="3635" xr:uid="{00000000-0005-0000-0000-00008A2C0000}"/>
    <cellStyle name="Normal 5 12 39 2 2" xfId="6709" xr:uid="{00000000-0005-0000-0000-00008B2C0000}"/>
    <cellStyle name="Normal 5 12 39 3" xfId="5179" xr:uid="{00000000-0005-0000-0000-00008C2C0000}"/>
    <cellStyle name="Normal 5 12 4" xfId="1626" xr:uid="{00000000-0005-0000-0000-00008D2C0000}"/>
    <cellStyle name="Normal 5 12 4 2" xfId="3636" xr:uid="{00000000-0005-0000-0000-00008E2C0000}"/>
    <cellStyle name="Normal 5 12 4 2 2" xfId="6710" xr:uid="{00000000-0005-0000-0000-00008F2C0000}"/>
    <cellStyle name="Normal 5 12 4 3" xfId="5180" xr:uid="{00000000-0005-0000-0000-0000902C0000}"/>
    <cellStyle name="Normal 5 12 40" xfId="1627" xr:uid="{00000000-0005-0000-0000-0000912C0000}"/>
    <cellStyle name="Normal 5 12 40 2" xfId="3637" xr:uid="{00000000-0005-0000-0000-0000922C0000}"/>
    <cellStyle name="Normal 5 12 40 2 2" xfId="6711" xr:uid="{00000000-0005-0000-0000-0000932C0000}"/>
    <cellStyle name="Normal 5 12 40 3" xfId="5181" xr:uid="{00000000-0005-0000-0000-0000942C0000}"/>
    <cellStyle name="Normal 5 12 41" xfId="1628" xr:uid="{00000000-0005-0000-0000-0000952C0000}"/>
    <cellStyle name="Normal 5 12 41 2" xfId="3638" xr:uid="{00000000-0005-0000-0000-0000962C0000}"/>
    <cellStyle name="Normal 5 12 41 2 2" xfId="6712" xr:uid="{00000000-0005-0000-0000-0000972C0000}"/>
    <cellStyle name="Normal 5 12 41 3" xfId="5182" xr:uid="{00000000-0005-0000-0000-0000982C0000}"/>
    <cellStyle name="Normal 5 12 42" xfId="1629" xr:uid="{00000000-0005-0000-0000-0000992C0000}"/>
    <cellStyle name="Normal 5 12 42 2" xfId="3639" xr:uid="{00000000-0005-0000-0000-00009A2C0000}"/>
    <cellStyle name="Normal 5 12 42 2 2" xfId="6713" xr:uid="{00000000-0005-0000-0000-00009B2C0000}"/>
    <cellStyle name="Normal 5 12 42 3" xfId="5183" xr:uid="{00000000-0005-0000-0000-00009C2C0000}"/>
    <cellStyle name="Normal 5 12 43" xfId="1630" xr:uid="{00000000-0005-0000-0000-00009D2C0000}"/>
    <cellStyle name="Normal 5 12 43 2" xfId="3640" xr:uid="{00000000-0005-0000-0000-00009E2C0000}"/>
    <cellStyle name="Normal 5 12 43 2 2" xfId="6714" xr:uid="{00000000-0005-0000-0000-00009F2C0000}"/>
    <cellStyle name="Normal 5 12 43 3" xfId="5184" xr:uid="{00000000-0005-0000-0000-0000A02C0000}"/>
    <cellStyle name="Normal 5 12 44" xfId="3603" xr:uid="{00000000-0005-0000-0000-0000A12C0000}"/>
    <cellStyle name="Normal 5 12 44 2" xfId="6677" xr:uid="{00000000-0005-0000-0000-0000A22C0000}"/>
    <cellStyle name="Normal 5 12 45" xfId="5147" xr:uid="{00000000-0005-0000-0000-0000A32C0000}"/>
    <cellStyle name="Normal 5 12 5" xfId="1631" xr:uid="{00000000-0005-0000-0000-0000A42C0000}"/>
    <cellStyle name="Normal 5 12 5 2" xfId="3641" xr:uid="{00000000-0005-0000-0000-0000A52C0000}"/>
    <cellStyle name="Normal 5 12 5 2 2" xfId="6715" xr:uid="{00000000-0005-0000-0000-0000A62C0000}"/>
    <cellStyle name="Normal 5 12 5 3" xfId="5185" xr:uid="{00000000-0005-0000-0000-0000A72C0000}"/>
    <cellStyle name="Normal 5 12 6" xfId="1632" xr:uid="{00000000-0005-0000-0000-0000A82C0000}"/>
    <cellStyle name="Normal 5 12 6 2" xfId="3642" xr:uid="{00000000-0005-0000-0000-0000A92C0000}"/>
    <cellStyle name="Normal 5 12 6 2 2" xfId="6716" xr:uid="{00000000-0005-0000-0000-0000AA2C0000}"/>
    <cellStyle name="Normal 5 12 6 3" xfId="5186" xr:uid="{00000000-0005-0000-0000-0000AB2C0000}"/>
    <cellStyle name="Normal 5 12 7" xfId="1633" xr:uid="{00000000-0005-0000-0000-0000AC2C0000}"/>
    <cellStyle name="Normal 5 12 7 2" xfId="3643" xr:uid="{00000000-0005-0000-0000-0000AD2C0000}"/>
    <cellStyle name="Normal 5 12 7 2 2" xfId="6717" xr:uid="{00000000-0005-0000-0000-0000AE2C0000}"/>
    <cellStyle name="Normal 5 12 7 3" xfId="5187" xr:uid="{00000000-0005-0000-0000-0000AF2C0000}"/>
    <cellStyle name="Normal 5 12 8" xfId="1634" xr:uid="{00000000-0005-0000-0000-0000B02C0000}"/>
    <cellStyle name="Normal 5 12 8 2" xfId="3644" xr:uid="{00000000-0005-0000-0000-0000B12C0000}"/>
    <cellStyle name="Normal 5 12 8 2 2" xfId="6718" xr:uid="{00000000-0005-0000-0000-0000B22C0000}"/>
    <cellStyle name="Normal 5 12 8 3" xfId="5188" xr:uid="{00000000-0005-0000-0000-0000B32C0000}"/>
    <cellStyle name="Normal 5 12 9" xfId="1635" xr:uid="{00000000-0005-0000-0000-0000B42C0000}"/>
    <cellStyle name="Normal 5 12 9 2" xfId="3645" xr:uid="{00000000-0005-0000-0000-0000B52C0000}"/>
    <cellStyle name="Normal 5 12 9 2 2" xfId="6719" xr:uid="{00000000-0005-0000-0000-0000B62C0000}"/>
    <cellStyle name="Normal 5 12 9 3" xfId="5189" xr:uid="{00000000-0005-0000-0000-0000B72C0000}"/>
    <cellStyle name="Normal 5 13" xfId="1636" xr:uid="{00000000-0005-0000-0000-0000B82C0000}"/>
    <cellStyle name="Normal 5 13 10" xfId="1637" xr:uid="{00000000-0005-0000-0000-0000B92C0000}"/>
    <cellStyle name="Normal 5 13 10 2" xfId="3647" xr:uid="{00000000-0005-0000-0000-0000BA2C0000}"/>
    <cellStyle name="Normal 5 13 10 2 2" xfId="6721" xr:uid="{00000000-0005-0000-0000-0000BB2C0000}"/>
    <cellStyle name="Normal 5 13 10 3" xfId="5191" xr:uid="{00000000-0005-0000-0000-0000BC2C0000}"/>
    <cellStyle name="Normal 5 13 11" xfId="1638" xr:uid="{00000000-0005-0000-0000-0000BD2C0000}"/>
    <cellStyle name="Normal 5 13 11 2" xfId="3648" xr:uid="{00000000-0005-0000-0000-0000BE2C0000}"/>
    <cellStyle name="Normal 5 13 11 2 2" xfId="6722" xr:uid="{00000000-0005-0000-0000-0000BF2C0000}"/>
    <cellStyle name="Normal 5 13 11 3" xfId="5192" xr:uid="{00000000-0005-0000-0000-0000C02C0000}"/>
    <cellStyle name="Normal 5 13 12" xfId="1639" xr:uid="{00000000-0005-0000-0000-0000C12C0000}"/>
    <cellStyle name="Normal 5 13 12 2" xfId="3649" xr:uid="{00000000-0005-0000-0000-0000C22C0000}"/>
    <cellStyle name="Normal 5 13 12 2 2" xfId="6723" xr:uid="{00000000-0005-0000-0000-0000C32C0000}"/>
    <cellStyle name="Normal 5 13 12 3" xfId="5193" xr:uid="{00000000-0005-0000-0000-0000C42C0000}"/>
    <cellStyle name="Normal 5 13 13" xfId="1640" xr:uid="{00000000-0005-0000-0000-0000C52C0000}"/>
    <cellStyle name="Normal 5 13 13 2" xfId="3650" xr:uid="{00000000-0005-0000-0000-0000C62C0000}"/>
    <cellStyle name="Normal 5 13 13 2 2" xfId="6724" xr:uid="{00000000-0005-0000-0000-0000C72C0000}"/>
    <cellStyle name="Normal 5 13 13 3" xfId="5194" xr:uid="{00000000-0005-0000-0000-0000C82C0000}"/>
    <cellStyle name="Normal 5 13 14" xfId="1641" xr:uid="{00000000-0005-0000-0000-0000C92C0000}"/>
    <cellStyle name="Normal 5 13 14 2" xfId="3651" xr:uid="{00000000-0005-0000-0000-0000CA2C0000}"/>
    <cellStyle name="Normal 5 13 14 2 2" xfId="6725" xr:uid="{00000000-0005-0000-0000-0000CB2C0000}"/>
    <cellStyle name="Normal 5 13 14 3" xfId="5195" xr:uid="{00000000-0005-0000-0000-0000CC2C0000}"/>
    <cellStyle name="Normal 5 13 15" xfId="1642" xr:uid="{00000000-0005-0000-0000-0000CD2C0000}"/>
    <cellStyle name="Normal 5 13 15 2" xfId="3652" xr:uid="{00000000-0005-0000-0000-0000CE2C0000}"/>
    <cellStyle name="Normal 5 13 15 2 2" xfId="6726" xr:uid="{00000000-0005-0000-0000-0000CF2C0000}"/>
    <cellStyle name="Normal 5 13 15 3" xfId="5196" xr:uid="{00000000-0005-0000-0000-0000D02C0000}"/>
    <cellStyle name="Normal 5 13 16" xfId="1643" xr:uid="{00000000-0005-0000-0000-0000D12C0000}"/>
    <cellStyle name="Normal 5 13 16 2" xfId="3653" xr:uid="{00000000-0005-0000-0000-0000D22C0000}"/>
    <cellStyle name="Normal 5 13 16 2 2" xfId="6727" xr:uid="{00000000-0005-0000-0000-0000D32C0000}"/>
    <cellStyle name="Normal 5 13 16 3" xfId="5197" xr:uid="{00000000-0005-0000-0000-0000D42C0000}"/>
    <cellStyle name="Normal 5 13 17" xfId="1644" xr:uid="{00000000-0005-0000-0000-0000D52C0000}"/>
    <cellStyle name="Normal 5 13 17 2" xfId="3654" xr:uid="{00000000-0005-0000-0000-0000D62C0000}"/>
    <cellStyle name="Normal 5 13 17 2 2" xfId="6728" xr:uid="{00000000-0005-0000-0000-0000D72C0000}"/>
    <cellStyle name="Normal 5 13 17 3" xfId="5198" xr:uid="{00000000-0005-0000-0000-0000D82C0000}"/>
    <cellStyle name="Normal 5 13 18" xfId="1645" xr:uid="{00000000-0005-0000-0000-0000D92C0000}"/>
    <cellStyle name="Normal 5 13 18 2" xfId="3655" xr:uid="{00000000-0005-0000-0000-0000DA2C0000}"/>
    <cellStyle name="Normal 5 13 18 2 2" xfId="6729" xr:uid="{00000000-0005-0000-0000-0000DB2C0000}"/>
    <cellStyle name="Normal 5 13 18 3" xfId="5199" xr:uid="{00000000-0005-0000-0000-0000DC2C0000}"/>
    <cellStyle name="Normal 5 13 19" xfId="1646" xr:uid="{00000000-0005-0000-0000-0000DD2C0000}"/>
    <cellStyle name="Normal 5 13 19 2" xfId="3656" xr:uid="{00000000-0005-0000-0000-0000DE2C0000}"/>
    <cellStyle name="Normal 5 13 19 2 2" xfId="6730" xr:uid="{00000000-0005-0000-0000-0000DF2C0000}"/>
    <cellStyle name="Normal 5 13 19 3" xfId="5200" xr:uid="{00000000-0005-0000-0000-0000E02C0000}"/>
    <cellStyle name="Normal 5 13 2" xfId="1647" xr:uid="{00000000-0005-0000-0000-0000E12C0000}"/>
    <cellStyle name="Normal 5 13 2 2" xfId="3657" xr:uid="{00000000-0005-0000-0000-0000E22C0000}"/>
    <cellStyle name="Normal 5 13 2 2 2" xfId="6731" xr:uid="{00000000-0005-0000-0000-0000E32C0000}"/>
    <cellStyle name="Normal 5 13 2 3" xfId="5201" xr:uid="{00000000-0005-0000-0000-0000E42C0000}"/>
    <cellStyle name="Normal 5 13 20" xfId="1648" xr:uid="{00000000-0005-0000-0000-0000E52C0000}"/>
    <cellStyle name="Normal 5 13 20 2" xfId="3658" xr:uid="{00000000-0005-0000-0000-0000E62C0000}"/>
    <cellStyle name="Normal 5 13 20 2 2" xfId="6732" xr:uid="{00000000-0005-0000-0000-0000E72C0000}"/>
    <cellStyle name="Normal 5 13 20 3" xfId="5202" xr:uid="{00000000-0005-0000-0000-0000E82C0000}"/>
    <cellStyle name="Normal 5 13 21" xfId="1649" xr:uid="{00000000-0005-0000-0000-0000E92C0000}"/>
    <cellStyle name="Normal 5 13 21 2" xfId="3659" xr:uid="{00000000-0005-0000-0000-0000EA2C0000}"/>
    <cellStyle name="Normal 5 13 21 2 2" xfId="6733" xr:uid="{00000000-0005-0000-0000-0000EB2C0000}"/>
    <cellStyle name="Normal 5 13 21 3" xfId="5203" xr:uid="{00000000-0005-0000-0000-0000EC2C0000}"/>
    <cellStyle name="Normal 5 13 22" xfId="1650" xr:uid="{00000000-0005-0000-0000-0000ED2C0000}"/>
    <cellStyle name="Normal 5 13 22 2" xfId="3660" xr:uid="{00000000-0005-0000-0000-0000EE2C0000}"/>
    <cellStyle name="Normal 5 13 22 2 2" xfId="6734" xr:uid="{00000000-0005-0000-0000-0000EF2C0000}"/>
    <cellStyle name="Normal 5 13 22 3" xfId="5204" xr:uid="{00000000-0005-0000-0000-0000F02C0000}"/>
    <cellStyle name="Normal 5 13 23" xfId="1651" xr:uid="{00000000-0005-0000-0000-0000F12C0000}"/>
    <cellStyle name="Normal 5 13 23 2" xfId="3661" xr:uid="{00000000-0005-0000-0000-0000F22C0000}"/>
    <cellStyle name="Normal 5 13 23 2 2" xfId="6735" xr:uid="{00000000-0005-0000-0000-0000F32C0000}"/>
    <cellStyle name="Normal 5 13 23 3" xfId="5205" xr:uid="{00000000-0005-0000-0000-0000F42C0000}"/>
    <cellStyle name="Normal 5 13 24" xfId="1652" xr:uid="{00000000-0005-0000-0000-0000F52C0000}"/>
    <cellStyle name="Normal 5 13 24 2" xfId="3662" xr:uid="{00000000-0005-0000-0000-0000F62C0000}"/>
    <cellStyle name="Normal 5 13 24 2 2" xfId="6736" xr:uid="{00000000-0005-0000-0000-0000F72C0000}"/>
    <cellStyle name="Normal 5 13 24 3" xfId="5206" xr:uid="{00000000-0005-0000-0000-0000F82C0000}"/>
    <cellStyle name="Normal 5 13 25" xfId="1653" xr:uid="{00000000-0005-0000-0000-0000F92C0000}"/>
    <cellStyle name="Normal 5 13 25 2" xfId="3663" xr:uid="{00000000-0005-0000-0000-0000FA2C0000}"/>
    <cellStyle name="Normal 5 13 25 2 2" xfId="6737" xr:uid="{00000000-0005-0000-0000-0000FB2C0000}"/>
    <cellStyle name="Normal 5 13 25 3" xfId="5207" xr:uid="{00000000-0005-0000-0000-0000FC2C0000}"/>
    <cellStyle name="Normal 5 13 26" xfId="1654" xr:uid="{00000000-0005-0000-0000-0000FD2C0000}"/>
    <cellStyle name="Normal 5 13 26 2" xfId="3664" xr:uid="{00000000-0005-0000-0000-0000FE2C0000}"/>
    <cellStyle name="Normal 5 13 26 2 2" xfId="6738" xr:uid="{00000000-0005-0000-0000-0000FF2C0000}"/>
    <cellStyle name="Normal 5 13 26 3" xfId="5208" xr:uid="{00000000-0005-0000-0000-0000002D0000}"/>
    <cellStyle name="Normal 5 13 27" xfId="1655" xr:uid="{00000000-0005-0000-0000-0000012D0000}"/>
    <cellStyle name="Normal 5 13 27 2" xfId="3665" xr:uid="{00000000-0005-0000-0000-0000022D0000}"/>
    <cellStyle name="Normal 5 13 27 2 2" xfId="6739" xr:uid="{00000000-0005-0000-0000-0000032D0000}"/>
    <cellStyle name="Normal 5 13 27 3" xfId="5209" xr:uid="{00000000-0005-0000-0000-0000042D0000}"/>
    <cellStyle name="Normal 5 13 28" xfId="1656" xr:uid="{00000000-0005-0000-0000-0000052D0000}"/>
    <cellStyle name="Normal 5 13 28 2" xfId="3666" xr:uid="{00000000-0005-0000-0000-0000062D0000}"/>
    <cellStyle name="Normal 5 13 28 2 2" xfId="6740" xr:uid="{00000000-0005-0000-0000-0000072D0000}"/>
    <cellStyle name="Normal 5 13 28 3" xfId="5210" xr:uid="{00000000-0005-0000-0000-0000082D0000}"/>
    <cellStyle name="Normal 5 13 29" xfId="1657" xr:uid="{00000000-0005-0000-0000-0000092D0000}"/>
    <cellStyle name="Normal 5 13 29 2" xfId="3667" xr:uid="{00000000-0005-0000-0000-00000A2D0000}"/>
    <cellStyle name="Normal 5 13 29 2 2" xfId="6741" xr:uid="{00000000-0005-0000-0000-00000B2D0000}"/>
    <cellStyle name="Normal 5 13 29 3" xfId="5211" xr:uid="{00000000-0005-0000-0000-00000C2D0000}"/>
    <cellStyle name="Normal 5 13 3" xfId="1658" xr:uid="{00000000-0005-0000-0000-00000D2D0000}"/>
    <cellStyle name="Normal 5 13 3 2" xfId="3668" xr:uid="{00000000-0005-0000-0000-00000E2D0000}"/>
    <cellStyle name="Normal 5 13 3 2 2" xfId="6742" xr:uid="{00000000-0005-0000-0000-00000F2D0000}"/>
    <cellStyle name="Normal 5 13 3 3" xfId="5212" xr:uid="{00000000-0005-0000-0000-0000102D0000}"/>
    <cellStyle name="Normal 5 13 30" xfId="1659" xr:uid="{00000000-0005-0000-0000-0000112D0000}"/>
    <cellStyle name="Normal 5 13 30 2" xfId="3669" xr:uid="{00000000-0005-0000-0000-0000122D0000}"/>
    <cellStyle name="Normal 5 13 30 2 2" xfId="6743" xr:uid="{00000000-0005-0000-0000-0000132D0000}"/>
    <cellStyle name="Normal 5 13 30 3" xfId="5213" xr:uid="{00000000-0005-0000-0000-0000142D0000}"/>
    <cellStyle name="Normal 5 13 31" xfId="1660" xr:uid="{00000000-0005-0000-0000-0000152D0000}"/>
    <cellStyle name="Normal 5 13 31 2" xfId="3670" xr:uid="{00000000-0005-0000-0000-0000162D0000}"/>
    <cellStyle name="Normal 5 13 31 2 2" xfId="6744" xr:uid="{00000000-0005-0000-0000-0000172D0000}"/>
    <cellStyle name="Normal 5 13 31 3" xfId="5214" xr:uid="{00000000-0005-0000-0000-0000182D0000}"/>
    <cellStyle name="Normal 5 13 32" xfId="1661" xr:uid="{00000000-0005-0000-0000-0000192D0000}"/>
    <cellStyle name="Normal 5 13 32 2" xfId="3671" xr:uid="{00000000-0005-0000-0000-00001A2D0000}"/>
    <cellStyle name="Normal 5 13 32 2 2" xfId="6745" xr:uid="{00000000-0005-0000-0000-00001B2D0000}"/>
    <cellStyle name="Normal 5 13 32 3" xfId="5215" xr:uid="{00000000-0005-0000-0000-00001C2D0000}"/>
    <cellStyle name="Normal 5 13 33" xfId="1662" xr:uid="{00000000-0005-0000-0000-00001D2D0000}"/>
    <cellStyle name="Normal 5 13 33 2" xfId="3672" xr:uid="{00000000-0005-0000-0000-00001E2D0000}"/>
    <cellStyle name="Normal 5 13 33 2 2" xfId="6746" xr:uid="{00000000-0005-0000-0000-00001F2D0000}"/>
    <cellStyle name="Normal 5 13 33 3" xfId="5216" xr:uid="{00000000-0005-0000-0000-0000202D0000}"/>
    <cellStyle name="Normal 5 13 34" xfId="1663" xr:uid="{00000000-0005-0000-0000-0000212D0000}"/>
    <cellStyle name="Normal 5 13 34 2" xfId="3673" xr:uid="{00000000-0005-0000-0000-0000222D0000}"/>
    <cellStyle name="Normal 5 13 34 2 2" xfId="6747" xr:uid="{00000000-0005-0000-0000-0000232D0000}"/>
    <cellStyle name="Normal 5 13 34 3" xfId="5217" xr:uid="{00000000-0005-0000-0000-0000242D0000}"/>
    <cellStyle name="Normal 5 13 35" xfId="1664" xr:uid="{00000000-0005-0000-0000-0000252D0000}"/>
    <cellStyle name="Normal 5 13 35 2" xfId="3674" xr:uid="{00000000-0005-0000-0000-0000262D0000}"/>
    <cellStyle name="Normal 5 13 35 2 2" xfId="6748" xr:uid="{00000000-0005-0000-0000-0000272D0000}"/>
    <cellStyle name="Normal 5 13 35 3" xfId="5218" xr:uid="{00000000-0005-0000-0000-0000282D0000}"/>
    <cellStyle name="Normal 5 13 36" xfId="1665" xr:uid="{00000000-0005-0000-0000-0000292D0000}"/>
    <cellStyle name="Normal 5 13 36 2" xfId="3675" xr:uid="{00000000-0005-0000-0000-00002A2D0000}"/>
    <cellStyle name="Normal 5 13 36 2 2" xfId="6749" xr:uid="{00000000-0005-0000-0000-00002B2D0000}"/>
    <cellStyle name="Normal 5 13 36 3" xfId="5219" xr:uid="{00000000-0005-0000-0000-00002C2D0000}"/>
    <cellStyle name="Normal 5 13 37" xfId="1666" xr:uid="{00000000-0005-0000-0000-00002D2D0000}"/>
    <cellStyle name="Normal 5 13 37 2" xfId="3676" xr:uid="{00000000-0005-0000-0000-00002E2D0000}"/>
    <cellStyle name="Normal 5 13 37 2 2" xfId="6750" xr:uid="{00000000-0005-0000-0000-00002F2D0000}"/>
    <cellStyle name="Normal 5 13 37 3" xfId="5220" xr:uid="{00000000-0005-0000-0000-0000302D0000}"/>
    <cellStyle name="Normal 5 13 38" xfId="1667" xr:uid="{00000000-0005-0000-0000-0000312D0000}"/>
    <cellStyle name="Normal 5 13 38 2" xfId="3677" xr:uid="{00000000-0005-0000-0000-0000322D0000}"/>
    <cellStyle name="Normal 5 13 38 2 2" xfId="6751" xr:uid="{00000000-0005-0000-0000-0000332D0000}"/>
    <cellStyle name="Normal 5 13 38 3" xfId="5221" xr:uid="{00000000-0005-0000-0000-0000342D0000}"/>
    <cellStyle name="Normal 5 13 39" xfId="1668" xr:uid="{00000000-0005-0000-0000-0000352D0000}"/>
    <cellStyle name="Normal 5 13 39 2" xfId="3678" xr:uid="{00000000-0005-0000-0000-0000362D0000}"/>
    <cellStyle name="Normal 5 13 39 2 2" xfId="6752" xr:uid="{00000000-0005-0000-0000-0000372D0000}"/>
    <cellStyle name="Normal 5 13 39 3" xfId="5222" xr:uid="{00000000-0005-0000-0000-0000382D0000}"/>
    <cellStyle name="Normal 5 13 4" xfId="1669" xr:uid="{00000000-0005-0000-0000-0000392D0000}"/>
    <cellStyle name="Normal 5 13 4 2" xfId="3679" xr:uid="{00000000-0005-0000-0000-00003A2D0000}"/>
    <cellStyle name="Normal 5 13 4 2 2" xfId="6753" xr:uid="{00000000-0005-0000-0000-00003B2D0000}"/>
    <cellStyle name="Normal 5 13 4 3" xfId="5223" xr:uid="{00000000-0005-0000-0000-00003C2D0000}"/>
    <cellStyle name="Normal 5 13 40" xfId="1670" xr:uid="{00000000-0005-0000-0000-00003D2D0000}"/>
    <cellStyle name="Normal 5 13 40 2" xfId="3680" xr:uid="{00000000-0005-0000-0000-00003E2D0000}"/>
    <cellStyle name="Normal 5 13 40 2 2" xfId="6754" xr:uid="{00000000-0005-0000-0000-00003F2D0000}"/>
    <cellStyle name="Normal 5 13 40 3" xfId="5224" xr:uid="{00000000-0005-0000-0000-0000402D0000}"/>
    <cellStyle name="Normal 5 13 41" xfId="1671" xr:uid="{00000000-0005-0000-0000-0000412D0000}"/>
    <cellStyle name="Normal 5 13 41 2" xfId="3681" xr:uid="{00000000-0005-0000-0000-0000422D0000}"/>
    <cellStyle name="Normal 5 13 41 2 2" xfId="6755" xr:uid="{00000000-0005-0000-0000-0000432D0000}"/>
    <cellStyle name="Normal 5 13 41 3" xfId="5225" xr:uid="{00000000-0005-0000-0000-0000442D0000}"/>
    <cellStyle name="Normal 5 13 42" xfId="1672" xr:uid="{00000000-0005-0000-0000-0000452D0000}"/>
    <cellStyle name="Normal 5 13 42 2" xfId="3682" xr:uid="{00000000-0005-0000-0000-0000462D0000}"/>
    <cellStyle name="Normal 5 13 42 2 2" xfId="6756" xr:uid="{00000000-0005-0000-0000-0000472D0000}"/>
    <cellStyle name="Normal 5 13 42 3" xfId="5226" xr:uid="{00000000-0005-0000-0000-0000482D0000}"/>
    <cellStyle name="Normal 5 13 43" xfId="1673" xr:uid="{00000000-0005-0000-0000-0000492D0000}"/>
    <cellStyle name="Normal 5 13 43 2" xfId="3683" xr:uid="{00000000-0005-0000-0000-00004A2D0000}"/>
    <cellStyle name="Normal 5 13 43 2 2" xfId="6757" xr:uid="{00000000-0005-0000-0000-00004B2D0000}"/>
    <cellStyle name="Normal 5 13 43 3" xfId="5227" xr:uid="{00000000-0005-0000-0000-00004C2D0000}"/>
    <cellStyle name="Normal 5 13 44" xfId="3646" xr:uid="{00000000-0005-0000-0000-00004D2D0000}"/>
    <cellStyle name="Normal 5 13 44 2" xfId="6720" xr:uid="{00000000-0005-0000-0000-00004E2D0000}"/>
    <cellStyle name="Normal 5 13 45" xfId="5190" xr:uid="{00000000-0005-0000-0000-00004F2D0000}"/>
    <cellStyle name="Normal 5 13 5" xfId="1674" xr:uid="{00000000-0005-0000-0000-0000502D0000}"/>
    <cellStyle name="Normal 5 13 5 2" xfId="3684" xr:uid="{00000000-0005-0000-0000-0000512D0000}"/>
    <cellStyle name="Normal 5 13 5 2 2" xfId="6758" xr:uid="{00000000-0005-0000-0000-0000522D0000}"/>
    <cellStyle name="Normal 5 13 5 3" xfId="5228" xr:uid="{00000000-0005-0000-0000-0000532D0000}"/>
    <cellStyle name="Normal 5 13 6" xfId="1675" xr:uid="{00000000-0005-0000-0000-0000542D0000}"/>
    <cellStyle name="Normal 5 13 6 2" xfId="3685" xr:uid="{00000000-0005-0000-0000-0000552D0000}"/>
    <cellStyle name="Normal 5 13 6 2 2" xfId="6759" xr:uid="{00000000-0005-0000-0000-0000562D0000}"/>
    <cellStyle name="Normal 5 13 6 3" xfId="5229" xr:uid="{00000000-0005-0000-0000-0000572D0000}"/>
    <cellStyle name="Normal 5 13 7" xfId="1676" xr:uid="{00000000-0005-0000-0000-0000582D0000}"/>
    <cellStyle name="Normal 5 13 7 2" xfId="3686" xr:uid="{00000000-0005-0000-0000-0000592D0000}"/>
    <cellStyle name="Normal 5 13 7 2 2" xfId="6760" xr:uid="{00000000-0005-0000-0000-00005A2D0000}"/>
    <cellStyle name="Normal 5 13 7 3" xfId="5230" xr:uid="{00000000-0005-0000-0000-00005B2D0000}"/>
    <cellStyle name="Normal 5 13 8" xfId="1677" xr:uid="{00000000-0005-0000-0000-00005C2D0000}"/>
    <cellStyle name="Normal 5 13 8 2" xfId="3687" xr:uid="{00000000-0005-0000-0000-00005D2D0000}"/>
    <cellStyle name="Normal 5 13 8 2 2" xfId="6761" xr:uid="{00000000-0005-0000-0000-00005E2D0000}"/>
    <cellStyle name="Normal 5 13 8 3" xfId="5231" xr:uid="{00000000-0005-0000-0000-00005F2D0000}"/>
    <cellStyle name="Normal 5 13 9" xfId="1678" xr:uid="{00000000-0005-0000-0000-0000602D0000}"/>
    <cellStyle name="Normal 5 13 9 2" xfId="3688" xr:uid="{00000000-0005-0000-0000-0000612D0000}"/>
    <cellStyle name="Normal 5 13 9 2 2" xfId="6762" xr:uid="{00000000-0005-0000-0000-0000622D0000}"/>
    <cellStyle name="Normal 5 13 9 3" xfId="5232" xr:uid="{00000000-0005-0000-0000-0000632D0000}"/>
    <cellStyle name="Normal 5 14" xfId="1679" xr:uid="{00000000-0005-0000-0000-0000642D0000}"/>
    <cellStyle name="Normal 5 14 2" xfId="3689" xr:uid="{00000000-0005-0000-0000-0000652D0000}"/>
    <cellStyle name="Normal 5 14 2 2" xfId="6763" xr:uid="{00000000-0005-0000-0000-0000662D0000}"/>
    <cellStyle name="Normal 5 14 3" xfId="5233" xr:uid="{00000000-0005-0000-0000-0000672D0000}"/>
    <cellStyle name="Normal 5 15" xfId="1680" xr:uid="{00000000-0005-0000-0000-0000682D0000}"/>
    <cellStyle name="Normal 5 15 2" xfId="3690" xr:uid="{00000000-0005-0000-0000-0000692D0000}"/>
    <cellStyle name="Normal 5 15 2 2" xfId="6764" xr:uid="{00000000-0005-0000-0000-00006A2D0000}"/>
    <cellStyle name="Normal 5 15 3" xfId="5234" xr:uid="{00000000-0005-0000-0000-00006B2D0000}"/>
    <cellStyle name="Normal 5 16" xfId="1681" xr:uid="{00000000-0005-0000-0000-00006C2D0000}"/>
    <cellStyle name="Normal 5 16 2" xfId="3691" xr:uid="{00000000-0005-0000-0000-00006D2D0000}"/>
    <cellStyle name="Normal 5 16 2 2" xfId="6765" xr:uid="{00000000-0005-0000-0000-00006E2D0000}"/>
    <cellStyle name="Normal 5 16 3" xfId="5235" xr:uid="{00000000-0005-0000-0000-00006F2D0000}"/>
    <cellStyle name="Normal 5 17" xfId="1682" xr:uid="{00000000-0005-0000-0000-0000702D0000}"/>
    <cellStyle name="Normal 5 17 2" xfId="3692" xr:uid="{00000000-0005-0000-0000-0000712D0000}"/>
    <cellStyle name="Normal 5 17 2 2" xfId="6766" xr:uid="{00000000-0005-0000-0000-0000722D0000}"/>
    <cellStyle name="Normal 5 17 3" xfId="5236" xr:uid="{00000000-0005-0000-0000-0000732D0000}"/>
    <cellStyle name="Normal 5 18" xfId="1683" xr:uid="{00000000-0005-0000-0000-0000742D0000}"/>
    <cellStyle name="Normal 5 18 2" xfId="3693" xr:uid="{00000000-0005-0000-0000-0000752D0000}"/>
    <cellStyle name="Normal 5 18 2 2" xfId="6767" xr:uid="{00000000-0005-0000-0000-0000762D0000}"/>
    <cellStyle name="Normal 5 18 3" xfId="5237" xr:uid="{00000000-0005-0000-0000-0000772D0000}"/>
    <cellStyle name="Normal 5 19" xfId="1684" xr:uid="{00000000-0005-0000-0000-0000782D0000}"/>
    <cellStyle name="Normal 5 19 2" xfId="3694" xr:uid="{00000000-0005-0000-0000-0000792D0000}"/>
    <cellStyle name="Normal 5 19 2 2" xfId="6768" xr:uid="{00000000-0005-0000-0000-00007A2D0000}"/>
    <cellStyle name="Normal 5 19 3" xfId="5238" xr:uid="{00000000-0005-0000-0000-00007B2D0000}"/>
    <cellStyle name="Normal 5 2" xfId="1685" xr:uid="{00000000-0005-0000-0000-00007C2D0000}"/>
    <cellStyle name="Normal 5 2 10" xfId="1686" xr:uid="{00000000-0005-0000-0000-00007D2D0000}"/>
    <cellStyle name="Normal 5 2 10 2" xfId="3696" xr:uid="{00000000-0005-0000-0000-00007E2D0000}"/>
    <cellStyle name="Normal 5 2 10 2 2" xfId="6770" xr:uid="{00000000-0005-0000-0000-00007F2D0000}"/>
    <cellStyle name="Normal 5 2 10 3" xfId="5240" xr:uid="{00000000-0005-0000-0000-0000802D0000}"/>
    <cellStyle name="Normal 5 2 11" xfId="1687" xr:uid="{00000000-0005-0000-0000-0000812D0000}"/>
    <cellStyle name="Normal 5 2 11 2" xfId="3697" xr:uid="{00000000-0005-0000-0000-0000822D0000}"/>
    <cellStyle name="Normal 5 2 11 2 2" xfId="6771" xr:uid="{00000000-0005-0000-0000-0000832D0000}"/>
    <cellStyle name="Normal 5 2 11 3" xfId="5241" xr:uid="{00000000-0005-0000-0000-0000842D0000}"/>
    <cellStyle name="Normal 5 2 12" xfId="1688" xr:uid="{00000000-0005-0000-0000-0000852D0000}"/>
    <cellStyle name="Normal 5 2 12 2" xfId="3698" xr:uid="{00000000-0005-0000-0000-0000862D0000}"/>
    <cellStyle name="Normal 5 2 12 2 2" xfId="6772" xr:uid="{00000000-0005-0000-0000-0000872D0000}"/>
    <cellStyle name="Normal 5 2 12 3" xfId="5242" xr:uid="{00000000-0005-0000-0000-0000882D0000}"/>
    <cellStyle name="Normal 5 2 13" xfId="1689" xr:uid="{00000000-0005-0000-0000-0000892D0000}"/>
    <cellStyle name="Normal 5 2 13 2" xfId="3699" xr:uid="{00000000-0005-0000-0000-00008A2D0000}"/>
    <cellStyle name="Normal 5 2 13 2 2" xfId="6773" xr:uid="{00000000-0005-0000-0000-00008B2D0000}"/>
    <cellStyle name="Normal 5 2 13 3" xfId="5243" xr:uid="{00000000-0005-0000-0000-00008C2D0000}"/>
    <cellStyle name="Normal 5 2 14" xfId="1690" xr:uid="{00000000-0005-0000-0000-00008D2D0000}"/>
    <cellStyle name="Normal 5 2 14 2" xfId="3700" xr:uid="{00000000-0005-0000-0000-00008E2D0000}"/>
    <cellStyle name="Normal 5 2 14 2 2" xfId="6774" xr:uid="{00000000-0005-0000-0000-00008F2D0000}"/>
    <cellStyle name="Normal 5 2 14 3" xfId="5244" xr:uid="{00000000-0005-0000-0000-0000902D0000}"/>
    <cellStyle name="Normal 5 2 15" xfId="1691" xr:uid="{00000000-0005-0000-0000-0000912D0000}"/>
    <cellStyle name="Normal 5 2 15 2" xfId="3701" xr:uid="{00000000-0005-0000-0000-0000922D0000}"/>
    <cellStyle name="Normal 5 2 15 2 2" xfId="6775" xr:uid="{00000000-0005-0000-0000-0000932D0000}"/>
    <cellStyle name="Normal 5 2 15 3" xfId="5245" xr:uid="{00000000-0005-0000-0000-0000942D0000}"/>
    <cellStyle name="Normal 5 2 16" xfId="1692" xr:uid="{00000000-0005-0000-0000-0000952D0000}"/>
    <cellStyle name="Normal 5 2 16 2" xfId="3702" xr:uid="{00000000-0005-0000-0000-0000962D0000}"/>
    <cellStyle name="Normal 5 2 16 2 2" xfId="6776" xr:uid="{00000000-0005-0000-0000-0000972D0000}"/>
    <cellStyle name="Normal 5 2 16 3" xfId="5246" xr:uid="{00000000-0005-0000-0000-0000982D0000}"/>
    <cellStyle name="Normal 5 2 17" xfId="1693" xr:uid="{00000000-0005-0000-0000-0000992D0000}"/>
    <cellStyle name="Normal 5 2 17 2" xfId="3703" xr:uid="{00000000-0005-0000-0000-00009A2D0000}"/>
    <cellStyle name="Normal 5 2 17 2 2" xfId="6777" xr:uid="{00000000-0005-0000-0000-00009B2D0000}"/>
    <cellStyle name="Normal 5 2 17 3" xfId="5247" xr:uid="{00000000-0005-0000-0000-00009C2D0000}"/>
    <cellStyle name="Normal 5 2 18" xfId="1694" xr:uid="{00000000-0005-0000-0000-00009D2D0000}"/>
    <cellStyle name="Normal 5 2 18 2" xfId="3704" xr:uid="{00000000-0005-0000-0000-00009E2D0000}"/>
    <cellStyle name="Normal 5 2 18 2 2" xfId="6778" xr:uid="{00000000-0005-0000-0000-00009F2D0000}"/>
    <cellStyle name="Normal 5 2 18 3" xfId="5248" xr:uid="{00000000-0005-0000-0000-0000A02D0000}"/>
    <cellStyle name="Normal 5 2 19" xfId="1695" xr:uid="{00000000-0005-0000-0000-0000A12D0000}"/>
    <cellStyle name="Normal 5 2 19 2" xfId="3705" xr:uid="{00000000-0005-0000-0000-0000A22D0000}"/>
    <cellStyle name="Normal 5 2 19 2 2" xfId="6779" xr:uid="{00000000-0005-0000-0000-0000A32D0000}"/>
    <cellStyle name="Normal 5 2 19 3" xfId="5249" xr:uid="{00000000-0005-0000-0000-0000A42D0000}"/>
    <cellStyle name="Normal 5 2 2" xfId="1696" xr:uid="{00000000-0005-0000-0000-0000A52D0000}"/>
    <cellStyle name="Normal 5 2 2 2" xfId="1697" xr:uid="{00000000-0005-0000-0000-0000A62D0000}"/>
    <cellStyle name="Normal 5 2 2 2 2" xfId="3707" xr:uid="{00000000-0005-0000-0000-0000A72D0000}"/>
    <cellStyle name="Normal 5 2 2 2 2 2" xfId="6781" xr:uid="{00000000-0005-0000-0000-0000A82D0000}"/>
    <cellStyle name="Normal 5 2 2 2 3" xfId="5251" xr:uid="{00000000-0005-0000-0000-0000A92D0000}"/>
    <cellStyle name="Normal 5 2 2 3" xfId="3706" xr:uid="{00000000-0005-0000-0000-0000AA2D0000}"/>
    <cellStyle name="Normal 5 2 2 3 2" xfId="6780" xr:uid="{00000000-0005-0000-0000-0000AB2D0000}"/>
    <cellStyle name="Normal 5 2 2 4" xfId="5250" xr:uid="{00000000-0005-0000-0000-0000AC2D0000}"/>
    <cellStyle name="Normal 5 2 20" xfId="1698" xr:uid="{00000000-0005-0000-0000-0000AD2D0000}"/>
    <cellStyle name="Normal 5 2 20 2" xfId="3708" xr:uid="{00000000-0005-0000-0000-0000AE2D0000}"/>
    <cellStyle name="Normal 5 2 20 2 2" xfId="6782" xr:uid="{00000000-0005-0000-0000-0000AF2D0000}"/>
    <cellStyle name="Normal 5 2 20 3" xfId="5252" xr:uid="{00000000-0005-0000-0000-0000B02D0000}"/>
    <cellStyle name="Normal 5 2 21" xfId="1699" xr:uid="{00000000-0005-0000-0000-0000B12D0000}"/>
    <cellStyle name="Normal 5 2 21 2" xfId="3709" xr:uid="{00000000-0005-0000-0000-0000B22D0000}"/>
    <cellStyle name="Normal 5 2 21 2 2" xfId="6783" xr:uid="{00000000-0005-0000-0000-0000B32D0000}"/>
    <cellStyle name="Normal 5 2 21 3" xfId="5253" xr:uid="{00000000-0005-0000-0000-0000B42D0000}"/>
    <cellStyle name="Normal 5 2 22" xfId="1700" xr:uid="{00000000-0005-0000-0000-0000B52D0000}"/>
    <cellStyle name="Normal 5 2 22 2" xfId="3710" xr:uid="{00000000-0005-0000-0000-0000B62D0000}"/>
    <cellStyle name="Normal 5 2 22 2 2" xfId="6784" xr:uid="{00000000-0005-0000-0000-0000B72D0000}"/>
    <cellStyle name="Normal 5 2 22 3" xfId="5254" xr:uid="{00000000-0005-0000-0000-0000B82D0000}"/>
    <cellStyle name="Normal 5 2 23" xfId="1701" xr:uid="{00000000-0005-0000-0000-0000B92D0000}"/>
    <cellStyle name="Normal 5 2 23 2" xfId="3711" xr:uid="{00000000-0005-0000-0000-0000BA2D0000}"/>
    <cellStyle name="Normal 5 2 23 2 2" xfId="6785" xr:uid="{00000000-0005-0000-0000-0000BB2D0000}"/>
    <cellStyle name="Normal 5 2 23 3" xfId="5255" xr:uid="{00000000-0005-0000-0000-0000BC2D0000}"/>
    <cellStyle name="Normal 5 2 24" xfId="1702" xr:uid="{00000000-0005-0000-0000-0000BD2D0000}"/>
    <cellStyle name="Normal 5 2 24 2" xfId="3712" xr:uid="{00000000-0005-0000-0000-0000BE2D0000}"/>
    <cellStyle name="Normal 5 2 24 2 2" xfId="6786" xr:uid="{00000000-0005-0000-0000-0000BF2D0000}"/>
    <cellStyle name="Normal 5 2 24 3" xfId="5256" xr:uid="{00000000-0005-0000-0000-0000C02D0000}"/>
    <cellStyle name="Normal 5 2 25" xfId="1703" xr:uid="{00000000-0005-0000-0000-0000C12D0000}"/>
    <cellStyle name="Normal 5 2 25 2" xfId="3713" xr:uid="{00000000-0005-0000-0000-0000C22D0000}"/>
    <cellStyle name="Normal 5 2 25 2 2" xfId="6787" xr:uid="{00000000-0005-0000-0000-0000C32D0000}"/>
    <cellStyle name="Normal 5 2 25 3" xfId="5257" xr:uid="{00000000-0005-0000-0000-0000C42D0000}"/>
    <cellStyle name="Normal 5 2 26" xfId="1704" xr:uid="{00000000-0005-0000-0000-0000C52D0000}"/>
    <cellStyle name="Normal 5 2 26 2" xfId="3714" xr:uid="{00000000-0005-0000-0000-0000C62D0000}"/>
    <cellStyle name="Normal 5 2 26 2 2" xfId="6788" xr:uid="{00000000-0005-0000-0000-0000C72D0000}"/>
    <cellStyle name="Normal 5 2 26 3" xfId="5258" xr:uid="{00000000-0005-0000-0000-0000C82D0000}"/>
    <cellStyle name="Normal 5 2 27" xfId="1705" xr:uid="{00000000-0005-0000-0000-0000C92D0000}"/>
    <cellStyle name="Normal 5 2 27 2" xfId="3715" xr:uid="{00000000-0005-0000-0000-0000CA2D0000}"/>
    <cellStyle name="Normal 5 2 27 2 2" xfId="6789" xr:uid="{00000000-0005-0000-0000-0000CB2D0000}"/>
    <cellStyle name="Normal 5 2 27 3" xfId="5259" xr:uid="{00000000-0005-0000-0000-0000CC2D0000}"/>
    <cellStyle name="Normal 5 2 28" xfId="1706" xr:uid="{00000000-0005-0000-0000-0000CD2D0000}"/>
    <cellStyle name="Normal 5 2 28 2" xfId="3716" xr:uid="{00000000-0005-0000-0000-0000CE2D0000}"/>
    <cellStyle name="Normal 5 2 28 2 2" xfId="6790" xr:uid="{00000000-0005-0000-0000-0000CF2D0000}"/>
    <cellStyle name="Normal 5 2 28 3" xfId="5260" xr:uid="{00000000-0005-0000-0000-0000D02D0000}"/>
    <cellStyle name="Normal 5 2 29" xfId="1707" xr:uid="{00000000-0005-0000-0000-0000D12D0000}"/>
    <cellStyle name="Normal 5 2 29 2" xfId="3717" xr:uid="{00000000-0005-0000-0000-0000D22D0000}"/>
    <cellStyle name="Normal 5 2 29 2 2" xfId="6791" xr:uid="{00000000-0005-0000-0000-0000D32D0000}"/>
    <cellStyle name="Normal 5 2 29 3" xfId="5261" xr:uid="{00000000-0005-0000-0000-0000D42D0000}"/>
    <cellStyle name="Normal 5 2 3" xfId="1708" xr:uid="{00000000-0005-0000-0000-0000D52D0000}"/>
    <cellStyle name="Normal 5 2 3 2" xfId="3718" xr:uid="{00000000-0005-0000-0000-0000D62D0000}"/>
    <cellStyle name="Normal 5 2 3 2 2" xfId="6792" xr:uid="{00000000-0005-0000-0000-0000D72D0000}"/>
    <cellStyle name="Normal 5 2 3 3" xfId="5262" xr:uid="{00000000-0005-0000-0000-0000D82D0000}"/>
    <cellStyle name="Normal 5 2 30" xfId="1709" xr:uid="{00000000-0005-0000-0000-0000D92D0000}"/>
    <cellStyle name="Normal 5 2 30 2" xfId="3719" xr:uid="{00000000-0005-0000-0000-0000DA2D0000}"/>
    <cellStyle name="Normal 5 2 30 2 2" xfId="6793" xr:uid="{00000000-0005-0000-0000-0000DB2D0000}"/>
    <cellStyle name="Normal 5 2 30 3" xfId="5263" xr:uid="{00000000-0005-0000-0000-0000DC2D0000}"/>
    <cellStyle name="Normal 5 2 31" xfId="1710" xr:uid="{00000000-0005-0000-0000-0000DD2D0000}"/>
    <cellStyle name="Normal 5 2 31 2" xfId="3720" xr:uid="{00000000-0005-0000-0000-0000DE2D0000}"/>
    <cellStyle name="Normal 5 2 31 2 2" xfId="6794" xr:uid="{00000000-0005-0000-0000-0000DF2D0000}"/>
    <cellStyle name="Normal 5 2 31 3" xfId="5264" xr:uid="{00000000-0005-0000-0000-0000E02D0000}"/>
    <cellStyle name="Normal 5 2 32" xfId="1711" xr:uid="{00000000-0005-0000-0000-0000E12D0000}"/>
    <cellStyle name="Normal 5 2 32 2" xfId="3721" xr:uid="{00000000-0005-0000-0000-0000E22D0000}"/>
    <cellStyle name="Normal 5 2 32 2 2" xfId="6795" xr:uid="{00000000-0005-0000-0000-0000E32D0000}"/>
    <cellStyle name="Normal 5 2 32 3" xfId="5265" xr:uid="{00000000-0005-0000-0000-0000E42D0000}"/>
    <cellStyle name="Normal 5 2 33" xfId="1712" xr:uid="{00000000-0005-0000-0000-0000E52D0000}"/>
    <cellStyle name="Normal 5 2 33 2" xfId="3722" xr:uid="{00000000-0005-0000-0000-0000E62D0000}"/>
    <cellStyle name="Normal 5 2 33 2 2" xfId="6796" xr:uid="{00000000-0005-0000-0000-0000E72D0000}"/>
    <cellStyle name="Normal 5 2 33 3" xfId="5266" xr:uid="{00000000-0005-0000-0000-0000E82D0000}"/>
    <cellStyle name="Normal 5 2 34" xfId="1713" xr:uid="{00000000-0005-0000-0000-0000E92D0000}"/>
    <cellStyle name="Normal 5 2 34 2" xfId="3723" xr:uid="{00000000-0005-0000-0000-0000EA2D0000}"/>
    <cellStyle name="Normal 5 2 34 2 2" xfId="6797" xr:uid="{00000000-0005-0000-0000-0000EB2D0000}"/>
    <cellStyle name="Normal 5 2 34 3" xfId="5267" xr:uid="{00000000-0005-0000-0000-0000EC2D0000}"/>
    <cellStyle name="Normal 5 2 35" xfId="1714" xr:uid="{00000000-0005-0000-0000-0000ED2D0000}"/>
    <cellStyle name="Normal 5 2 35 2" xfId="3724" xr:uid="{00000000-0005-0000-0000-0000EE2D0000}"/>
    <cellStyle name="Normal 5 2 35 2 2" xfId="6798" xr:uid="{00000000-0005-0000-0000-0000EF2D0000}"/>
    <cellStyle name="Normal 5 2 35 3" xfId="5268" xr:uid="{00000000-0005-0000-0000-0000F02D0000}"/>
    <cellStyle name="Normal 5 2 36" xfId="1715" xr:uid="{00000000-0005-0000-0000-0000F12D0000}"/>
    <cellStyle name="Normal 5 2 36 2" xfId="3725" xr:uid="{00000000-0005-0000-0000-0000F22D0000}"/>
    <cellStyle name="Normal 5 2 36 2 2" xfId="6799" xr:uid="{00000000-0005-0000-0000-0000F32D0000}"/>
    <cellStyle name="Normal 5 2 36 3" xfId="5269" xr:uid="{00000000-0005-0000-0000-0000F42D0000}"/>
    <cellStyle name="Normal 5 2 37" xfId="1716" xr:uid="{00000000-0005-0000-0000-0000F52D0000}"/>
    <cellStyle name="Normal 5 2 37 2" xfId="3726" xr:uid="{00000000-0005-0000-0000-0000F62D0000}"/>
    <cellStyle name="Normal 5 2 37 2 2" xfId="6800" xr:uid="{00000000-0005-0000-0000-0000F72D0000}"/>
    <cellStyle name="Normal 5 2 37 3" xfId="5270" xr:uid="{00000000-0005-0000-0000-0000F82D0000}"/>
    <cellStyle name="Normal 5 2 38" xfId="1717" xr:uid="{00000000-0005-0000-0000-0000F92D0000}"/>
    <cellStyle name="Normal 5 2 38 2" xfId="3727" xr:uid="{00000000-0005-0000-0000-0000FA2D0000}"/>
    <cellStyle name="Normal 5 2 38 2 2" xfId="6801" xr:uid="{00000000-0005-0000-0000-0000FB2D0000}"/>
    <cellStyle name="Normal 5 2 38 3" xfId="5271" xr:uid="{00000000-0005-0000-0000-0000FC2D0000}"/>
    <cellStyle name="Normal 5 2 39" xfId="1718" xr:uid="{00000000-0005-0000-0000-0000FD2D0000}"/>
    <cellStyle name="Normal 5 2 39 2" xfId="3728" xr:uid="{00000000-0005-0000-0000-0000FE2D0000}"/>
    <cellStyle name="Normal 5 2 39 2 2" xfId="6802" xr:uid="{00000000-0005-0000-0000-0000FF2D0000}"/>
    <cellStyle name="Normal 5 2 39 3" xfId="5272" xr:uid="{00000000-0005-0000-0000-0000002E0000}"/>
    <cellStyle name="Normal 5 2 4" xfId="1719" xr:uid="{00000000-0005-0000-0000-0000012E0000}"/>
    <cellStyle name="Normal 5 2 4 2" xfId="3729" xr:uid="{00000000-0005-0000-0000-0000022E0000}"/>
    <cellStyle name="Normal 5 2 4 2 2" xfId="6803" xr:uid="{00000000-0005-0000-0000-0000032E0000}"/>
    <cellStyle name="Normal 5 2 4 3" xfId="5273" xr:uid="{00000000-0005-0000-0000-0000042E0000}"/>
    <cellStyle name="Normal 5 2 40" xfId="1720" xr:uid="{00000000-0005-0000-0000-0000052E0000}"/>
    <cellStyle name="Normal 5 2 40 2" xfId="3730" xr:uid="{00000000-0005-0000-0000-0000062E0000}"/>
    <cellStyle name="Normal 5 2 40 2 2" xfId="6804" xr:uid="{00000000-0005-0000-0000-0000072E0000}"/>
    <cellStyle name="Normal 5 2 40 3" xfId="5274" xr:uid="{00000000-0005-0000-0000-0000082E0000}"/>
    <cellStyle name="Normal 5 2 41" xfId="1721" xr:uid="{00000000-0005-0000-0000-0000092E0000}"/>
    <cellStyle name="Normal 5 2 41 2" xfId="3731" xr:uid="{00000000-0005-0000-0000-00000A2E0000}"/>
    <cellStyle name="Normal 5 2 41 2 2" xfId="6805" xr:uid="{00000000-0005-0000-0000-00000B2E0000}"/>
    <cellStyle name="Normal 5 2 41 3" xfId="5275" xr:uid="{00000000-0005-0000-0000-00000C2E0000}"/>
    <cellStyle name="Normal 5 2 42" xfId="1722" xr:uid="{00000000-0005-0000-0000-00000D2E0000}"/>
    <cellStyle name="Normal 5 2 42 2" xfId="3732" xr:uid="{00000000-0005-0000-0000-00000E2E0000}"/>
    <cellStyle name="Normal 5 2 42 2 2" xfId="6806" xr:uid="{00000000-0005-0000-0000-00000F2E0000}"/>
    <cellStyle name="Normal 5 2 42 3" xfId="5276" xr:uid="{00000000-0005-0000-0000-0000102E0000}"/>
    <cellStyle name="Normal 5 2 43" xfId="1723" xr:uid="{00000000-0005-0000-0000-0000112E0000}"/>
    <cellStyle name="Normal 5 2 43 2" xfId="3733" xr:uid="{00000000-0005-0000-0000-0000122E0000}"/>
    <cellStyle name="Normal 5 2 43 2 2" xfId="6807" xr:uid="{00000000-0005-0000-0000-0000132E0000}"/>
    <cellStyle name="Normal 5 2 43 3" xfId="5277" xr:uid="{00000000-0005-0000-0000-0000142E0000}"/>
    <cellStyle name="Normal 5 2 44" xfId="1724" xr:uid="{00000000-0005-0000-0000-0000152E0000}"/>
    <cellStyle name="Normal 5 2 44 2" xfId="3734" xr:uid="{00000000-0005-0000-0000-0000162E0000}"/>
    <cellStyle name="Normal 5 2 44 2 2" xfId="6808" xr:uid="{00000000-0005-0000-0000-0000172E0000}"/>
    <cellStyle name="Normal 5 2 44 3" xfId="5278" xr:uid="{00000000-0005-0000-0000-0000182E0000}"/>
    <cellStyle name="Normal 5 2 45" xfId="3695" xr:uid="{00000000-0005-0000-0000-0000192E0000}"/>
    <cellStyle name="Normal 5 2 45 2" xfId="6769" xr:uid="{00000000-0005-0000-0000-00001A2E0000}"/>
    <cellStyle name="Normal 5 2 46" xfId="5239" xr:uid="{00000000-0005-0000-0000-00001B2E0000}"/>
    <cellStyle name="Normal 5 2 5" xfId="1725" xr:uid="{00000000-0005-0000-0000-00001C2E0000}"/>
    <cellStyle name="Normal 5 2 5 2" xfId="3735" xr:uid="{00000000-0005-0000-0000-00001D2E0000}"/>
    <cellStyle name="Normal 5 2 5 2 2" xfId="6809" xr:uid="{00000000-0005-0000-0000-00001E2E0000}"/>
    <cellStyle name="Normal 5 2 5 3" xfId="5279" xr:uid="{00000000-0005-0000-0000-00001F2E0000}"/>
    <cellStyle name="Normal 5 2 6" xfId="1726" xr:uid="{00000000-0005-0000-0000-0000202E0000}"/>
    <cellStyle name="Normal 5 2 6 2" xfId="3736" xr:uid="{00000000-0005-0000-0000-0000212E0000}"/>
    <cellStyle name="Normal 5 2 6 2 2" xfId="6810" xr:uid="{00000000-0005-0000-0000-0000222E0000}"/>
    <cellStyle name="Normal 5 2 6 3" xfId="5280" xr:uid="{00000000-0005-0000-0000-0000232E0000}"/>
    <cellStyle name="Normal 5 2 7" xfId="1727" xr:uid="{00000000-0005-0000-0000-0000242E0000}"/>
    <cellStyle name="Normal 5 2 7 2" xfId="3737" xr:uid="{00000000-0005-0000-0000-0000252E0000}"/>
    <cellStyle name="Normal 5 2 7 2 2" xfId="6811" xr:uid="{00000000-0005-0000-0000-0000262E0000}"/>
    <cellStyle name="Normal 5 2 7 3" xfId="5281" xr:uid="{00000000-0005-0000-0000-0000272E0000}"/>
    <cellStyle name="Normal 5 2 8" xfId="1728" xr:uid="{00000000-0005-0000-0000-0000282E0000}"/>
    <cellStyle name="Normal 5 2 8 2" xfId="3738" xr:uid="{00000000-0005-0000-0000-0000292E0000}"/>
    <cellStyle name="Normal 5 2 8 2 2" xfId="6812" xr:uid="{00000000-0005-0000-0000-00002A2E0000}"/>
    <cellStyle name="Normal 5 2 8 3" xfId="5282" xr:uid="{00000000-0005-0000-0000-00002B2E0000}"/>
    <cellStyle name="Normal 5 2 9" xfId="1729" xr:uid="{00000000-0005-0000-0000-00002C2E0000}"/>
    <cellStyle name="Normal 5 2 9 2" xfId="3739" xr:uid="{00000000-0005-0000-0000-00002D2E0000}"/>
    <cellStyle name="Normal 5 2 9 2 2" xfId="6813" xr:uid="{00000000-0005-0000-0000-00002E2E0000}"/>
    <cellStyle name="Normal 5 2 9 3" xfId="5283" xr:uid="{00000000-0005-0000-0000-00002F2E0000}"/>
    <cellStyle name="Normal 5 20" xfId="1730" xr:uid="{00000000-0005-0000-0000-0000302E0000}"/>
    <cellStyle name="Normal 5 20 2" xfId="3740" xr:uid="{00000000-0005-0000-0000-0000312E0000}"/>
    <cellStyle name="Normal 5 20 2 2" xfId="6814" xr:uid="{00000000-0005-0000-0000-0000322E0000}"/>
    <cellStyle name="Normal 5 20 3" xfId="5284" xr:uid="{00000000-0005-0000-0000-0000332E0000}"/>
    <cellStyle name="Normal 5 21" xfId="1731" xr:uid="{00000000-0005-0000-0000-0000342E0000}"/>
    <cellStyle name="Normal 5 21 2" xfId="3741" xr:uid="{00000000-0005-0000-0000-0000352E0000}"/>
    <cellStyle name="Normal 5 21 2 2" xfId="6815" xr:uid="{00000000-0005-0000-0000-0000362E0000}"/>
    <cellStyle name="Normal 5 21 3" xfId="5285" xr:uid="{00000000-0005-0000-0000-0000372E0000}"/>
    <cellStyle name="Normal 5 22" xfId="1732" xr:uid="{00000000-0005-0000-0000-0000382E0000}"/>
    <cellStyle name="Normal 5 22 2" xfId="3742" xr:uid="{00000000-0005-0000-0000-0000392E0000}"/>
    <cellStyle name="Normal 5 22 2 2" xfId="6816" xr:uid="{00000000-0005-0000-0000-00003A2E0000}"/>
    <cellStyle name="Normal 5 22 3" xfId="5286" xr:uid="{00000000-0005-0000-0000-00003B2E0000}"/>
    <cellStyle name="Normal 5 23" xfId="1733" xr:uid="{00000000-0005-0000-0000-00003C2E0000}"/>
    <cellStyle name="Normal 5 23 2" xfId="3743" xr:uid="{00000000-0005-0000-0000-00003D2E0000}"/>
    <cellStyle name="Normal 5 23 2 2" xfId="6817" xr:uid="{00000000-0005-0000-0000-00003E2E0000}"/>
    <cellStyle name="Normal 5 23 3" xfId="5287" xr:uid="{00000000-0005-0000-0000-00003F2E0000}"/>
    <cellStyle name="Normal 5 24" xfId="1734" xr:uid="{00000000-0005-0000-0000-0000402E0000}"/>
    <cellStyle name="Normal 5 24 2" xfId="3744" xr:uid="{00000000-0005-0000-0000-0000412E0000}"/>
    <cellStyle name="Normal 5 24 2 2" xfId="6818" xr:uid="{00000000-0005-0000-0000-0000422E0000}"/>
    <cellStyle name="Normal 5 24 3" xfId="5288" xr:uid="{00000000-0005-0000-0000-0000432E0000}"/>
    <cellStyle name="Normal 5 25" xfId="1735" xr:uid="{00000000-0005-0000-0000-0000442E0000}"/>
    <cellStyle name="Normal 5 25 2" xfId="3745" xr:uid="{00000000-0005-0000-0000-0000452E0000}"/>
    <cellStyle name="Normal 5 25 2 2" xfId="6819" xr:uid="{00000000-0005-0000-0000-0000462E0000}"/>
    <cellStyle name="Normal 5 25 3" xfId="5289" xr:uid="{00000000-0005-0000-0000-0000472E0000}"/>
    <cellStyle name="Normal 5 26" xfId="1736" xr:uid="{00000000-0005-0000-0000-0000482E0000}"/>
    <cellStyle name="Normal 5 26 2" xfId="3746" xr:uid="{00000000-0005-0000-0000-0000492E0000}"/>
    <cellStyle name="Normal 5 26 2 2" xfId="6820" xr:uid="{00000000-0005-0000-0000-00004A2E0000}"/>
    <cellStyle name="Normal 5 26 3" xfId="5290" xr:uid="{00000000-0005-0000-0000-00004B2E0000}"/>
    <cellStyle name="Normal 5 27" xfId="1737" xr:uid="{00000000-0005-0000-0000-00004C2E0000}"/>
    <cellStyle name="Normal 5 27 2" xfId="3747" xr:uid="{00000000-0005-0000-0000-00004D2E0000}"/>
    <cellStyle name="Normal 5 27 2 2" xfId="6821" xr:uid="{00000000-0005-0000-0000-00004E2E0000}"/>
    <cellStyle name="Normal 5 27 3" xfId="5291" xr:uid="{00000000-0005-0000-0000-00004F2E0000}"/>
    <cellStyle name="Normal 5 28" xfId="1738" xr:uid="{00000000-0005-0000-0000-0000502E0000}"/>
    <cellStyle name="Normal 5 28 2" xfId="3748" xr:uid="{00000000-0005-0000-0000-0000512E0000}"/>
    <cellStyle name="Normal 5 28 2 2" xfId="6822" xr:uid="{00000000-0005-0000-0000-0000522E0000}"/>
    <cellStyle name="Normal 5 28 3" xfId="5292" xr:uid="{00000000-0005-0000-0000-0000532E0000}"/>
    <cellStyle name="Normal 5 29" xfId="1739" xr:uid="{00000000-0005-0000-0000-0000542E0000}"/>
    <cellStyle name="Normal 5 29 2" xfId="3749" xr:uid="{00000000-0005-0000-0000-0000552E0000}"/>
    <cellStyle name="Normal 5 29 2 2" xfId="6823" xr:uid="{00000000-0005-0000-0000-0000562E0000}"/>
    <cellStyle name="Normal 5 29 3" xfId="5293" xr:uid="{00000000-0005-0000-0000-0000572E0000}"/>
    <cellStyle name="Normal 5 3" xfId="1740" xr:uid="{00000000-0005-0000-0000-0000582E0000}"/>
    <cellStyle name="Normal 5 3 10" xfId="1741" xr:uid="{00000000-0005-0000-0000-0000592E0000}"/>
    <cellStyle name="Normal 5 3 10 2" xfId="3751" xr:uid="{00000000-0005-0000-0000-00005A2E0000}"/>
    <cellStyle name="Normal 5 3 10 2 2" xfId="6825" xr:uid="{00000000-0005-0000-0000-00005B2E0000}"/>
    <cellStyle name="Normal 5 3 10 3" xfId="5295" xr:uid="{00000000-0005-0000-0000-00005C2E0000}"/>
    <cellStyle name="Normal 5 3 11" xfId="1742" xr:uid="{00000000-0005-0000-0000-00005D2E0000}"/>
    <cellStyle name="Normal 5 3 11 2" xfId="3752" xr:uid="{00000000-0005-0000-0000-00005E2E0000}"/>
    <cellStyle name="Normal 5 3 11 2 2" xfId="6826" xr:uid="{00000000-0005-0000-0000-00005F2E0000}"/>
    <cellStyle name="Normal 5 3 11 3" xfId="5296" xr:uid="{00000000-0005-0000-0000-0000602E0000}"/>
    <cellStyle name="Normal 5 3 12" xfId="1743" xr:uid="{00000000-0005-0000-0000-0000612E0000}"/>
    <cellStyle name="Normal 5 3 12 2" xfId="3753" xr:uid="{00000000-0005-0000-0000-0000622E0000}"/>
    <cellStyle name="Normal 5 3 12 2 2" xfId="6827" xr:uid="{00000000-0005-0000-0000-0000632E0000}"/>
    <cellStyle name="Normal 5 3 12 3" xfId="5297" xr:uid="{00000000-0005-0000-0000-0000642E0000}"/>
    <cellStyle name="Normal 5 3 13" xfId="1744" xr:uid="{00000000-0005-0000-0000-0000652E0000}"/>
    <cellStyle name="Normal 5 3 13 2" xfId="3754" xr:uid="{00000000-0005-0000-0000-0000662E0000}"/>
    <cellStyle name="Normal 5 3 13 2 2" xfId="6828" xr:uid="{00000000-0005-0000-0000-0000672E0000}"/>
    <cellStyle name="Normal 5 3 13 3" xfId="5298" xr:uid="{00000000-0005-0000-0000-0000682E0000}"/>
    <cellStyle name="Normal 5 3 14" xfId="1745" xr:uid="{00000000-0005-0000-0000-0000692E0000}"/>
    <cellStyle name="Normal 5 3 14 2" xfId="3755" xr:uid="{00000000-0005-0000-0000-00006A2E0000}"/>
    <cellStyle name="Normal 5 3 14 2 2" xfId="6829" xr:uid="{00000000-0005-0000-0000-00006B2E0000}"/>
    <cellStyle name="Normal 5 3 14 3" xfId="5299" xr:uid="{00000000-0005-0000-0000-00006C2E0000}"/>
    <cellStyle name="Normal 5 3 15" xfId="1746" xr:uid="{00000000-0005-0000-0000-00006D2E0000}"/>
    <cellStyle name="Normal 5 3 15 2" xfId="3756" xr:uid="{00000000-0005-0000-0000-00006E2E0000}"/>
    <cellStyle name="Normal 5 3 15 2 2" xfId="6830" xr:uid="{00000000-0005-0000-0000-00006F2E0000}"/>
    <cellStyle name="Normal 5 3 15 3" xfId="5300" xr:uid="{00000000-0005-0000-0000-0000702E0000}"/>
    <cellStyle name="Normal 5 3 16" xfId="1747" xr:uid="{00000000-0005-0000-0000-0000712E0000}"/>
    <cellStyle name="Normal 5 3 16 2" xfId="3757" xr:uid="{00000000-0005-0000-0000-0000722E0000}"/>
    <cellStyle name="Normal 5 3 16 2 2" xfId="6831" xr:uid="{00000000-0005-0000-0000-0000732E0000}"/>
    <cellStyle name="Normal 5 3 16 3" xfId="5301" xr:uid="{00000000-0005-0000-0000-0000742E0000}"/>
    <cellStyle name="Normal 5 3 17" xfId="1748" xr:uid="{00000000-0005-0000-0000-0000752E0000}"/>
    <cellStyle name="Normal 5 3 17 2" xfId="3758" xr:uid="{00000000-0005-0000-0000-0000762E0000}"/>
    <cellStyle name="Normal 5 3 17 2 2" xfId="6832" xr:uid="{00000000-0005-0000-0000-0000772E0000}"/>
    <cellStyle name="Normal 5 3 17 3" xfId="5302" xr:uid="{00000000-0005-0000-0000-0000782E0000}"/>
    <cellStyle name="Normal 5 3 18" xfId="1749" xr:uid="{00000000-0005-0000-0000-0000792E0000}"/>
    <cellStyle name="Normal 5 3 18 2" xfId="3759" xr:uid="{00000000-0005-0000-0000-00007A2E0000}"/>
    <cellStyle name="Normal 5 3 18 2 2" xfId="6833" xr:uid="{00000000-0005-0000-0000-00007B2E0000}"/>
    <cellStyle name="Normal 5 3 18 3" xfId="5303" xr:uid="{00000000-0005-0000-0000-00007C2E0000}"/>
    <cellStyle name="Normal 5 3 19" xfId="1750" xr:uid="{00000000-0005-0000-0000-00007D2E0000}"/>
    <cellStyle name="Normal 5 3 19 2" xfId="3760" xr:uid="{00000000-0005-0000-0000-00007E2E0000}"/>
    <cellStyle name="Normal 5 3 19 2 2" xfId="6834" xr:uid="{00000000-0005-0000-0000-00007F2E0000}"/>
    <cellStyle name="Normal 5 3 19 3" xfId="5304" xr:uid="{00000000-0005-0000-0000-0000802E0000}"/>
    <cellStyle name="Normal 5 3 2" xfId="1751" xr:uid="{00000000-0005-0000-0000-0000812E0000}"/>
    <cellStyle name="Normal 5 3 2 2" xfId="1752" xr:uid="{00000000-0005-0000-0000-0000822E0000}"/>
    <cellStyle name="Normal 5 3 2 2 2" xfId="3762" xr:uid="{00000000-0005-0000-0000-0000832E0000}"/>
    <cellStyle name="Normal 5 3 2 2 2 2" xfId="6836" xr:uid="{00000000-0005-0000-0000-0000842E0000}"/>
    <cellStyle name="Normal 5 3 2 2 3" xfId="5306" xr:uid="{00000000-0005-0000-0000-0000852E0000}"/>
    <cellStyle name="Normal 5 3 2 3" xfId="3761" xr:uid="{00000000-0005-0000-0000-0000862E0000}"/>
    <cellStyle name="Normal 5 3 2 3 2" xfId="6835" xr:uid="{00000000-0005-0000-0000-0000872E0000}"/>
    <cellStyle name="Normal 5 3 2 4" xfId="5305" xr:uid="{00000000-0005-0000-0000-0000882E0000}"/>
    <cellStyle name="Normal 5 3 20" xfId="1753" xr:uid="{00000000-0005-0000-0000-0000892E0000}"/>
    <cellStyle name="Normal 5 3 20 2" xfId="3763" xr:uid="{00000000-0005-0000-0000-00008A2E0000}"/>
    <cellStyle name="Normal 5 3 20 2 2" xfId="6837" xr:uid="{00000000-0005-0000-0000-00008B2E0000}"/>
    <cellStyle name="Normal 5 3 20 3" xfId="5307" xr:uid="{00000000-0005-0000-0000-00008C2E0000}"/>
    <cellStyle name="Normal 5 3 21" xfId="1754" xr:uid="{00000000-0005-0000-0000-00008D2E0000}"/>
    <cellStyle name="Normal 5 3 21 2" xfId="3764" xr:uid="{00000000-0005-0000-0000-00008E2E0000}"/>
    <cellStyle name="Normal 5 3 21 2 2" xfId="6838" xr:uid="{00000000-0005-0000-0000-00008F2E0000}"/>
    <cellStyle name="Normal 5 3 21 3" xfId="5308" xr:uid="{00000000-0005-0000-0000-0000902E0000}"/>
    <cellStyle name="Normal 5 3 22" xfId="1755" xr:uid="{00000000-0005-0000-0000-0000912E0000}"/>
    <cellStyle name="Normal 5 3 22 2" xfId="3765" xr:uid="{00000000-0005-0000-0000-0000922E0000}"/>
    <cellStyle name="Normal 5 3 22 2 2" xfId="6839" xr:uid="{00000000-0005-0000-0000-0000932E0000}"/>
    <cellStyle name="Normal 5 3 22 3" xfId="5309" xr:uid="{00000000-0005-0000-0000-0000942E0000}"/>
    <cellStyle name="Normal 5 3 23" xfId="1756" xr:uid="{00000000-0005-0000-0000-0000952E0000}"/>
    <cellStyle name="Normal 5 3 23 2" xfId="3766" xr:uid="{00000000-0005-0000-0000-0000962E0000}"/>
    <cellStyle name="Normal 5 3 23 2 2" xfId="6840" xr:uid="{00000000-0005-0000-0000-0000972E0000}"/>
    <cellStyle name="Normal 5 3 23 3" xfId="5310" xr:uid="{00000000-0005-0000-0000-0000982E0000}"/>
    <cellStyle name="Normal 5 3 24" xfId="1757" xr:uid="{00000000-0005-0000-0000-0000992E0000}"/>
    <cellStyle name="Normal 5 3 24 2" xfId="3767" xr:uid="{00000000-0005-0000-0000-00009A2E0000}"/>
    <cellStyle name="Normal 5 3 24 2 2" xfId="6841" xr:uid="{00000000-0005-0000-0000-00009B2E0000}"/>
    <cellStyle name="Normal 5 3 24 3" xfId="5311" xr:uid="{00000000-0005-0000-0000-00009C2E0000}"/>
    <cellStyle name="Normal 5 3 25" xfId="1758" xr:uid="{00000000-0005-0000-0000-00009D2E0000}"/>
    <cellStyle name="Normal 5 3 25 2" xfId="3768" xr:uid="{00000000-0005-0000-0000-00009E2E0000}"/>
    <cellStyle name="Normal 5 3 25 2 2" xfId="6842" xr:uid="{00000000-0005-0000-0000-00009F2E0000}"/>
    <cellStyle name="Normal 5 3 25 3" xfId="5312" xr:uid="{00000000-0005-0000-0000-0000A02E0000}"/>
    <cellStyle name="Normal 5 3 26" xfId="1759" xr:uid="{00000000-0005-0000-0000-0000A12E0000}"/>
    <cellStyle name="Normal 5 3 26 2" xfId="3769" xr:uid="{00000000-0005-0000-0000-0000A22E0000}"/>
    <cellStyle name="Normal 5 3 26 2 2" xfId="6843" xr:uid="{00000000-0005-0000-0000-0000A32E0000}"/>
    <cellStyle name="Normal 5 3 26 3" xfId="5313" xr:uid="{00000000-0005-0000-0000-0000A42E0000}"/>
    <cellStyle name="Normal 5 3 27" xfId="1760" xr:uid="{00000000-0005-0000-0000-0000A52E0000}"/>
    <cellStyle name="Normal 5 3 27 2" xfId="3770" xr:uid="{00000000-0005-0000-0000-0000A62E0000}"/>
    <cellStyle name="Normal 5 3 27 2 2" xfId="6844" xr:uid="{00000000-0005-0000-0000-0000A72E0000}"/>
    <cellStyle name="Normal 5 3 27 3" xfId="5314" xr:uid="{00000000-0005-0000-0000-0000A82E0000}"/>
    <cellStyle name="Normal 5 3 28" xfId="1761" xr:uid="{00000000-0005-0000-0000-0000A92E0000}"/>
    <cellStyle name="Normal 5 3 28 2" xfId="3771" xr:uid="{00000000-0005-0000-0000-0000AA2E0000}"/>
    <cellStyle name="Normal 5 3 28 2 2" xfId="6845" xr:uid="{00000000-0005-0000-0000-0000AB2E0000}"/>
    <cellStyle name="Normal 5 3 28 3" xfId="5315" xr:uid="{00000000-0005-0000-0000-0000AC2E0000}"/>
    <cellStyle name="Normal 5 3 29" xfId="1762" xr:uid="{00000000-0005-0000-0000-0000AD2E0000}"/>
    <cellStyle name="Normal 5 3 29 2" xfId="3772" xr:uid="{00000000-0005-0000-0000-0000AE2E0000}"/>
    <cellStyle name="Normal 5 3 29 2 2" xfId="6846" xr:uid="{00000000-0005-0000-0000-0000AF2E0000}"/>
    <cellStyle name="Normal 5 3 29 3" xfId="5316" xr:uid="{00000000-0005-0000-0000-0000B02E0000}"/>
    <cellStyle name="Normal 5 3 3" xfId="1763" xr:uid="{00000000-0005-0000-0000-0000B12E0000}"/>
    <cellStyle name="Normal 5 3 3 2" xfId="3773" xr:uid="{00000000-0005-0000-0000-0000B22E0000}"/>
    <cellStyle name="Normal 5 3 3 2 2" xfId="6847" xr:uid="{00000000-0005-0000-0000-0000B32E0000}"/>
    <cellStyle name="Normal 5 3 3 3" xfId="5317" xr:uid="{00000000-0005-0000-0000-0000B42E0000}"/>
    <cellStyle name="Normal 5 3 30" xfId="1764" xr:uid="{00000000-0005-0000-0000-0000B52E0000}"/>
    <cellStyle name="Normal 5 3 30 2" xfId="3774" xr:uid="{00000000-0005-0000-0000-0000B62E0000}"/>
    <cellStyle name="Normal 5 3 30 2 2" xfId="6848" xr:uid="{00000000-0005-0000-0000-0000B72E0000}"/>
    <cellStyle name="Normal 5 3 30 3" xfId="5318" xr:uid="{00000000-0005-0000-0000-0000B82E0000}"/>
    <cellStyle name="Normal 5 3 31" xfId="1765" xr:uid="{00000000-0005-0000-0000-0000B92E0000}"/>
    <cellStyle name="Normal 5 3 31 2" xfId="3775" xr:uid="{00000000-0005-0000-0000-0000BA2E0000}"/>
    <cellStyle name="Normal 5 3 31 2 2" xfId="6849" xr:uid="{00000000-0005-0000-0000-0000BB2E0000}"/>
    <cellStyle name="Normal 5 3 31 3" xfId="5319" xr:uid="{00000000-0005-0000-0000-0000BC2E0000}"/>
    <cellStyle name="Normal 5 3 32" xfId="1766" xr:uid="{00000000-0005-0000-0000-0000BD2E0000}"/>
    <cellStyle name="Normal 5 3 32 2" xfId="3776" xr:uid="{00000000-0005-0000-0000-0000BE2E0000}"/>
    <cellStyle name="Normal 5 3 32 2 2" xfId="6850" xr:uid="{00000000-0005-0000-0000-0000BF2E0000}"/>
    <cellStyle name="Normal 5 3 32 3" xfId="5320" xr:uid="{00000000-0005-0000-0000-0000C02E0000}"/>
    <cellStyle name="Normal 5 3 33" xfId="1767" xr:uid="{00000000-0005-0000-0000-0000C12E0000}"/>
    <cellStyle name="Normal 5 3 33 2" xfId="3777" xr:uid="{00000000-0005-0000-0000-0000C22E0000}"/>
    <cellStyle name="Normal 5 3 33 2 2" xfId="6851" xr:uid="{00000000-0005-0000-0000-0000C32E0000}"/>
    <cellStyle name="Normal 5 3 33 3" xfId="5321" xr:uid="{00000000-0005-0000-0000-0000C42E0000}"/>
    <cellStyle name="Normal 5 3 34" xfId="1768" xr:uid="{00000000-0005-0000-0000-0000C52E0000}"/>
    <cellStyle name="Normal 5 3 34 2" xfId="3778" xr:uid="{00000000-0005-0000-0000-0000C62E0000}"/>
    <cellStyle name="Normal 5 3 34 2 2" xfId="6852" xr:uid="{00000000-0005-0000-0000-0000C72E0000}"/>
    <cellStyle name="Normal 5 3 34 3" xfId="5322" xr:uid="{00000000-0005-0000-0000-0000C82E0000}"/>
    <cellStyle name="Normal 5 3 35" xfId="1769" xr:uid="{00000000-0005-0000-0000-0000C92E0000}"/>
    <cellStyle name="Normal 5 3 35 2" xfId="3779" xr:uid="{00000000-0005-0000-0000-0000CA2E0000}"/>
    <cellStyle name="Normal 5 3 35 2 2" xfId="6853" xr:uid="{00000000-0005-0000-0000-0000CB2E0000}"/>
    <cellStyle name="Normal 5 3 35 3" xfId="5323" xr:uid="{00000000-0005-0000-0000-0000CC2E0000}"/>
    <cellStyle name="Normal 5 3 36" xfId="1770" xr:uid="{00000000-0005-0000-0000-0000CD2E0000}"/>
    <cellStyle name="Normal 5 3 36 2" xfId="3780" xr:uid="{00000000-0005-0000-0000-0000CE2E0000}"/>
    <cellStyle name="Normal 5 3 36 2 2" xfId="6854" xr:uid="{00000000-0005-0000-0000-0000CF2E0000}"/>
    <cellStyle name="Normal 5 3 36 3" xfId="5324" xr:uid="{00000000-0005-0000-0000-0000D02E0000}"/>
    <cellStyle name="Normal 5 3 37" xfId="1771" xr:uid="{00000000-0005-0000-0000-0000D12E0000}"/>
    <cellStyle name="Normal 5 3 37 2" xfId="3781" xr:uid="{00000000-0005-0000-0000-0000D22E0000}"/>
    <cellStyle name="Normal 5 3 37 2 2" xfId="6855" xr:uid="{00000000-0005-0000-0000-0000D32E0000}"/>
    <cellStyle name="Normal 5 3 37 3" xfId="5325" xr:uid="{00000000-0005-0000-0000-0000D42E0000}"/>
    <cellStyle name="Normal 5 3 38" xfId="1772" xr:uid="{00000000-0005-0000-0000-0000D52E0000}"/>
    <cellStyle name="Normal 5 3 38 2" xfId="3782" xr:uid="{00000000-0005-0000-0000-0000D62E0000}"/>
    <cellStyle name="Normal 5 3 38 2 2" xfId="6856" xr:uid="{00000000-0005-0000-0000-0000D72E0000}"/>
    <cellStyle name="Normal 5 3 38 3" xfId="5326" xr:uid="{00000000-0005-0000-0000-0000D82E0000}"/>
    <cellStyle name="Normal 5 3 39" xfId="1773" xr:uid="{00000000-0005-0000-0000-0000D92E0000}"/>
    <cellStyle name="Normal 5 3 39 2" xfId="3783" xr:uid="{00000000-0005-0000-0000-0000DA2E0000}"/>
    <cellStyle name="Normal 5 3 39 2 2" xfId="6857" xr:uid="{00000000-0005-0000-0000-0000DB2E0000}"/>
    <cellStyle name="Normal 5 3 39 3" xfId="5327" xr:uid="{00000000-0005-0000-0000-0000DC2E0000}"/>
    <cellStyle name="Normal 5 3 4" xfId="1774" xr:uid="{00000000-0005-0000-0000-0000DD2E0000}"/>
    <cellStyle name="Normal 5 3 4 2" xfId="3784" xr:uid="{00000000-0005-0000-0000-0000DE2E0000}"/>
    <cellStyle name="Normal 5 3 4 2 2" xfId="6858" xr:uid="{00000000-0005-0000-0000-0000DF2E0000}"/>
    <cellStyle name="Normal 5 3 4 3" xfId="5328" xr:uid="{00000000-0005-0000-0000-0000E02E0000}"/>
    <cellStyle name="Normal 5 3 40" xfId="1775" xr:uid="{00000000-0005-0000-0000-0000E12E0000}"/>
    <cellStyle name="Normal 5 3 40 2" xfId="3785" xr:uid="{00000000-0005-0000-0000-0000E22E0000}"/>
    <cellStyle name="Normal 5 3 40 2 2" xfId="6859" xr:uid="{00000000-0005-0000-0000-0000E32E0000}"/>
    <cellStyle name="Normal 5 3 40 3" xfId="5329" xr:uid="{00000000-0005-0000-0000-0000E42E0000}"/>
    <cellStyle name="Normal 5 3 41" xfId="1776" xr:uid="{00000000-0005-0000-0000-0000E52E0000}"/>
    <cellStyle name="Normal 5 3 41 2" xfId="3786" xr:uid="{00000000-0005-0000-0000-0000E62E0000}"/>
    <cellStyle name="Normal 5 3 41 2 2" xfId="6860" xr:uid="{00000000-0005-0000-0000-0000E72E0000}"/>
    <cellStyle name="Normal 5 3 41 3" xfId="5330" xr:uid="{00000000-0005-0000-0000-0000E82E0000}"/>
    <cellStyle name="Normal 5 3 42" xfId="1777" xr:uid="{00000000-0005-0000-0000-0000E92E0000}"/>
    <cellStyle name="Normal 5 3 42 2" xfId="3787" xr:uid="{00000000-0005-0000-0000-0000EA2E0000}"/>
    <cellStyle name="Normal 5 3 42 2 2" xfId="6861" xr:uid="{00000000-0005-0000-0000-0000EB2E0000}"/>
    <cellStyle name="Normal 5 3 42 3" xfId="5331" xr:uid="{00000000-0005-0000-0000-0000EC2E0000}"/>
    <cellStyle name="Normal 5 3 43" xfId="1778" xr:uid="{00000000-0005-0000-0000-0000ED2E0000}"/>
    <cellStyle name="Normal 5 3 43 2" xfId="3788" xr:uid="{00000000-0005-0000-0000-0000EE2E0000}"/>
    <cellStyle name="Normal 5 3 43 2 2" xfId="6862" xr:uid="{00000000-0005-0000-0000-0000EF2E0000}"/>
    <cellStyle name="Normal 5 3 43 3" xfId="5332" xr:uid="{00000000-0005-0000-0000-0000F02E0000}"/>
    <cellStyle name="Normal 5 3 44" xfId="1779" xr:uid="{00000000-0005-0000-0000-0000F12E0000}"/>
    <cellStyle name="Normal 5 3 44 2" xfId="3789" xr:uid="{00000000-0005-0000-0000-0000F22E0000}"/>
    <cellStyle name="Normal 5 3 44 2 2" xfId="6863" xr:uid="{00000000-0005-0000-0000-0000F32E0000}"/>
    <cellStyle name="Normal 5 3 44 3" xfId="5333" xr:uid="{00000000-0005-0000-0000-0000F42E0000}"/>
    <cellStyle name="Normal 5 3 45" xfId="3750" xr:uid="{00000000-0005-0000-0000-0000F52E0000}"/>
    <cellStyle name="Normal 5 3 45 2" xfId="6824" xr:uid="{00000000-0005-0000-0000-0000F62E0000}"/>
    <cellStyle name="Normal 5 3 46" xfId="5294" xr:uid="{00000000-0005-0000-0000-0000F72E0000}"/>
    <cellStyle name="Normal 5 3 5" xfId="1780" xr:uid="{00000000-0005-0000-0000-0000F82E0000}"/>
    <cellStyle name="Normal 5 3 5 2" xfId="3790" xr:uid="{00000000-0005-0000-0000-0000F92E0000}"/>
    <cellStyle name="Normal 5 3 5 2 2" xfId="6864" xr:uid="{00000000-0005-0000-0000-0000FA2E0000}"/>
    <cellStyle name="Normal 5 3 5 3" xfId="5334" xr:uid="{00000000-0005-0000-0000-0000FB2E0000}"/>
    <cellStyle name="Normal 5 3 6" xfId="1781" xr:uid="{00000000-0005-0000-0000-0000FC2E0000}"/>
    <cellStyle name="Normal 5 3 6 2" xfId="3791" xr:uid="{00000000-0005-0000-0000-0000FD2E0000}"/>
    <cellStyle name="Normal 5 3 6 2 2" xfId="6865" xr:uid="{00000000-0005-0000-0000-0000FE2E0000}"/>
    <cellStyle name="Normal 5 3 6 3" xfId="5335" xr:uid="{00000000-0005-0000-0000-0000FF2E0000}"/>
    <cellStyle name="Normal 5 3 7" xfId="1782" xr:uid="{00000000-0005-0000-0000-0000002F0000}"/>
    <cellStyle name="Normal 5 3 7 2" xfId="3792" xr:uid="{00000000-0005-0000-0000-0000012F0000}"/>
    <cellStyle name="Normal 5 3 7 2 2" xfId="6866" xr:uid="{00000000-0005-0000-0000-0000022F0000}"/>
    <cellStyle name="Normal 5 3 7 3" xfId="5336" xr:uid="{00000000-0005-0000-0000-0000032F0000}"/>
    <cellStyle name="Normal 5 3 8" xfId="1783" xr:uid="{00000000-0005-0000-0000-0000042F0000}"/>
    <cellStyle name="Normal 5 3 8 2" xfId="3793" xr:uid="{00000000-0005-0000-0000-0000052F0000}"/>
    <cellStyle name="Normal 5 3 8 2 2" xfId="6867" xr:uid="{00000000-0005-0000-0000-0000062F0000}"/>
    <cellStyle name="Normal 5 3 8 3" xfId="5337" xr:uid="{00000000-0005-0000-0000-0000072F0000}"/>
    <cellStyle name="Normal 5 3 9" xfId="1784" xr:uid="{00000000-0005-0000-0000-0000082F0000}"/>
    <cellStyle name="Normal 5 3 9 2" xfId="3794" xr:uid="{00000000-0005-0000-0000-0000092F0000}"/>
    <cellStyle name="Normal 5 3 9 2 2" xfId="6868" xr:uid="{00000000-0005-0000-0000-00000A2F0000}"/>
    <cellStyle name="Normal 5 3 9 3" xfId="5338" xr:uid="{00000000-0005-0000-0000-00000B2F0000}"/>
    <cellStyle name="Normal 5 30" xfId="1785" xr:uid="{00000000-0005-0000-0000-00000C2F0000}"/>
    <cellStyle name="Normal 5 30 2" xfId="3795" xr:uid="{00000000-0005-0000-0000-00000D2F0000}"/>
    <cellStyle name="Normal 5 30 2 2" xfId="6869" xr:uid="{00000000-0005-0000-0000-00000E2F0000}"/>
    <cellStyle name="Normal 5 30 3" xfId="5339" xr:uid="{00000000-0005-0000-0000-00000F2F0000}"/>
    <cellStyle name="Normal 5 31" xfId="1786" xr:uid="{00000000-0005-0000-0000-0000102F0000}"/>
    <cellStyle name="Normal 5 31 2" xfId="3796" xr:uid="{00000000-0005-0000-0000-0000112F0000}"/>
    <cellStyle name="Normal 5 31 2 2" xfId="6870" xr:uid="{00000000-0005-0000-0000-0000122F0000}"/>
    <cellStyle name="Normal 5 31 3" xfId="5340" xr:uid="{00000000-0005-0000-0000-0000132F0000}"/>
    <cellStyle name="Normal 5 32" xfId="1787" xr:uid="{00000000-0005-0000-0000-0000142F0000}"/>
    <cellStyle name="Normal 5 32 2" xfId="3797" xr:uid="{00000000-0005-0000-0000-0000152F0000}"/>
    <cellStyle name="Normal 5 32 2 2" xfId="6871" xr:uid="{00000000-0005-0000-0000-0000162F0000}"/>
    <cellStyle name="Normal 5 32 3" xfId="5341" xr:uid="{00000000-0005-0000-0000-0000172F0000}"/>
    <cellStyle name="Normal 5 33" xfId="1788" xr:uid="{00000000-0005-0000-0000-0000182F0000}"/>
    <cellStyle name="Normal 5 33 2" xfId="3798" xr:uid="{00000000-0005-0000-0000-0000192F0000}"/>
    <cellStyle name="Normal 5 33 2 2" xfId="6872" xr:uid="{00000000-0005-0000-0000-00001A2F0000}"/>
    <cellStyle name="Normal 5 33 3" xfId="5342" xr:uid="{00000000-0005-0000-0000-00001B2F0000}"/>
    <cellStyle name="Normal 5 34" xfId="1789" xr:uid="{00000000-0005-0000-0000-00001C2F0000}"/>
    <cellStyle name="Normal 5 34 2" xfId="3799" xr:uid="{00000000-0005-0000-0000-00001D2F0000}"/>
    <cellStyle name="Normal 5 34 2 2" xfId="6873" xr:uid="{00000000-0005-0000-0000-00001E2F0000}"/>
    <cellStyle name="Normal 5 34 3" xfId="5343" xr:uid="{00000000-0005-0000-0000-00001F2F0000}"/>
    <cellStyle name="Normal 5 35" xfId="1790" xr:uid="{00000000-0005-0000-0000-0000202F0000}"/>
    <cellStyle name="Normal 5 35 2" xfId="3800" xr:uid="{00000000-0005-0000-0000-0000212F0000}"/>
    <cellStyle name="Normal 5 35 2 2" xfId="6874" xr:uid="{00000000-0005-0000-0000-0000222F0000}"/>
    <cellStyle name="Normal 5 35 3" xfId="5344" xr:uid="{00000000-0005-0000-0000-0000232F0000}"/>
    <cellStyle name="Normal 5 36" xfId="1791" xr:uid="{00000000-0005-0000-0000-0000242F0000}"/>
    <cellStyle name="Normal 5 36 2" xfId="3801" xr:uid="{00000000-0005-0000-0000-0000252F0000}"/>
    <cellStyle name="Normal 5 36 2 2" xfId="6875" xr:uid="{00000000-0005-0000-0000-0000262F0000}"/>
    <cellStyle name="Normal 5 36 3" xfId="5345" xr:uid="{00000000-0005-0000-0000-0000272F0000}"/>
    <cellStyle name="Normal 5 37" xfId="1792" xr:uid="{00000000-0005-0000-0000-0000282F0000}"/>
    <cellStyle name="Normal 5 37 2" xfId="3802" xr:uid="{00000000-0005-0000-0000-0000292F0000}"/>
    <cellStyle name="Normal 5 37 2 2" xfId="6876" xr:uid="{00000000-0005-0000-0000-00002A2F0000}"/>
    <cellStyle name="Normal 5 37 3" xfId="5346" xr:uid="{00000000-0005-0000-0000-00002B2F0000}"/>
    <cellStyle name="Normal 5 38" xfId="1793" xr:uid="{00000000-0005-0000-0000-00002C2F0000}"/>
    <cellStyle name="Normal 5 38 2" xfId="3803" xr:uid="{00000000-0005-0000-0000-00002D2F0000}"/>
    <cellStyle name="Normal 5 38 2 2" xfId="6877" xr:uid="{00000000-0005-0000-0000-00002E2F0000}"/>
    <cellStyle name="Normal 5 38 3" xfId="5347" xr:uid="{00000000-0005-0000-0000-00002F2F0000}"/>
    <cellStyle name="Normal 5 39" xfId="1794" xr:uid="{00000000-0005-0000-0000-0000302F0000}"/>
    <cellStyle name="Normal 5 39 2" xfId="3804" xr:uid="{00000000-0005-0000-0000-0000312F0000}"/>
    <cellStyle name="Normal 5 39 2 2" xfId="6878" xr:uid="{00000000-0005-0000-0000-0000322F0000}"/>
    <cellStyle name="Normal 5 39 3" xfId="5348" xr:uid="{00000000-0005-0000-0000-0000332F0000}"/>
    <cellStyle name="Normal 5 4" xfId="1795" xr:uid="{00000000-0005-0000-0000-0000342F0000}"/>
    <cellStyle name="Normal 5 4 10" xfId="1796" xr:uid="{00000000-0005-0000-0000-0000352F0000}"/>
    <cellStyle name="Normal 5 4 10 2" xfId="3806" xr:uid="{00000000-0005-0000-0000-0000362F0000}"/>
    <cellStyle name="Normal 5 4 10 2 2" xfId="6880" xr:uid="{00000000-0005-0000-0000-0000372F0000}"/>
    <cellStyle name="Normal 5 4 10 3" xfId="5350" xr:uid="{00000000-0005-0000-0000-0000382F0000}"/>
    <cellStyle name="Normal 5 4 11" xfId="1797" xr:uid="{00000000-0005-0000-0000-0000392F0000}"/>
    <cellStyle name="Normal 5 4 11 2" xfId="3807" xr:uid="{00000000-0005-0000-0000-00003A2F0000}"/>
    <cellStyle name="Normal 5 4 11 2 2" xfId="6881" xr:uid="{00000000-0005-0000-0000-00003B2F0000}"/>
    <cellStyle name="Normal 5 4 11 3" xfId="5351" xr:uid="{00000000-0005-0000-0000-00003C2F0000}"/>
    <cellStyle name="Normal 5 4 12" xfId="1798" xr:uid="{00000000-0005-0000-0000-00003D2F0000}"/>
    <cellStyle name="Normal 5 4 12 2" xfId="3808" xr:uid="{00000000-0005-0000-0000-00003E2F0000}"/>
    <cellStyle name="Normal 5 4 12 2 2" xfId="6882" xr:uid="{00000000-0005-0000-0000-00003F2F0000}"/>
    <cellStyle name="Normal 5 4 12 3" xfId="5352" xr:uid="{00000000-0005-0000-0000-0000402F0000}"/>
    <cellStyle name="Normal 5 4 13" xfId="1799" xr:uid="{00000000-0005-0000-0000-0000412F0000}"/>
    <cellStyle name="Normal 5 4 13 2" xfId="3809" xr:uid="{00000000-0005-0000-0000-0000422F0000}"/>
    <cellStyle name="Normal 5 4 13 2 2" xfId="6883" xr:uid="{00000000-0005-0000-0000-0000432F0000}"/>
    <cellStyle name="Normal 5 4 13 3" xfId="5353" xr:uid="{00000000-0005-0000-0000-0000442F0000}"/>
    <cellStyle name="Normal 5 4 14" xfId="1800" xr:uid="{00000000-0005-0000-0000-0000452F0000}"/>
    <cellStyle name="Normal 5 4 14 2" xfId="3810" xr:uid="{00000000-0005-0000-0000-0000462F0000}"/>
    <cellStyle name="Normal 5 4 14 2 2" xfId="6884" xr:uid="{00000000-0005-0000-0000-0000472F0000}"/>
    <cellStyle name="Normal 5 4 14 3" xfId="5354" xr:uid="{00000000-0005-0000-0000-0000482F0000}"/>
    <cellStyle name="Normal 5 4 15" xfId="1801" xr:uid="{00000000-0005-0000-0000-0000492F0000}"/>
    <cellStyle name="Normal 5 4 15 2" xfId="3811" xr:uid="{00000000-0005-0000-0000-00004A2F0000}"/>
    <cellStyle name="Normal 5 4 15 2 2" xfId="6885" xr:uid="{00000000-0005-0000-0000-00004B2F0000}"/>
    <cellStyle name="Normal 5 4 15 3" xfId="5355" xr:uid="{00000000-0005-0000-0000-00004C2F0000}"/>
    <cellStyle name="Normal 5 4 16" xfId="1802" xr:uid="{00000000-0005-0000-0000-00004D2F0000}"/>
    <cellStyle name="Normal 5 4 16 2" xfId="3812" xr:uid="{00000000-0005-0000-0000-00004E2F0000}"/>
    <cellStyle name="Normal 5 4 16 2 2" xfId="6886" xr:uid="{00000000-0005-0000-0000-00004F2F0000}"/>
    <cellStyle name="Normal 5 4 16 3" xfId="5356" xr:uid="{00000000-0005-0000-0000-0000502F0000}"/>
    <cellStyle name="Normal 5 4 17" xfId="1803" xr:uid="{00000000-0005-0000-0000-0000512F0000}"/>
    <cellStyle name="Normal 5 4 17 2" xfId="3813" xr:uid="{00000000-0005-0000-0000-0000522F0000}"/>
    <cellStyle name="Normal 5 4 17 2 2" xfId="6887" xr:uid="{00000000-0005-0000-0000-0000532F0000}"/>
    <cellStyle name="Normal 5 4 17 3" xfId="5357" xr:uid="{00000000-0005-0000-0000-0000542F0000}"/>
    <cellStyle name="Normal 5 4 18" xfId="1804" xr:uid="{00000000-0005-0000-0000-0000552F0000}"/>
    <cellStyle name="Normal 5 4 18 2" xfId="3814" xr:uid="{00000000-0005-0000-0000-0000562F0000}"/>
    <cellStyle name="Normal 5 4 18 2 2" xfId="6888" xr:uid="{00000000-0005-0000-0000-0000572F0000}"/>
    <cellStyle name="Normal 5 4 18 3" xfId="5358" xr:uid="{00000000-0005-0000-0000-0000582F0000}"/>
    <cellStyle name="Normal 5 4 19" xfId="1805" xr:uid="{00000000-0005-0000-0000-0000592F0000}"/>
    <cellStyle name="Normal 5 4 19 2" xfId="3815" xr:uid="{00000000-0005-0000-0000-00005A2F0000}"/>
    <cellStyle name="Normal 5 4 19 2 2" xfId="6889" xr:uid="{00000000-0005-0000-0000-00005B2F0000}"/>
    <cellStyle name="Normal 5 4 19 3" xfId="5359" xr:uid="{00000000-0005-0000-0000-00005C2F0000}"/>
    <cellStyle name="Normal 5 4 2" xfId="1806" xr:uid="{00000000-0005-0000-0000-00005D2F0000}"/>
    <cellStyle name="Normal 5 4 2 2" xfId="3816" xr:uid="{00000000-0005-0000-0000-00005E2F0000}"/>
    <cellStyle name="Normal 5 4 2 2 2" xfId="6890" xr:uid="{00000000-0005-0000-0000-00005F2F0000}"/>
    <cellStyle name="Normal 5 4 2 3" xfId="5360" xr:uid="{00000000-0005-0000-0000-0000602F0000}"/>
    <cellStyle name="Normal 5 4 20" xfId="1807" xr:uid="{00000000-0005-0000-0000-0000612F0000}"/>
    <cellStyle name="Normal 5 4 20 2" xfId="3817" xr:uid="{00000000-0005-0000-0000-0000622F0000}"/>
    <cellStyle name="Normal 5 4 20 2 2" xfId="6891" xr:uid="{00000000-0005-0000-0000-0000632F0000}"/>
    <cellStyle name="Normal 5 4 20 3" xfId="5361" xr:uid="{00000000-0005-0000-0000-0000642F0000}"/>
    <cellStyle name="Normal 5 4 21" xfId="1808" xr:uid="{00000000-0005-0000-0000-0000652F0000}"/>
    <cellStyle name="Normal 5 4 21 2" xfId="3818" xr:uid="{00000000-0005-0000-0000-0000662F0000}"/>
    <cellStyle name="Normal 5 4 21 2 2" xfId="6892" xr:uid="{00000000-0005-0000-0000-0000672F0000}"/>
    <cellStyle name="Normal 5 4 21 3" xfId="5362" xr:uid="{00000000-0005-0000-0000-0000682F0000}"/>
    <cellStyle name="Normal 5 4 22" xfId="1809" xr:uid="{00000000-0005-0000-0000-0000692F0000}"/>
    <cellStyle name="Normal 5 4 22 2" xfId="3819" xr:uid="{00000000-0005-0000-0000-00006A2F0000}"/>
    <cellStyle name="Normal 5 4 22 2 2" xfId="6893" xr:uid="{00000000-0005-0000-0000-00006B2F0000}"/>
    <cellStyle name="Normal 5 4 22 3" xfId="5363" xr:uid="{00000000-0005-0000-0000-00006C2F0000}"/>
    <cellStyle name="Normal 5 4 23" xfId="1810" xr:uid="{00000000-0005-0000-0000-00006D2F0000}"/>
    <cellStyle name="Normal 5 4 23 2" xfId="3820" xr:uid="{00000000-0005-0000-0000-00006E2F0000}"/>
    <cellStyle name="Normal 5 4 23 2 2" xfId="6894" xr:uid="{00000000-0005-0000-0000-00006F2F0000}"/>
    <cellStyle name="Normal 5 4 23 3" xfId="5364" xr:uid="{00000000-0005-0000-0000-0000702F0000}"/>
    <cellStyle name="Normal 5 4 24" xfId="1811" xr:uid="{00000000-0005-0000-0000-0000712F0000}"/>
    <cellStyle name="Normal 5 4 24 2" xfId="3821" xr:uid="{00000000-0005-0000-0000-0000722F0000}"/>
    <cellStyle name="Normal 5 4 24 2 2" xfId="6895" xr:uid="{00000000-0005-0000-0000-0000732F0000}"/>
    <cellStyle name="Normal 5 4 24 3" xfId="5365" xr:uid="{00000000-0005-0000-0000-0000742F0000}"/>
    <cellStyle name="Normal 5 4 25" xfId="1812" xr:uid="{00000000-0005-0000-0000-0000752F0000}"/>
    <cellStyle name="Normal 5 4 25 2" xfId="3822" xr:uid="{00000000-0005-0000-0000-0000762F0000}"/>
    <cellStyle name="Normal 5 4 25 2 2" xfId="6896" xr:uid="{00000000-0005-0000-0000-0000772F0000}"/>
    <cellStyle name="Normal 5 4 25 3" xfId="5366" xr:uid="{00000000-0005-0000-0000-0000782F0000}"/>
    <cellStyle name="Normal 5 4 26" xfId="1813" xr:uid="{00000000-0005-0000-0000-0000792F0000}"/>
    <cellStyle name="Normal 5 4 26 2" xfId="3823" xr:uid="{00000000-0005-0000-0000-00007A2F0000}"/>
    <cellStyle name="Normal 5 4 26 2 2" xfId="6897" xr:uid="{00000000-0005-0000-0000-00007B2F0000}"/>
    <cellStyle name="Normal 5 4 26 3" xfId="5367" xr:uid="{00000000-0005-0000-0000-00007C2F0000}"/>
    <cellStyle name="Normal 5 4 27" xfId="1814" xr:uid="{00000000-0005-0000-0000-00007D2F0000}"/>
    <cellStyle name="Normal 5 4 27 2" xfId="3824" xr:uid="{00000000-0005-0000-0000-00007E2F0000}"/>
    <cellStyle name="Normal 5 4 27 2 2" xfId="6898" xr:uid="{00000000-0005-0000-0000-00007F2F0000}"/>
    <cellStyle name="Normal 5 4 27 3" xfId="5368" xr:uid="{00000000-0005-0000-0000-0000802F0000}"/>
    <cellStyle name="Normal 5 4 28" xfId="1815" xr:uid="{00000000-0005-0000-0000-0000812F0000}"/>
    <cellStyle name="Normal 5 4 28 2" xfId="3825" xr:uid="{00000000-0005-0000-0000-0000822F0000}"/>
    <cellStyle name="Normal 5 4 28 2 2" xfId="6899" xr:uid="{00000000-0005-0000-0000-0000832F0000}"/>
    <cellStyle name="Normal 5 4 28 3" xfId="5369" xr:uid="{00000000-0005-0000-0000-0000842F0000}"/>
    <cellStyle name="Normal 5 4 29" xfId="1816" xr:uid="{00000000-0005-0000-0000-0000852F0000}"/>
    <cellStyle name="Normal 5 4 29 2" xfId="3826" xr:uid="{00000000-0005-0000-0000-0000862F0000}"/>
    <cellStyle name="Normal 5 4 29 2 2" xfId="6900" xr:uid="{00000000-0005-0000-0000-0000872F0000}"/>
    <cellStyle name="Normal 5 4 29 3" xfId="5370" xr:uid="{00000000-0005-0000-0000-0000882F0000}"/>
    <cellStyle name="Normal 5 4 3" xfId="1817" xr:uid="{00000000-0005-0000-0000-0000892F0000}"/>
    <cellStyle name="Normal 5 4 3 2" xfId="3827" xr:uid="{00000000-0005-0000-0000-00008A2F0000}"/>
    <cellStyle name="Normal 5 4 3 2 2" xfId="6901" xr:uid="{00000000-0005-0000-0000-00008B2F0000}"/>
    <cellStyle name="Normal 5 4 3 3" xfId="5371" xr:uid="{00000000-0005-0000-0000-00008C2F0000}"/>
    <cellStyle name="Normal 5 4 30" xfId="1818" xr:uid="{00000000-0005-0000-0000-00008D2F0000}"/>
    <cellStyle name="Normal 5 4 30 2" xfId="3828" xr:uid="{00000000-0005-0000-0000-00008E2F0000}"/>
    <cellStyle name="Normal 5 4 30 2 2" xfId="6902" xr:uid="{00000000-0005-0000-0000-00008F2F0000}"/>
    <cellStyle name="Normal 5 4 30 3" xfId="5372" xr:uid="{00000000-0005-0000-0000-0000902F0000}"/>
    <cellStyle name="Normal 5 4 31" xfId="1819" xr:uid="{00000000-0005-0000-0000-0000912F0000}"/>
    <cellStyle name="Normal 5 4 31 2" xfId="3829" xr:uid="{00000000-0005-0000-0000-0000922F0000}"/>
    <cellStyle name="Normal 5 4 31 2 2" xfId="6903" xr:uid="{00000000-0005-0000-0000-0000932F0000}"/>
    <cellStyle name="Normal 5 4 31 3" xfId="5373" xr:uid="{00000000-0005-0000-0000-0000942F0000}"/>
    <cellStyle name="Normal 5 4 32" xfId="1820" xr:uid="{00000000-0005-0000-0000-0000952F0000}"/>
    <cellStyle name="Normal 5 4 32 2" xfId="3830" xr:uid="{00000000-0005-0000-0000-0000962F0000}"/>
    <cellStyle name="Normal 5 4 32 2 2" xfId="6904" xr:uid="{00000000-0005-0000-0000-0000972F0000}"/>
    <cellStyle name="Normal 5 4 32 3" xfId="5374" xr:uid="{00000000-0005-0000-0000-0000982F0000}"/>
    <cellStyle name="Normal 5 4 33" xfId="1821" xr:uid="{00000000-0005-0000-0000-0000992F0000}"/>
    <cellStyle name="Normal 5 4 33 2" xfId="3831" xr:uid="{00000000-0005-0000-0000-00009A2F0000}"/>
    <cellStyle name="Normal 5 4 33 2 2" xfId="6905" xr:uid="{00000000-0005-0000-0000-00009B2F0000}"/>
    <cellStyle name="Normal 5 4 33 3" xfId="5375" xr:uid="{00000000-0005-0000-0000-00009C2F0000}"/>
    <cellStyle name="Normal 5 4 34" xfId="1822" xr:uid="{00000000-0005-0000-0000-00009D2F0000}"/>
    <cellStyle name="Normal 5 4 34 2" xfId="3832" xr:uid="{00000000-0005-0000-0000-00009E2F0000}"/>
    <cellStyle name="Normal 5 4 34 2 2" xfId="6906" xr:uid="{00000000-0005-0000-0000-00009F2F0000}"/>
    <cellStyle name="Normal 5 4 34 3" xfId="5376" xr:uid="{00000000-0005-0000-0000-0000A02F0000}"/>
    <cellStyle name="Normal 5 4 35" xfId="1823" xr:uid="{00000000-0005-0000-0000-0000A12F0000}"/>
    <cellStyle name="Normal 5 4 35 2" xfId="3833" xr:uid="{00000000-0005-0000-0000-0000A22F0000}"/>
    <cellStyle name="Normal 5 4 35 2 2" xfId="6907" xr:uid="{00000000-0005-0000-0000-0000A32F0000}"/>
    <cellStyle name="Normal 5 4 35 3" xfId="5377" xr:uid="{00000000-0005-0000-0000-0000A42F0000}"/>
    <cellStyle name="Normal 5 4 36" xfId="1824" xr:uid="{00000000-0005-0000-0000-0000A52F0000}"/>
    <cellStyle name="Normal 5 4 36 2" xfId="3834" xr:uid="{00000000-0005-0000-0000-0000A62F0000}"/>
    <cellStyle name="Normal 5 4 36 2 2" xfId="6908" xr:uid="{00000000-0005-0000-0000-0000A72F0000}"/>
    <cellStyle name="Normal 5 4 36 3" xfId="5378" xr:uid="{00000000-0005-0000-0000-0000A82F0000}"/>
    <cellStyle name="Normal 5 4 37" xfId="1825" xr:uid="{00000000-0005-0000-0000-0000A92F0000}"/>
    <cellStyle name="Normal 5 4 37 2" xfId="3835" xr:uid="{00000000-0005-0000-0000-0000AA2F0000}"/>
    <cellStyle name="Normal 5 4 37 2 2" xfId="6909" xr:uid="{00000000-0005-0000-0000-0000AB2F0000}"/>
    <cellStyle name="Normal 5 4 37 3" xfId="5379" xr:uid="{00000000-0005-0000-0000-0000AC2F0000}"/>
    <cellStyle name="Normal 5 4 38" xfId="1826" xr:uid="{00000000-0005-0000-0000-0000AD2F0000}"/>
    <cellStyle name="Normal 5 4 38 2" xfId="3836" xr:uid="{00000000-0005-0000-0000-0000AE2F0000}"/>
    <cellStyle name="Normal 5 4 38 2 2" xfId="6910" xr:uid="{00000000-0005-0000-0000-0000AF2F0000}"/>
    <cellStyle name="Normal 5 4 38 3" xfId="5380" xr:uid="{00000000-0005-0000-0000-0000B02F0000}"/>
    <cellStyle name="Normal 5 4 39" xfId="1827" xr:uid="{00000000-0005-0000-0000-0000B12F0000}"/>
    <cellStyle name="Normal 5 4 39 2" xfId="3837" xr:uid="{00000000-0005-0000-0000-0000B22F0000}"/>
    <cellStyle name="Normal 5 4 39 2 2" xfId="6911" xr:uid="{00000000-0005-0000-0000-0000B32F0000}"/>
    <cellStyle name="Normal 5 4 39 3" xfId="5381" xr:uid="{00000000-0005-0000-0000-0000B42F0000}"/>
    <cellStyle name="Normal 5 4 4" xfId="1828" xr:uid="{00000000-0005-0000-0000-0000B52F0000}"/>
    <cellStyle name="Normal 5 4 4 2" xfId="3838" xr:uid="{00000000-0005-0000-0000-0000B62F0000}"/>
    <cellStyle name="Normal 5 4 4 2 2" xfId="6912" xr:uid="{00000000-0005-0000-0000-0000B72F0000}"/>
    <cellStyle name="Normal 5 4 4 3" xfId="5382" xr:uid="{00000000-0005-0000-0000-0000B82F0000}"/>
    <cellStyle name="Normal 5 4 40" xfId="1829" xr:uid="{00000000-0005-0000-0000-0000B92F0000}"/>
    <cellStyle name="Normal 5 4 40 2" xfId="3839" xr:uid="{00000000-0005-0000-0000-0000BA2F0000}"/>
    <cellStyle name="Normal 5 4 40 2 2" xfId="6913" xr:uid="{00000000-0005-0000-0000-0000BB2F0000}"/>
    <cellStyle name="Normal 5 4 40 3" xfId="5383" xr:uid="{00000000-0005-0000-0000-0000BC2F0000}"/>
    <cellStyle name="Normal 5 4 41" xfId="1830" xr:uid="{00000000-0005-0000-0000-0000BD2F0000}"/>
    <cellStyle name="Normal 5 4 41 2" xfId="3840" xr:uid="{00000000-0005-0000-0000-0000BE2F0000}"/>
    <cellStyle name="Normal 5 4 41 2 2" xfId="6914" xr:uid="{00000000-0005-0000-0000-0000BF2F0000}"/>
    <cellStyle name="Normal 5 4 41 3" xfId="5384" xr:uid="{00000000-0005-0000-0000-0000C02F0000}"/>
    <cellStyle name="Normal 5 4 42" xfId="1831" xr:uid="{00000000-0005-0000-0000-0000C12F0000}"/>
    <cellStyle name="Normal 5 4 42 2" xfId="3841" xr:uid="{00000000-0005-0000-0000-0000C22F0000}"/>
    <cellStyle name="Normal 5 4 42 2 2" xfId="6915" xr:uid="{00000000-0005-0000-0000-0000C32F0000}"/>
    <cellStyle name="Normal 5 4 42 3" xfId="5385" xr:uid="{00000000-0005-0000-0000-0000C42F0000}"/>
    <cellStyle name="Normal 5 4 43" xfId="1832" xr:uid="{00000000-0005-0000-0000-0000C52F0000}"/>
    <cellStyle name="Normal 5 4 43 2" xfId="3842" xr:uid="{00000000-0005-0000-0000-0000C62F0000}"/>
    <cellStyle name="Normal 5 4 43 2 2" xfId="6916" xr:uid="{00000000-0005-0000-0000-0000C72F0000}"/>
    <cellStyle name="Normal 5 4 43 3" xfId="5386" xr:uid="{00000000-0005-0000-0000-0000C82F0000}"/>
    <cellStyle name="Normal 5 4 44" xfId="1833" xr:uid="{00000000-0005-0000-0000-0000C92F0000}"/>
    <cellStyle name="Normal 5 4 44 2" xfId="3843" xr:uid="{00000000-0005-0000-0000-0000CA2F0000}"/>
    <cellStyle name="Normal 5 4 44 2 2" xfId="6917" xr:uid="{00000000-0005-0000-0000-0000CB2F0000}"/>
    <cellStyle name="Normal 5 4 44 3" xfId="5387" xr:uid="{00000000-0005-0000-0000-0000CC2F0000}"/>
    <cellStyle name="Normal 5 4 45" xfId="3805" xr:uid="{00000000-0005-0000-0000-0000CD2F0000}"/>
    <cellStyle name="Normal 5 4 45 2" xfId="6879" xr:uid="{00000000-0005-0000-0000-0000CE2F0000}"/>
    <cellStyle name="Normal 5 4 46" xfId="5349" xr:uid="{00000000-0005-0000-0000-0000CF2F0000}"/>
    <cellStyle name="Normal 5 4 5" xfId="1834" xr:uid="{00000000-0005-0000-0000-0000D02F0000}"/>
    <cellStyle name="Normal 5 4 5 2" xfId="3844" xr:uid="{00000000-0005-0000-0000-0000D12F0000}"/>
    <cellStyle name="Normal 5 4 5 2 2" xfId="6918" xr:uid="{00000000-0005-0000-0000-0000D22F0000}"/>
    <cellStyle name="Normal 5 4 5 3" xfId="5388" xr:uid="{00000000-0005-0000-0000-0000D32F0000}"/>
    <cellStyle name="Normal 5 4 6" xfId="1835" xr:uid="{00000000-0005-0000-0000-0000D42F0000}"/>
    <cellStyle name="Normal 5 4 6 2" xfId="3845" xr:uid="{00000000-0005-0000-0000-0000D52F0000}"/>
    <cellStyle name="Normal 5 4 6 2 2" xfId="6919" xr:uid="{00000000-0005-0000-0000-0000D62F0000}"/>
    <cellStyle name="Normal 5 4 6 3" xfId="5389" xr:uid="{00000000-0005-0000-0000-0000D72F0000}"/>
    <cellStyle name="Normal 5 4 7" xfId="1836" xr:uid="{00000000-0005-0000-0000-0000D82F0000}"/>
    <cellStyle name="Normal 5 4 7 2" xfId="3846" xr:uid="{00000000-0005-0000-0000-0000D92F0000}"/>
    <cellStyle name="Normal 5 4 7 2 2" xfId="6920" xr:uid="{00000000-0005-0000-0000-0000DA2F0000}"/>
    <cellStyle name="Normal 5 4 7 3" xfId="5390" xr:uid="{00000000-0005-0000-0000-0000DB2F0000}"/>
    <cellStyle name="Normal 5 4 8" xfId="1837" xr:uid="{00000000-0005-0000-0000-0000DC2F0000}"/>
    <cellStyle name="Normal 5 4 8 2" xfId="3847" xr:uid="{00000000-0005-0000-0000-0000DD2F0000}"/>
    <cellStyle name="Normal 5 4 8 2 2" xfId="6921" xr:uid="{00000000-0005-0000-0000-0000DE2F0000}"/>
    <cellStyle name="Normal 5 4 8 3" xfId="5391" xr:uid="{00000000-0005-0000-0000-0000DF2F0000}"/>
    <cellStyle name="Normal 5 4 9" xfId="1838" xr:uid="{00000000-0005-0000-0000-0000E02F0000}"/>
    <cellStyle name="Normal 5 4 9 2" xfId="3848" xr:uid="{00000000-0005-0000-0000-0000E12F0000}"/>
    <cellStyle name="Normal 5 4 9 2 2" xfId="6922" xr:uid="{00000000-0005-0000-0000-0000E22F0000}"/>
    <cellStyle name="Normal 5 4 9 3" xfId="5392" xr:uid="{00000000-0005-0000-0000-0000E32F0000}"/>
    <cellStyle name="Normal 5 40" xfId="1839" xr:uid="{00000000-0005-0000-0000-0000E42F0000}"/>
    <cellStyle name="Normal 5 40 2" xfId="3849" xr:uid="{00000000-0005-0000-0000-0000E52F0000}"/>
    <cellStyle name="Normal 5 40 2 2" xfId="6923" xr:uid="{00000000-0005-0000-0000-0000E62F0000}"/>
    <cellStyle name="Normal 5 40 3" xfId="5393" xr:uid="{00000000-0005-0000-0000-0000E72F0000}"/>
    <cellStyle name="Normal 5 41" xfId="1840" xr:uid="{00000000-0005-0000-0000-0000E82F0000}"/>
    <cellStyle name="Normal 5 41 2" xfId="3850" xr:uid="{00000000-0005-0000-0000-0000E92F0000}"/>
    <cellStyle name="Normal 5 41 2 2" xfId="6924" xr:uid="{00000000-0005-0000-0000-0000EA2F0000}"/>
    <cellStyle name="Normal 5 41 3" xfId="5394" xr:uid="{00000000-0005-0000-0000-0000EB2F0000}"/>
    <cellStyle name="Normal 5 42" xfId="1841" xr:uid="{00000000-0005-0000-0000-0000EC2F0000}"/>
    <cellStyle name="Normal 5 42 2" xfId="3851" xr:uid="{00000000-0005-0000-0000-0000ED2F0000}"/>
    <cellStyle name="Normal 5 42 2 2" xfId="6925" xr:uid="{00000000-0005-0000-0000-0000EE2F0000}"/>
    <cellStyle name="Normal 5 42 3" xfId="5395" xr:uid="{00000000-0005-0000-0000-0000EF2F0000}"/>
    <cellStyle name="Normal 5 43" xfId="1842" xr:uid="{00000000-0005-0000-0000-0000F02F0000}"/>
    <cellStyle name="Normal 5 43 2" xfId="3852" xr:uid="{00000000-0005-0000-0000-0000F12F0000}"/>
    <cellStyle name="Normal 5 43 2 2" xfId="6926" xr:uid="{00000000-0005-0000-0000-0000F22F0000}"/>
    <cellStyle name="Normal 5 43 3" xfId="5396" xr:uid="{00000000-0005-0000-0000-0000F32F0000}"/>
    <cellStyle name="Normal 5 44" xfId="1843" xr:uid="{00000000-0005-0000-0000-0000F42F0000}"/>
    <cellStyle name="Normal 5 44 2" xfId="3853" xr:uid="{00000000-0005-0000-0000-0000F52F0000}"/>
    <cellStyle name="Normal 5 44 2 2" xfId="6927" xr:uid="{00000000-0005-0000-0000-0000F62F0000}"/>
    <cellStyle name="Normal 5 44 3" xfId="5397" xr:uid="{00000000-0005-0000-0000-0000F72F0000}"/>
    <cellStyle name="Normal 5 45" xfId="1844" xr:uid="{00000000-0005-0000-0000-0000F82F0000}"/>
    <cellStyle name="Normal 5 45 2" xfId="3854" xr:uid="{00000000-0005-0000-0000-0000F92F0000}"/>
    <cellStyle name="Normal 5 45 2 2" xfId="6928" xr:uid="{00000000-0005-0000-0000-0000FA2F0000}"/>
    <cellStyle name="Normal 5 45 3" xfId="5398" xr:uid="{00000000-0005-0000-0000-0000FB2F0000}"/>
    <cellStyle name="Normal 5 46" xfId="1845" xr:uid="{00000000-0005-0000-0000-0000FC2F0000}"/>
    <cellStyle name="Normal 5 46 2" xfId="3855" xr:uid="{00000000-0005-0000-0000-0000FD2F0000}"/>
    <cellStyle name="Normal 5 46 2 2" xfId="6929" xr:uid="{00000000-0005-0000-0000-0000FE2F0000}"/>
    <cellStyle name="Normal 5 46 3" xfId="5399" xr:uid="{00000000-0005-0000-0000-0000FF2F0000}"/>
    <cellStyle name="Normal 5 47" xfId="1846" xr:uid="{00000000-0005-0000-0000-000000300000}"/>
    <cellStyle name="Normal 5 47 2" xfId="3856" xr:uid="{00000000-0005-0000-0000-000001300000}"/>
    <cellStyle name="Normal 5 47 2 2" xfId="6930" xr:uid="{00000000-0005-0000-0000-000002300000}"/>
    <cellStyle name="Normal 5 47 3" xfId="5400" xr:uid="{00000000-0005-0000-0000-000003300000}"/>
    <cellStyle name="Normal 5 48" xfId="1847" xr:uid="{00000000-0005-0000-0000-000004300000}"/>
    <cellStyle name="Normal 5 48 2" xfId="3857" xr:uid="{00000000-0005-0000-0000-000005300000}"/>
    <cellStyle name="Normal 5 48 2 2" xfId="6931" xr:uid="{00000000-0005-0000-0000-000006300000}"/>
    <cellStyle name="Normal 5 48 3" xfId="5401" xr:uid="{00000000-0005-0000-0000-000007300000}"/>
    <cellStyle name="Normal 5 49" xfId="1848" xr:uid="{00000000-0005-0000-0000-000008300000}"/>
    <cellStyle name="Normal 5 49 2" xfId="3858" xr:uid="{00000000-0005-0000-0000-000009300000}"/>
    <cellStyle name="Normal 5 49 2 2" xfId="6932" xr:uid="{00000000-0005-0000-0000-00000A300000}"/>
    <cellStyle name="Normal 5 49 3" xfId="5402" xr:uid="{00000000-0005-0000-0000-00000B300000}"/>
    <cellStyle name="Normal 5 5" xfId="1849" xr:uid="{00000000-0005-0000-0000-00000C300000}"/>
    <cellStyle name="Normal 5 5 10" xfId="1850" xr:uid="{00000000-0005-0000-0000-00000D300000}"/>
    <cellStyle name="Normal 5 5 10 2" xfId="3860" xr:uid="{00000000-0005-0000-0000-00000E300000}"/>
    <cellStyle name="Normal 5 5 10 2 2" xfId="6934" xr:uid="{00000000-0005-0000-0000-00000F300000}"/>
    <cellStyle name="Normal 5 5 10 3" xfId="5404" xr:uid="{00000000-0005-0000-0000-000010300000}"/>
    <cellStyle name="Normal 5 5 11" xfId="1851" xr:uid="{00000000-0005-0000-0000-000011300000}"/>
    <cellStyle name="Normal 5 5 11 2" xfId="3861" xr:uid="{00000000-0005-0000-0000-000012300000}"/>
    <cellStyle name="Normal 5 5 11 2 2" xfId="6935" xr:uid="{00000000-0005-0000-0000-000013300000}"/>
    <cellStyle name="Normal 5 5 11 3" xfId="5405" xr:uid="{00000000-0005-0000-0000-000014300000}"/>
    <cellStyle name="Normal 5 5 12" xfId="1852" xr:uid="{00000000-0005-0000-0000-000015300000}"/>
    <cellStyle name="Normal 5 5 12 2" xfId="3862" xr:uid="{00000000-0005-0000-0000-000016300000}"/>
    <cellStyle name="Normal 5 5 12 2 2" xfId="6936" xr:uid="{00000000-0005-0000-0000-000017300000}"/>
    <cellStyle name="Normal 5 5 12 3" xfId="5406" xr:uid="{00000000-0005-0000-0000-000018300000}"/>
    <cellStyle name="Normal 5 5 13" xfId="1853" xr:uid="{00000000-0005-0000-0000-000019300000}"/>
    <cellStyle name="Normal 5 5 13 2" xfId="3863" xr:uid="{00000000-0005-0000-0000-00001A300000}"/>
    <cellStyle name="Normal 5 5 13 2 2" xfId="6937" xr:uid="{00000000-0005-0000-0000-00001B300000}"/>
    <cellStyle name="Normal 5 5 13 3" xfId="5407" xr:uid="{00000000-0005-0000-0000-00001C300000}"/>
    <cellStyle name="Normal 5 5 14" xfId="1854" xr:uid="{00000000-0005-0000-0000-00001D300000}"/>
    <cellStyle name="Normal 5 5 14 2" xfId="3864" xr:uid="{00000000-0005-0000-0000-00001E300000}"/>
    <cellStyle name="Normal 5 5 14 2 2" xfId="6938" xr:uid="{00000000-0005-0000-0000-00001F300000}"/>
    <cellStyle name="Normal 5 5 14 3" xfId="5408" xr:uid="{00000000-0005-0000-0000-000020300000}"/>
    <cellStyle name="Normal 5 5 15" xfId="1855" xr:uid="{00000000-0005-0000-0000-000021300000}"/>
    <cellStyle name="Normal 5 5 15 2" xfId="3865" xr:uid="{00000000-0005-0000-0000-000022300000}"/>
    <cellStyle name="Normal 5 5 15 2 2" xfId="6939" xr:uid="{00000000-0005-0000-0000-000023300000}"/>
    <cellStyle name="Normal 5 5 15 3" xfId="5409" xr:uid="{00000000-0005-0000-0000-000024300000}"/>
    <cellStyle name="Normal 5 5 16" xfId="1856" xr:uid="{00000000-0005-0000-0000-000025300000}"/>
    <cellStyle name="Normal 5 5 16 2" xfId="3866" xr:uid="{00000000-0005-0000-0000-000026300000}"/>
    <cellStyle name="Normal 5 5 16 2 2" xfId="6940" xr:uid="{00000000-0005-0000-0000-000027300000}"/>
    <cellStyle name="Normal 5 5 16 3" xfId="5410" xr:uid="{00000000-0005-0000-0000-000028300000}"/>
    <cellStyle name="Normal 5 5 17" xfId="1857" xr:uid="{00000000-0005-0000-0000-000029300000}"/>
    <cellStyle name="Normal 5 5 17 2" xfId="3867" xr:uid="{00000000-0005-0000-0000-00002A300000}"/>
    <cellStyle name="Normal 5 5 17 2 2" xfId="6941" xr:uid="{00000000-0005-0000-0000-00002B300000}"/>
    <cellStyle name="Normal 5 5 17 3" xfId="5411" xr:uid="{00000000-0005-0000-0000-00002C300000}"/>
    <cellStyle name="Normal 5 5 18" xfId="1858" xr:uid="{00000000-0005-0000-0000-00002D300000}"/>
    <cellStyle name="Normal 5 5 18 2" xfId="3868" xr:uid="{00000000-0005-0000-0000-00002E300000}"/>
    <cellStyle name="Normal 5 5 18 2 2" xfId="6942" xr:uid="{00000000-0005-0000-0000-00002F300000}"/>
    <cellStyle name="Normal 5 5 18 3" xfId="5412" xr:uid="{00000000-0005-0000-0000-000030300000}"/>
    <cellStyle name="Normal 5 5 19" xfId="1859" xr:uid="{00000000-0005-0000-0000-000031300000}"/>
    <cellStyle name="Normal 5 5 19 2" xfId="3869" xr:uid="{00000000-0005-0000-0000-000032300000}"/>
    <cellStyle name="Normal 5 5 19 2 2" xfId="6943" xr:uid="{00000000-0005-0000-0000-000033300000}"/>
    <cellStyle name="Normal 5 5 19 3" xfId="5413" xr:uid="{00000000-0005-0000-0000-000034300000}"/>
    <cellStyle name="Normal 5 5 2" xfId="1860" xr:uid="{00000000-0005-0000-0000-000035300000}"/>
    <cellStyle name="Normal 5 5 2 2" xfId="3870" xr:uid="{00000000-0005-0000-0000-000036300000}"/>
    <cellStyle name="Normal 5 5 2 2 2" xfId="6944" xr:uid="{00000000-0005-0000-0000-000037300000}"/>
    <cellStyle name="Normal 5 5 2 3" xfId="5414" xr:uid="{00000000-0005-0000-0000-000038300000}"/>
    <cellStyle name="Normal 5 5 20" xfId="1861" xr:uid="{00000000-0005-0000-0000-000039300000}"/>
    <cellStyle name="Normal 5 5 20 2" xfId="3871" xr:uid="{00000000-0005-0000-0000-00003A300000}"/>
    <cellStyle name="Normal 5 5 20 2 2" xfId="6945" xr:uid="{00000000-0005-0000-0000-00003B300000}"/>
    <cellStyle name="Normal 5 5 20 3" xfId="5415" xr:uid="{00000000-0005-0000-0000-00003C300000}"/>
    <cellStyle name="Normal 5 5 21" xfId="1862" xr:uid="{00000000-0005-0000-0000-00003D300000}"/>
    <cellStyle name="Normal 5 5 21 2" xfId="3872" xr:uid="{00000000-0005-0000-0000-00003E300000}"/>
    <cellStyle name="Normal 5 5 21 2 2" xfId="6946" xr:uid="{00000000-0005-0000-0000-00003F300000}"/>
    <cellStyle name="Normal 5 5 21 3" xfId="5416" xr:uid="{00000000-0005-0000-0000-000040300000}"/>
    <cellStyle name="Normal 5 5 22" xfId="1863" xr:uid="{00000000-0005-0000-0000-000041300000}"/>
    <cellStyle name="Normal 5 5 22 2" xfId="3873" xr:uid="{00000000-0005-0000-0000-000042300000}"/>
    <cellStyle name="Normal 5 5 22 2 2" xfId="6947" xr:uid="{00000000-0005-0000-0000-000043300000}"/>
    <cellStyle name="Normal 5 5 22 3" xfId="5417" xr:uid="{00000000-0005-0000-0000-000044300000}"/>
    <cellStyle name="Normal 5 5 23" xfId="1864" xr:uid="{00000000-0005-0000-0000-000045300000}"/>
    <cellStyle name="Normal 5 5 23 2" xfId="3874" xr:uid="{00000000-0005-0000-0000-000046300000}"/>
    <cellStyle name="Normal 5 5 23 2 2" xfId="6948" xr:uid="{00000000-0005-0000-0000-000047300000}"/>
    <cellStyle name="Normal 5 5 23 3" xfId="5418" xr:uid="{00000000-0005-0000-0000-000048300000}"/>
    <cellStyle name="Normal 5 5 24" xfId="1865" xr:uid="{00000000-0005-0000-0000-000049300000}"/>
    <cellStyle name="Normal 5 5 24 2" xfId="3875" xr:uid="{00000000-0005-0000-0000-00004A300000}"/>
    <cellStyle name="Normal 5 5 24 2 2" xfId="6949" xr:uid="{00000000-0005-0000-0000-00004B300000}"/>
    <cellStyle name="Normal 5 5 24 3" xfId="5419" xr:uid="{00000000-0005-0000-0000-00004C300000}"/>
    <cellStyle name="Normal 5 5 25" xfId="1866" xr:uid="{00000000-0005-0000-0000-00004D300000}"/>
    <cellStyle name="Normal 5 5 25 2" xfId="3876" xr:uid="{00000000-0005-0000-0000-00004E300000}"/>
    <cellStyle name="Normal 5 5 25 2 2" xfId="6950" xr:uid="{00000000-0005-0000-0000-00004F300000}"/>
    <cellStyle name="Normal 5 5 25 3" xfId="5420" xr:uid="{00000000-0005-0000-0000-000050300000}"/>
    <cellStyle name="Normal 5 5 26" xfId="1867" xr:uid="{00000000-0005-0000-0000-000051300000}"/>
    <cellStyle name="Normal 5 5 26 2" xfId="3877" xr:uid="{00000000-0005-0000-0000-000052300000}"/>
    <cellStyle name="Normal 5 5 26 2 2" xfId="6951" xr:uid="{00000000-0005-0000-0000-000053300000}"/>
    <cellStyle name="Normal 5 5 26 3" xfId="5421" xr:uid="{00000000-0005-0000-0000-000054300000}"/>
    <cellStyle name="Normal 5 5 27" xfId="1868" xr:uid="{00000000-0005-0000-0000-000055300000}"/>
    <cellStyle name="Normal 5 5 27 2" xfId="3878" xr:uid="{00000000-0005-0000-0000-000056300000}"/>
    <cellStyle name="Normal 5 5 27 2 2" xfId="6952" xr:uid="{00000000-0005-0000-0000-000057300000}"/>
    <cellStyle name="Normal 5 5 27 3" xfId="5422" xr:uid="{00000000-0005-0000-0000-000058300000}"/>
    <cellStyle name="Normal 5 5 28" xfId="1869" xr:uid="{00000000-0005-0000-0000-000059300000}"/>
    <cellStyle name="Normal 5 5 28 2" xfId="3879" xr:uid="{00000000-0005-0000-0000-00005A300000}"/>
    <cellStyle name="Normal 5 5 28 2 2" xfId="6953" xr:uid="{00000000-0005-0000-0000-00005B300000}"/>
    <cellStyle name="Normal 5 5 28 3" xfId="5423" xr:uid="{00000000-0005-0000-0000-00005C300000}"/>
    <cellStyle name="Normal 5 5 29" xfId="1870" xr:uid="{00000000-0005-0000-0000-00005D300000}"/>
    <cellStyle name="Normal 5 5 29 2" xfId="3880" xr:uid="{00000000-0005-0000-0000-00005E300000}"/>
    <cellStyle name="Normal 5 5 29 2 2" xfId="6954" xr:uid="{00000000-0005-0000-0000-00005F300000}"/>
    <cellStyle name="Normal 5 5 29 3" xfId="5424" xr:uid="{00000000-0005-0000-0000-000060300000}"/>
    <cellStyle name="Normal 5 5 3" xfId="1871" xr:uid="{00000000-0005-0000-0000-000061300000}"/>
    <cellStyle name="Normal 5 5 3 2" xfId="3881" xr:uid="{00000000-0005-0000-0000-000062300000}"/>
    <cellStyle name="Normal 5 5 3 2 2" xfId="6955" xr:uid="{00000000-0005-0000-0000-000063300000}"/>
    <cellStyle name="Normal 5 5 3 3" xfId="5425" xr:uid="{00000000-0005-0000-0000-000064300000}"/>
    <cellStyle name="Normal 5 5 30" xfId="1872" xr:uid="{00000000-0005-0000-0000-000065300000}"/>
    <cellStyle name="Normal 5 5 30 2" xfId="3882" xr:uid="{00000000-0005-0000-0000-000066300000}"/>
    <cellStyle name="Normal 5 5 30 2 2" xfId="6956" xr:uid="{00000000-0005-0000-0000-000067300000}"/>
    <cellStyle name="Normal 5 5 30 3" xfId="5426" xr:uid="{00000000-0005-0000-0000-000068300000}"/>
    <cellStyle name="Normal 5 5 31" xfId="1873" xr:uid="{00000000-0005-0000-0000-000069300000}"/>
    <cellStyle name="Normal 5 5 31 2" xfId="3883" xr:uid="{00000000-0005-0000-0000-00006A300000}"/>
    <cellStyle name="Normal 5 5 31 2 2" xfId="6957" xr:uid="{00000000-0005-0000-0000-00006B300000}"/>
    <cellStyle name="Normal 5 5 31 3" xfId="5427" xr:uid="{00000000-0005-0000-0000-00006C300000}"/>
    <cellStyle name="Normal 5 5 32" xfId="1874" xr:uid="{00000000-0005-0000-0000-00006D300000}"/>
    <cellStyle name="Normal 5 5 32 2" xfId="3884" xr:uid="{00000000-0005-0000-0000-00006E300000}"/>
    <cellStyle name="Normal 5 5 32 2 2" xfId="6958" xr:uid="{00000000-0005-0000-0000-00006F300000}"/>
    <cellStyle name="Normal 5 5 32 3" xfId="5428" xr:uid="{00000000-0005-0000-0000-000070300000}"/>
    <cellStyle name="Normal 5 5 33" xfId="1875" xr:uid="{00000000-0005-0000-0000-000071300000}"/>
    <cellStyle name="Normal 5 5 33 2" xfId="3885" xr:uid="{00000000-0005-0000-0000-000072300000}"/>
    <cellStyle name="Normal 5 5 33 2 2" xfId="6959" xr:uid="{00000000-0005-0000-0000-000073300000}"/>
    <cellStyle name="Normal 5 5 33 3" xfId="5429" xr:uid="{00000000-0005-0000-0000-000074300000}"/>
    <cellStyle name="Normal 5 5 34" xfId="1876" xr:uid="{00000000-0005-0000-0000-000075300000}"/>
    <cellStyle name="Normal 5 5 34 2" xfId="3886" xr:uid="{00000000-0005-0000-0000-000076300000}"/>
    <cellStyle name="Normal 5 5 34 2 2" xfId="6960" xr:uid="{00000000-0005-0000-0000-000077300000}"/>
    <cellStyle name="Normal 5 5 34 3" xfId="5430" xr:uid="{00000000-0005-0000-0000-000078300000}"/>
    <cellStyle name="Normal 5 5 35" xfId="1877" xr:uid="{00000000-0005-0000-0000-000079300000}"/>
    <cellStyle name="Normal 5 5 35 2" xfId="3887" xr:uid="{00000000-0005-0000-0000-00007A300000}"/>
    <cellStyle name="Normal 5 5 35 2 2" xfId="6961" xr:uid="{00000000-0005-0000-0000-00007B300000}"/>
    <cellStyle name="Normal 5 5 35 3" xfId="5431" xr:uid="{00000000-0005-0000-0000-00007C300000}"/>
    <cellStyle name="Normal 5 5 36" xfId="1878" xr:uid="{00000000-0005-0000-0000-00007D300000}"/>
    <cellStyle name="Normal 5 5 36 2" xfId="3888" xr:uid="{00000000-0005-0000-0000-00007E300000}"/>
    <cellStyle name="Normal 5 5 36 2 2" xfId="6962" xr:uid="{00000000-0005-0000-0000-00007F300000}"/>
    <cellStyle name="Normal 5 5 36 3" xfId="5432" xr:uid="{00000000-0005-0000-0000-000080300000}"/>
    <cellStyle name="Normal 5 5 37" xfId="1879" xr:uid="{00000000-0005-0000-0000-000081300000}"/>
    <cellStyle name="Normal 5 5 37 2" xfId="3889" xr:uid="{00000000-0005-0000-0000-000082300000}"/>
    <cellStyle name="Normal 5 5 37 2 2" xfId="6963" xr:uid="{00000000-0005-0000-0000-000083300000}"/>
    <cellStyle name="Normal 5 5 37 3" xfId="5433" xr:uid="{00000000-0005-0000-0000-000084300000}"/>
    <cellStyle name="Normal 5 5 38" xfId="1880" xr:uid="{00000000-0005-0000-0000-000085300000}"/>
    <cellStyle name="Normal 5 5 38 2" xfId="3890" xr:uid="{00000000-0005-0000-0000-000086300000}"/>
    <cellStyle name="Normal 5 5 38 2 2" xfId="6964" xr:uid="{00000000-0005-0000-0000-000087300000}"/>
    <cellStyle name="Normal 5 5 38 3" xfId="5434" xr:uid="{00000000-0005-0000-0000-000088300000}"/>
    <cellStyle name="Normal 5 5 39" xfId="1881" xr:uid="{00000000-0005-0000-0000-000089300000}"/>
    <cellStyle name="Normal 5 5 39 2" xfId="3891" xr:uid="{00000000-0005-0000-0000-00008A300000}"/>
    <cellStyle name="Normal 5 5 39 2 2" xfId="6965" xr:uid="{00000000-0005-0000-0000-00008B300000}"/>
    <cellStyle name="Normal 5 5 39 3" xfId="5435" xr:uid="{00000000-0005-0000-0000-00008C300000}"/>
    <cellStyle name="Normal 5 5 4" xfId="1882" xr:uid="{00000000-0005-0000-0000-00008D300000}"/>
    <cellStyle name="Normal 5 5 4 2" xfId="3892" xr:uid="{00000000-0005-0000-0000-00008E300000}"/>
    <cellStyle name="Normal 5 5 4 2 2" xfId="6966" xr:uid="{00000000-0005-0000-0000-00008F300000}"/>
    <cellStyle name="Normal 5 5 4 3" xfId="5436" xr:uid="{00000000-0005-0000-0000-000090300000}"/>
    <cellStyle name="Normal 5 5 40" xfId="1883" xr:uid="{00000000-0005-0000-0000-000091300000}"/>
    <cellStyle name="Normal 5 5 40 2" xfId="3893" xr:uid="{00000000-0005-0000-0000-000092300000}"/>
    <cellStyle name="Normal 5 5 40 2 2" xfId="6967" xr:uid="{00000000-0005-0000-0000-000093300000}"/>
    <cellStyle name="Normal 5 5 40 3" xfId="5437" xr:uid="{00000000-0005-0000-0000-000094300000}"/>
    <cellStyle name="Normal 5 5 41" xfId="1884" xr:uid="{00000000-0005-0000-0000-000095300000}"/>
    <cellStyle name="Normal 5 5 41 2" xfId="3894" xr:uid="{00000000-0005-0000-0000-000096300000}"/>
    <cellStyle name="Normal 5 5 41 2 2" xfId="6968" xr:uid="{00000000-0005-0000-0000-000097300000}"/>
    <cellStyle name="Normal 5 5 41 3" xfId="5438" xr:uid="{00000000-0005-0000-0000-000098300000}"/>
    <cellStyle name="Normal 5 5 42" xfId="1885" xr:uid="{00000000-0005-0000-0000-000099300000}"/>
    <cellStyle name="Normal 5 5 42 2" xfId="3895" xr:uid="{00000000-0005-0000-0000-00009A300000}"/>
    <cellStyle name="Normal 5 5 42 2 2" xfId="6969" xr:uid="{00000000-0005-0000-0000-00009B300000}"/>
    <cellStyle name="Normal 5 5 42 3" xfId="5439" xr:uid="{00000000-0005-0000-0000-00009C300000}"/>
    <cellStyle name="Normal 5 5 43" xfId="1886" xr:uid="{00000000-0005-0000-0000-00009D300000}"/>
    <cellStyle name="Normal 5 5 43 2" xfId="3896" xr:uid="{00000000-0005-0000-0000-00009E300000}"/>
    <cellStyle name="Normal 5 5 43 2 2" xfId="6970" xr:uid="{00000000-0005-0000-0000-00009F300000}"/>
    <cellStyle name="Normal 5 5 43 3" xfId="5440" xr:uid="{00000000-0005-0000-0000-0000A0300000}"/>
    <cellStyle name="Normal 5 5 44" xfId="3859" xr:uid="{00000000-0005-0000-0000-0000A1300000}"/>
    <cellStyle name="Normal 5 5 44 2" xfId="6933" xr:uid="{00000000-0005-0000-0000-0000A2300000}"/>
    <cellStyle name="Normal 5 5 45" xfId="5403" xr:uid="{00000000-0005-0000-0000-0000A3300000}"/>
    <cellStyle name="Normal 5 5 5" xfId="1887" xr:uid="{00000000-0005-0000-0000-0000A4300000}"/>
    <cellStyle name="Normal 5 5 5 2" xfId="3897" xr:uid="{00000000-0005-0000-0000-0000A5300000}"/>
    <cellStyle name="Normal 5 5 5 2 2" xfId="6971" xr:uid="{00000000-0005-0000-0000-0000A6300000}"/>
    <cellStyle name="Normal 5 5 5 3" xfId="5441" xr:uid="{00000000-0005-0000-0000-0000A7300000}"/>
    <cellStyle name="Normal 5 5 6" xfId="1888" xr:uid="{00000000-0005-0000-0000-0000A8300000}"/>
    <cellStyle name="Normal 5 5 6 2" xfId="3898" xr:uid="{00000000-0005-0000-0000-0000A9300000}"/>
    <cellStyle name="Normal 5 5 6 2 2" xfId="6972" xr:uid="{00000000-0005-0000-0000-0000AA300000}"/>
    <cellStyle name="Normal 5 5 6 3" xfId="5442" xr:uid="{00000000-0005-0000-0000-0000AB300000}"/>
    <cellStyle name="Normal 5 5 7" xfId="1889" xr:uid="{00000000-0005-0000-0000-0000AC300000}"/>
    <cellStyle name="Normal 5 5 7 2" xfId="3899" xr:uid="{00000000-0005-0000-0000-0000AD300000}"/>
    <cellStyle name="Normal 5 5 7 2 2" xfId="6973" xr:uid="{00000000-0005-0000-0000-0000AE300000}"/>
    <cellStyle name="Normal 5 5 7 3" xfId="5443" xr:uid="{00000000-0005-0000-0000-0000AF300000}"/>
    <cellStyle name="Normal 5 5 8" xfId="1890" xr:uid="{00000000-0005-0000-0000-0000B0300000}"/>
    <cellStyle name="Normal 5 5 8 2" xfId="3900" xr:uid="{00000000-0005-0000-0000-0000B1300000}"/>
    <cellStyle name="Normal 5 5 8 2 2" xfId="6974" xr:uid="{00000000-0005-0000-0000-0000B2300000}"/>
    <cellStyle name="Normal 5 5 8 3" xfId="5444" xr:uid="{00000000-0005-0000-0000-0000B3300000}"/>
    <cellStyle name="Normal 5 5 9" xfId="1891" xr:uid="{00000000-0005-0000-0000-0000B4300000}"/>
    <cellStyle name="Normal 5 5 9 2" xfId="3901" xr:uid="{00000000-0005-0000-0000-0000B5300000}"/>
    <cellStyle name="Normal 5 5 9 2 2" xfId="6975" xr:uid="{00000000-0005-0000-0000-0000B6300000}"/>
    <cellStyle name="Normal 5 5 9 3" xfId="5445" xr:uid="{00000000-0005-0000-0000-0000B7300000}"/>
    <cellStyle name="Normal 5 50" xfId="1892" xr:uid="{00000000-0005-0000-0000-0000B8300000}"/>
    <cellStyle name="Normal 5 50 2" xfId="3902" xr:uid="{00000000-0005-0000-0000-0000B9300000}"/>
    <cellStyle name="Normal 5 50 2 2" xfId="6976" xr:uid="{00000000-0005-0000-0000-0000BA300000}"/>
    <cellStyle name="Normal 5 50 3" xfId="5446" xr:uid="{00000000-0005-0000-0000-0000BB300000}"/>
    <cellStyle name="Normal 5 51" xfId="1893" xr:uid="{00000000-0005-0000-0000-0000BC300000}"/>
    <cellStyle name="Normal 5 51 2" xfId="3903" xr:uid="{00000000-0005-0000-0000-0000BD300000}"/>
    <cellStyle name="Normal 5 51 2 2" xfId="6977" xr:uid="{00000000-0005-0000-0000-0000BE300000}"/>
    <cellStyle name="Normal 5 51 3" xfId="5447" xr:uid="{00000000-0005-0000-0000-0000BF300000}"/>
    <cellStyle name="Normal 5 52" xfId="1894" xr:uid="{00000000-0005-0000-0000-0000C0300000}"/>
    <cellStyle name="Normal 5 52 2" xfId="3904" xr:uid="{00000000-0005-0000-0000-0000C1300000}"/>
    <cellStyle name="Normal 5 52 2 2" xfId="6978" xr:uid="{00000000-0005-0000-0000-0000C2300000}"/>
    <cellStyle name="Normal 5 52 3" xfId="5448" xr:uid="{00000000-0005-0000-0000-0000C3300000}"/>
    <cellStyle name="Normal 5 53" xfId="1895" xr:uid="{00000000-0005-0000-0000-0000C4300000}"/>
    <cellStyle name="Normal 5 53 2" xfId="3905" xr:uid="{00000000-0005-0000-0000-0000C5300000}"/>
    <cellStyle name="Normal 5 53 2 2" xfId="6979" xr:uid="{00000000-0005-0000-0000-0000C6300000}"/>
    <cellStyle name="Normal 5 53 3" xfId="5449" xr:uid="{00000000-0005-0000-0000-0000C7300000}"/>
    <cellStyle name="Normal 5 54" xfId="1896" xr:uid="{00000000-0005-0000-0000-0000C8300000}"/>
    <cellStyle name="Normal 5 54 2" xfId="3906" xr:uid="{00000000-0005-0000-0000-0000C9300000}"/>
    <cellStyle name="Normal 5 54 2 2" xfId="6980" xr:uid="{00000000-0005-0000-0000-0000CA300000}"/>
    <cellStyle name="Normal 5 54 3" xfId="5450" xr:uid="{00000000-0005-0000-0000-0000CB300000}"/>
    <cellStyle name="Normal 5 55" xfId="1897" xr:uid="{00000000-0005-0000-0000-0000CC300000}"/>
    <cellStyle name="Normal 5 55 2" xfId="3907" xr:uid="{00000000-0005-0000-0000-0000CD300000}"/>
    <cellStyle name="Normal 5 55 2 2" xfId="6981" xr:uid="{00000000-0005-0000-0000-0000CE300000}"/>
    <cellStyle name="Normal 5 55 3" xfId="5451" xr:uid="{00000000-0005-0000-0000-0000CF300000}"/>
    <cellStyle name="Normal 5 56" xfId="1898" xr:uid="{00000000-0005-0000-0000-0000D0300000}"/>
    <cellStyle name="Normal 5 56 2" xfId="3908" xr:uid="{00000000-0005-0000-0000-0000D1300000}"/>
    <cellStyle name="Normal 5 56 2 2" xfId="6982" xr:uid="{00000000-0005-0000-0000-0000D2300000}"/>
    <cellStyle name="Normal 5 56 3" xfId="5452" xr:uid="{00000000-0005-0000-0000-0000D3300000}"/>
    <cellStyle name="Normal 5 57" xfId="3516" xr:uid="{00000000-0005-0000-0000-0000D4300000}"/>
    <cellStyle name="Normal 5 57 2" xfId="6590" xr:uid="{00000000-0005-0000-0000-0000D5300000}"/>
    <cellStyle name="Normal 5 58" xfId="5060" xr:uid="{00000000-0005-0000-0000-0000D6300000}"/>
    <cellStyle name="Normal 5 6" xfId="1899" xr:uid="{00000000-0005-0000-0000-0000D7300000}"/>
    <cellStyle name="Normal 5 6 10" xfId="1900" xr:uid="{00000000-0005-0000-0000-0000D8300000}"/>
    <cellStyle name="Normal 5 6 10 2" xfId="3910" xr:uid="{00000000-0005-0000-0000-0000D9300000}"/>
    <cellStyle name="Normal 5 6 10 2 2" xfId="6984" xr:uid="{00000000-0005-0000-0000-0000DA300000}"/>
    <cellStyle name="Normal 5 6 10 3" xfId="5454" xr:uid="{00000000-0005-0000-0000-0000DB300000}"/>
    <cellStyle name="Normal 5 6 11" xfId="1901" xr:uid="{00000000-0005-0000-0000-0000DC300000}"/>
    <cellStyle name="Normal 5 6 11 2" xfId="3911" xr:uid="{00000000-0005-0000-0000-0000DD300000}"/>
    <cellStyle name="Normal 5 6 11 2 2" xfId="6985" xr:uid="{00000000-0005-0000-0000-0000DE300000}"/>
    <cellStyle name="Normal 5 6 11 3" xfId="5455" xr:uid="{00000000-0005-0000-0000-0000DF300000}"/>
    <cellStyle name="Normal 5 6 12" xfId="1902" xr:uid="{00000000-0005-0000-0000-0000E0300000}"/>
    <cellStyle name="Normal 5 6 12 2" xfId="3912" xr:uid="{00000000-0005-0000-0000-0000E1300000}"/>
    <cellStyle name="Normal 5 6 12 2 2" xfId="6986" xr:uid="{00000000-0005-0000-0000-0000E2300000}"/>
    <cellStyle name="Normal 5 6 12 3" xfId="5456" xr:uid="{00000000-0005-0000-0000-0000E3300000}"/>
    <cellStyle name="Normal 5 6 13" xfId="1903" xr:uid="{00000000-0005-0000-0000-0000E4300000}"/>
    <cellStyle name="Normal 5 6 13 2" xfId="3913" xr:uid="{00000000-0005-0000-0000-0000E5300000}"/>
    <cellStyle name="Normal 5 6 13 2 2" xfId="6987" xr:uid="{00000000-0005-0000-0000-0000E6300000}"/>
    <cellStyle name="Normal 5 6 13 3" xfId="5457" xr:uid="{00000000-0005-0000-0000-0000E7300000}"/>
    <cellStyle name="Normal 5 6 14" xfId="1904" xr:uid="{00000000-0005-0000-0000-0000E8300000}"/>
    <cellStyle name="Normal 5 6 14 2" xfId="3914" xr:uid="{00000000-0005-0000-0000-0000E9300000}"/>
    <cellStyle name="Normal 5 6 14 2 2" xfId="6988" xr:uid="{00000000-0005-0000-0000-0000EA300000}"/>
    <cellStyle name="Normal 5 6 14 3" xfId="5458" xr:uid="{00000000-0005-0000-0000-0000EB300000}"/>
    <cellStyle name="Normal 5 6 15" xfId="1905" xr:uid="{00000000-0005-0000-0000-0000EC300000}"/>
    <cellStyle name="Normal 5 6 15 2" xfId="3915" xr:uid="{00000000-0005-0000-0000-0000ED300000}"/>
    <cellStyle name="Normal 5 6 15 2 2" xfId="6989" xr:uid="{00000000-0005-0000-0000-0000EE300000}"/>
    <cellStyle name="Normal 5 6 15 3" xfId="5459" xr:uid="{00000000-0005-0000-0000-0000EF300000}"/>
    <cellStyle name="Normal 5 6 16" xfId="1906" xr:uid="{00000000-0005-0000-0000-0000F0300000}"/>
    <cellStyle name="Normal 5 6 16 2" xfId="3916" xr:uid="{00000000-0005-0000-0000-0000F1300000}"/>
    <cellStyle name="Normal 5 6 16 2 2" xfId="6990" xr:uid="{00000000-0005-0000-0000-0000F2300000}"/>
    <cellStyle name="Normal 5 6 16 3" xfId="5460" xr:uid="{00000000-0005-0000-0000-0000F3300000}"/>
    <cellStyle name="Normal 5 6 17" xfId="1907" xr:uid="{00000000-0005-0000-0000-0000F4300000}"/>
    <cellStyle name="Normal 5 6 17 2" xfId="3917" xr:uid="{00000000-0005-0000-0000-0000F5300000}"/>
    <cellStyle name="Normal 5 6 17 2 2" xfId="6991" xr:uid="{00000000-0005-0000-0000-0000F6300000}"/>
    <cellStyle name="Normal 5 6 17 3" xfId="5461" xr:uid="{00000000-0005-0000-0000-0000F7300000}"/>
    <cellStyle name="Normal 5 6 18" xfId="1908" xr:uid="{00000000-0005-0000-0000-0000F8300000}"/>
    <cellStyle name="Normal 5 6 18 2" xfId="3918" xr:uid="{00000000-0005-0000-0000-0000F9300000}"/>
    <cellStyle name="Normal 5 6 18 2 2" xfId="6992" xr:uid="{00000000-0005-0000-0000-0000FA300000}"/>
    <cellStyle name="Normal 5 6 18 3" xfId="5462" xr:uid="{00000000-0005-0000-0000-0000FB300000}"/>
    <cellStyle name="Normal 5 6 19" xfId="1909" xr:uid="{00000000-0005-0000-0000-0000FC300000}"/>
    <cellStyle name="Normal 5 6 19 2" xfId="3919" xr:uid="{00000000-0005-0000-0000-0000FD300000}"/>
    <cellStyle name="Normal 5 6 19 2 2" xfId="6993" xr:uid="{00000000-0005-0000-0000-0000FE300000}"/>
    <cellStyle name="Normal 5 6 19 3" xfId="5463" xr:uid="{00000000-0005-0000-0000-0000FF300000}"/>
    <cellStyle name="Normal 5 6 2" xfId="1910" xr:uid="{00000000-0005-0000-0000-000000310000}"/>
    <cellStyle name="Normal 5 6 2 2" xfId="3920" xr:uid="{00000000-0005-0000-0000-000001310000}"/>
    <cellStyle name="Normal 5 6 2 2 2" xfId="6994" xr:uid="{00000000-0005-0000-0000-000002310000}"/>
    <cellStyle name="Normal 5 6 2 3" xfId="5464" xr:uid="{00000000-0005-0000-0000-000003310000}"/>
    <cellStyle name="Normal 5 6 20" xfId="1911" xr:uid="{00000000-0005-0000-0000-000004310000}"/>
    <cellStyle name="Normal 5 6 20 2" xfId="3921" xr:uid="{00000000-0005-0000-0000-000005310000}"/>
    <cellStyle name="Normal 5 6 20 2 2" xfId="6995" xr:uid="{00000000-0005-0000-0000-000006310000}"/>
    <cellStyle name="Normal 5 6 20 3" xfId="5465" xr:uid="{00000000-0005-0000-0000-000007310000}"/>
    <cellStyle name="Normal 5 6 21" xfId="1912" xr:uid="{00000000-0005-0000-0000-000008310000}"/>
    <cellStyle name="Normal 5 6 21 2" xfId="3922" xr:uid="{00000000-0005-0000-0000-000009310000}"/>
    <cellStyle name="Normal 5 6 21 2 2" xfId="6996" xr:uid="{00000000-0005-0000-0000-00000A310000}"/>
    <cellStyle name="Normal 5 6 21 3" xfId="5466" xr:uid="{00000000-0005-0000-0000-00000B310000}"/>
    <cellStyle name="Normal 5 6 22" xfId="1913" xr:uid="{00000000-0005-0000-0000-00000C310000}"/>
    <cellStyle name="Normal 5 6 22 2" xfId="3923" xr:uid="{00000000-0005-0000-0000-00000D310000}"/>
    <cellStyle name="Normal 5 6 22 2 2" xfId="6997" xr:uid="{00000000-0005-0000-0000-00000E310000}"/>
    <cellStyle name="Normal 5 6 22 3" xfId="5467" xr:uid="{00000000-0005-0000-0000-00000F310000}"/>
    <cellStyle name="Normal 5 6 23" xfId="1914" xr:uid="{00000000-0005-0000-0000-000010310000}"/>
    <cellStyle name="Normal 5 6 23 2" xfId="3924" xr:uid="{00000000-0005-0000-0000-000011310000}"/>
    <cellStyle name="Normal 5 6 23 2 2" xfId="6998" xr:uid="{00000000-0005-0000-0000-000012310000}"/>
    <cellStyle name="Normal 5 6 23 3" xfId="5468" xr:uid="{00000000-0005-0000-0000-000013310000}"/>
    <cellStyle name="Normal 5 6 24" xfId="1915" xr:uid="{00000000-0005-0000-0000-000014310000}"/>
    <cellStyle name="Normal 5 6 24 2" xfId="3925" xr:uid="{00000000-0005-0000-0000-000015310000}"/>
    <cellStyle name="Normal 5 6 24 2 2" xfId="6999" xr:uid="{00000000-0005-0000-0000-000016310000}"/>
    <cellStyle name="Normal 5 6 24 3" xfId="5469" xr:uid="{00000000-0005-0000-0000-000017310000}"/>
    <cellStyle name="Normal 5 6 25" xfId="1916" xr:uid="{00000000-0005-0000-0000-000018310000}"/>
    <cellStyle name="Normal 5 6 25 2" xfId="3926" xr:uid="{00000000-0005-0000-0000-000019310000}"/>
    <cellStyle name="Normal 5 6 25 2 2" xfId="7000" xr:uid="{00000000-0005-0000-0000-00001A310000}"/>
    <cellStyle name="Normal 5 6 25 3" xfId="5470" xr:uid="{00000000-0005-0000-0000-00001B310000}"/>
    <cellStyle name="Normal 5 6 26" xfId="1917" xr:uid="{00000000-0005-0000-0000-00001C310000}"/>
    <cellStyle name="Normal 5 6 26 2" xfId="3927" xr:uid="{00000000-0005-0000-0000-00001D310000}"/>
    <cellStyle name="Normal 5 6 26 2 2" xfId="7001" xr:uid="{00000000-0005-0000-0000-00001E310000}"/>
    <cellStyle name="Normal 5 6 26 3" xfId="5471" xr:uid="{00000000-0005-0000-0000-00001F310000}"/>
    <cellStyle name="Normal 5 6 27" xfId="1918" xr:uid="{00000000-0005-0000-0000-000020310000}"/>
    <cellStyle name="Normal 5 6 27 2" xfId="3928" xr:uid="{00000000-0005-0000-0000-000021310000}"/>
    <cellStyle name="Normal 5 6 27 2 2" xfId="7002" xr:uid="{00000000-0005-0000-0000-000022310000}"/>
    <cellStyle name="Normal 5 6 27 3" xfId="5472" xr:uid="{00000000-0005-0000-0000-000023310000}"/>
    <cellStyle name="Normal 5 6 28" xfId="1919" xr:uid="{00000000-0005-0000-0000-000024310000}"/>
    <cellStyle name="Normal 5 6 28 2" xfId="3929" xr:uid="{00000000-0005-0000-0000-000025310000}"/>
    <cellStyle name="Normal 5 6 28 2 2" xfId="7003" xr:uid="{00000000-0005-0000-0000-000026310000}"/>
    <cellStyle name="Normal 5 6 28 3" xfId="5473" xr:uid="{00000000-0005-0000-0000-000027310000}"/>
    <cellStyle name="Normal 5 6 29" xfId="1920" xr:uid="{00000000-0005-0000-0000-000028310000}"/>
    <cellStyle name="Normal 5 6 29 2" xfId="3930" xr:uid="{00000000-0005-0000-0000-000029310000}"/>
    <cellStyle name="Normal 5 6 29 2 2" xfId="7004" xr:uid="{00000000-0005-0000-0000-00002A310000}"/>
    <cellStyle name="Normal 5 6 29 3" xfId="5474" xr:uid="{00000000-0005-0000-0000-00002B310000}"/>
    <cellStyle name="Normal 5 6 3" xfId="1921" xr:uid="{00000000-0005-0000-0000-00002C310000}"/>
    <cellStyle name="Normal 5 6 3 2" xfId="3931" xr:uid="{00000000-0005-0000-0000-00002D310000}"/>
    <cellStyle name="Normal 5 6 3 2 2" xfId="7005" xr:uid="{00000000-0005-0000-0000-00002E310000}"/>
    <cellStyle name="Normal 5 6 3 3" xfId="5475" xr:uid="{00000000-0005-0000-0000-00002F310000}"/>
    <cellStyle name="Normal 5 6 30" xfId="1922" xr:uid="{00000000-0005-0000-0000-000030310000}"/>
    <cellStyle name="Normal 5 6 30 2" xfId="3932" xr:uid="{00000000-0005-0000-0000-000031310000}"/>
    <cellStyle name="Normal 5 6 30 2 2" xfId="7006" xr:uid="{00000000-0005-0000-0000-000032310000}"/>
    <cellStyle name="Normal 5 6 30 3" xfId="5476" xr:uid="{00000000-0005-0000-0000-000033310000}"/>
    <cellStyle name="Normal 5 6 31" xfId="1923" xr:uid="{00000000-0005-0000-0000-000034310000}"/>
    <cellStyle name="Normal 5 6 31 2" xfId="3933" xr:uid="{00000000-0005-0000-0000-000035310000}"/>
    <cellStyle name="Normal 5 6 31 2 2" xfId="7007" xr:uid="{00000000-0005-0000-0000-000036310000}"/>
    <cellStyle name="Normal 5 6 31 3" xfId="5477" xr:uid="{00000000-0005-0000-0000-000037310000}"/>
    <cellStyle name="Normal 5 6 32" xfId="1924" xr:uid="{00000000-0005-0000-0000-000038310000}"/>
    <cellStyle name="Normal 5 6 32 2" xfId="3934" xr:uid="{00000000-0005-0000-0000-000039310000}"/>
    <cellStyle name="Normal 5 6 32 2 2" xfId="7008" xr:uid="{00000000-0005-0000-0000-00003A310000}"/>
    <cellStyle name="Normal 5 6 32 3" xfId="5478" xr:uid="{00000000-0005-0000-0000-00003B310000}"/>
    <cellStyle name="Normal 5 6 33" xfId="1925" xr:uid="{00000000-0005-0000-0000-00003C310000}"/>
    <cellStyle name="Normal 5 6 33 2" xfId="3935" xr:uid="{00000000-0005-0000-0000-00003D310000}"/>
    <cellStyle name="Normal 5 6 33 2 2" xfId="7009" xr:uid="{00000000-0005-0000-0000-00003E310000}"/>
    <cellStyle name="Normal 5 6 33 3" xfId="5479" xr:uid="{00000000-0005-0000-0000-00003F310000}"/>
    <cellStyle name="Normal 5 6 34" xfId="1926" xr:uid="{00000000-0005-0000-0000-000040310000}"/>
    <cellStyle name="Normal 5 6 34 2" xfId="3936" xr:uid="{00000000-0005-0000-0000-000041310000}"/>
    <cellStyle name="Normal 5 6 34 2 2" xfId="7010" xr:uid="{00000000-0005-0000-0000-000042310000}"/>
    <cellStyle name="Normal 5 6 34 3" xfId="5480" xr:uid="{00000000-0005-0000-0000-000043310000}"/>
    <cellStyle name="Normal 5 6 35" xfId="1927" xr:uid="{00000000-0005-0000-0000-000044310000}"/>
    <cellStyle name="Normal 5 6 35 2" xfId="3937" xr:uid="{00000000-0005-0000-0000-000045310000}"/>
    <cellStyle name="Normal 5 6 35 2 2" xfId="7011" xr:uid="{00000000-0005-0000-0000-000046310000}"/>
    <cellStyle name="Normal 5 6 35 3" xfId="5481" xr:uid="{00000000-0005-0000-0000-000047310000}"/>
    <cellStyle name="Normal 5 6 36" xfId="1928" xr:uid="{00000000-0005-0000-0000-000048310000}"/>
    <cellStyle name="Normal 5 6 36 2" xfId="3938" xr:uid="{00000000-0005-0000-0000-000049310000}"/>
    <cellStyle name="Normal 5 6 36 2 2" xfId="7012" xr:uid="{00000000-0005-0000-0000-00004A310000}"/>
    <cellStyle name="Normal 5 6 36 3" xfId="5482" xr:uid="{00000000-0005-0000-0000-00004B310000}"/>
    <cellStyle name="Normal 5 6 37" xfId="1929" xr:uid="{00000000-0005-0000-0000-00004C310000}"/>
    <cellStyle name="Normal 5 6 37 2" xfId="3939" xr:uid="{00000000-0005-0000-0000-00004D310000}"/>
    <cellStyle name="Normal 5 6 37 2 2" xfId="7013" xr:uid="{00000000-0005-0000-0000-00004E310000}"/>
    <cellStyle name="Normal 5 6 37 3" xfId="5483" xr:uid="{00000000-0005-0000-0000-00004F310000}"/>
    <cellStyle name="Normal 5 6 38" xfId="1930" xr:uid="{00000000-0005-0000-0000-000050310000}"/>
    <cellStyle name="Normal 5 6 38 2" xfId="3940" xr:uid="{00000000-0005-0000-0000-000051310000}"/>
    <cellStyle name="Normal 5 6 38 2 2" xfId="7014" xr:uid="{00000000-0005-0000-0000-000052310000}"/>
    <cellStyle name="Normal 5 6 38 3" xfId="5484" xr:uid="{00000000-0005-0000-0000-000053310000}"/>
    <cellStyle name="Normal 5 6 39" xfId="1931" xr:uid="{00000000-0005-0000-0000-000054310000}"/>
    <cellStyle name="Normal 5 6 39 2" xfId="3941" xr:uid="{00000000-0005-0000-0000-000055310000}"/>
    <cellStyle name="Normal 5 6 39 2 2" xfId="7015" xr:uid="{00000000-0005-0000-0000-000056310000}"/>
    <cellStyle name="Normal 5 6 39 3" xfId="5485" xr:uid="{00000000-0005-0000-0000-000057310000}"/>
    <cellStyle name="Normal 5 6 4" xfId="1932" xr:uid="{00000000-0005-0000-0000-000058310000}"/>
    <cellStyle name="Normal 5 6 4 2" xfId="3942" xr:uid="{00000000-0005-0000-0000-000059310000}"/>
    <cellStyle name="Normal 5 6 4 2 2" xfId="7016" xr:uid="{00000000-0005-0000-0000-00005A310000}"/>
    <cellStyle name="Normal 5 6 4 3" xfId="5486" xr:uid="{00000000-0005-0000-0000-00005B310000}"/>
    <cellStyle name="Normal 5 6 40" xfId="1933" xr:uid="{00000000-0005-0000-0000-00005C310000}"/>
    <cellStyle name="Normal 5 6 40 2" xfId="3943" xr:uid="{00000000-0005-0000-0000-00005D310000}"/>
    <cellStyle name="Normal 5 6 40 2 2" xfId="7017" xr:uid="{00000000-0005-0000-0000-00005E310000}"/>
    <cellStyle name="Normal 5 6 40 3" xfId="5487" xr:uid="{00000000-0005-0000-0000-00005F310000}"/>
    <cellStyle name="Normal 5 6 41" xfId="1934" xr:uid="{00000000-0005-0000-0000-000060310000}"/>
    <cellStyle name="Normal 5 6 41 2" xfId="3944" xr:uid="{00000000-0005-0000-0000-000061310000}"/>
    <cellStyle name="Normal 5 6 41 2 2" xfId="7018" xr:uid="{00000000-0005-0000-0000-000062310000}"/>
    <cellStyle name="Normal 5 6 41 3" xfId="5488" xr:uid="{00000000-0005-0000-0000-000063310000}"/>
    <cellStyle name="Normal 5 6 42" xfId="1935" xr:uid="{00000000-0005-0000-0000-000064310000}"/>
    <cellStyle name="Normal 5 6 42 2" xfId="3945" xr:uid="{00000000-0005-0000-0000-000065310000}"/>
    <cellStyle name="Normal 5 6 42 2 2" xfId="7019" xr:uid="{00000000-0005-0000-0000-000066310000}"/>
    <cellStyle name="Normal 5 6 42 3" xfId="5489" xr:uid="{00000000-0005-0000-0000-000067310000}"/>
    <cellStyle name="Normal 5 6 43" xfId="1936" xr:uid="{00000000-0005-0000-0000-000068310000}"/>
    <cellStyle name="Normal 5 6 43 2" xfId="3946" xr:uid="{00000000-0005-0000-0000-000069310000}"/>
    <cellStyle name="Normal 5 6 43 2 2" xfId="7020" xr:uid="{00000000-0005-0000-0000-00006A310000}"/>
    <cellStyle name="Normal 5 6 43 3" xfId="5490" xr:uid="{00000000-0005-0000-0000-00006B310000}"/>
    <cellStyle name="Normal 5 6 44" xfId="3909" xr:uid="{00000000-0005-0000-0000-00006C310000}"/>
    <cellStyle name="Normal 5 6 44 2" xfId="6983" xr:uid="{00000000-0005-0000-0000-00006D310000}"/>
    <cellStyle name="Normal 5 6 45" xfId="5453" xr:uid="{00000000-0005-0000-0000-00006E310000}"/>
    <cellStyle name="Normal 5 6 5" xfId="1937" xr:uid="{00000000-0005-0000-0000-00006F310000}"/>
    <cellStyle name="Normal 5 6 5 2" xfId="3947" xr:uid="{00000000-0005-0000-0000-000070310000}"/>
    <cellStyle name="Normal 5 6 5 2 2" xfId="7021" xr:uid="{00000000-0005-0000-0000-000071310000}"/>
    <cellStyle name="Normal 5 6 5 3" xfId="5491" xr:uid="{00000000-0005-0000-0000-000072310000}"/>
    <cellStyle name="Normal 5 6 6" xfId="1938" xr:uid="{00000000-0005-0000-0000-000073310000}"/>
    <cellStyle name="Normal 5 6 6 2" xfId="3948" xr:uid="{00000000-0005-0000-0000-000074310000}"/>
    <cellStyle name="Normal 5 6 6 2 2" xfId="7022" xr:uid="{00000000-0005-0000-0000-000075310000}"/>
    <cellStyle name="Normal 5 6 6 3" xfId="5492" xr:uid="{00000000-0005-0000-0000-000076310000}"/>
    <cellStyle name="Normal 5 6 7" xfId="1939" xr:uid="{00000000-0005-0000-0000-000077310000}"/>
    <cellStyle name="Normal 5 6 7 2" xfId="3949" xr:uid="{00000000-0005-0000-0000-000078310000}"/>
    <cellStyle name="Normal 5 6 7 2 2" xfId="7023" xr:uid="{00000000-0005-0000-0000-000079310000}"/>
    <cellStyle name="Normal 5 6 7 3" xfId="5493" xr:uid="{00000000-0005-0000-0000-00007A310000}"/>
    <cellStyle name="Normal 5 6 8" xfId="1940" xr:uid="{00000000-0005-0000-0000-00007B310000}"/>
    <cellStyle name="Normal 5 6 8 2" xfId="3950" xr:uid="{00000000-0005-0000-0000-00007C310000}"/>
    <cellStyle name="Normal 5 6 8 2 2" xfId="7024" xr:uid="{00000000-0005-0000-0000-00007D310000}"/>
    <cellStyle name="Normal 5 6 8 3" xfId="5494" xr:uid="{00000000-0005-0000-0000-00007E310000}"/>
    <cellStyle name="Normal 5 6 9" xfId="1941" xr:uid="{00000000-0005-0000-0000-00007F310000}"/>
    <cellStyle name="Normal 5 6 9 2" xfId="3951" xr:uid="{00000000-0005-0000-0000-000080310000}"/>
    <cellStyle name="Normal 5 6 9 2 2" xfId="7025" xr:uid="{00000000-0005-0000-0000-000081310000}"/>
    <cellStyle name="Normal 5 6 9 3" xfId="5495" xr:uid="{00000000-0005-0000-0000-000082310000}"/>
    <cellStyle name="Normal 5 7" xfId="1942" xr:uid="{00000000-0005-0000-0000-000083310000}"/>
    <cellStyle name="Normal 5 7 10" xfId="1943" xr:uid="{00000000-0005-0000-0000-000084310000}"/>
    <cellStyle name="Normal 5 7 10 2" xfId="3953" xr:uid="{00000000-0005-0000-0000-000085310000}"/>
    <cellStyle name="Normal 5 7 10 2 2" xfId="7027" xr:uid="{00000000-0005-0000-0000-000086310000}"/>
    <cellStyle name="Normal 5 7 10 3" xfId="5497" xr:uid="{00000000-0005-0000-0000-000087310000}"/>
    <cellStyle name="Normal 5 7 11" xfId="1944" xr:uid="{00000000-0005-0000-0000-000088310000}"/>
    <cellStyle name="Normal 5 7 11 2" xfId="3954" xr:uid="{00000000-0005-0000-0000-000089310000}"/>
    <cellStyle name="Normal 5 7 11 2 2" xfId="7028" xr:uid="{00000000-0005-0000-0000-00008A310000}"/>
    <cellStyle name="Normal 5 7 11 3" xfId="5498" xr:uid="{00000000-0005-0000-0000-00008B310000}"/>
    <cellStyle name="Normal 5 7 12" xfId="1945" xr:uid="{00000000-0005-0000-0000-00008C310000}"/>
    <cellStyle name="Normal 5 7 12 2" xfId="3955" xr:uid="{00000000-0005-0000-0000-00008D310000}"/>
    <cellStyle name="Normal 5 7 12 2 2" xfId="7029" xr:uid="{00000000-0005-0000-0000-00008E310000}"/>
    <cellStyle name="Normal 5 7 12 3" xfId="5499" xr:uid="{00000000-0005-0000-0000-00008F310000}"/>
    <cellStyle name="Normal 5 7 13" xfId="1946" xr:uid="{00000000-0005-0000-0000-000090310000}"/>
    <cellStyle name="Normal 5 7 13 2" xfId="3956" xr:uid="{00000000-0005-0000-0000-000091310000}"/>
    <cellStyle name="Normal 5 7 13 2 2" xfId="7030" xr:uid="{00000000-0005-0000-0000-000092310000}"/>
    <cellStyle name="Normal 5 7 13 3" xfId="5500" xr:uid="{00000000-0005-0000-0000-000093310000}"/>
    <cellStyle name="Normal 5 7 14" xfId="1947" xr:uid="{00000000-0005-0000-0000-000094310000}"/>
    <cellStyle name="Normal 5 7 14 2" xfId="3957" xr:uid="{00000000-0005-0000-0000-000095310000}"/>
    <cellStyle name="Normal 5 7 14 2 2" xfId="7031" xr:uid="{00000000-0005-0000-0000-000096310000}"/>
    <cellStyle name="Normal 5 7 14 3" xfId="5501" xr:uid="{00000000-0005-0000-0000-000097310000}"/>
    <cellStyle name="Normal 5 7 15" xfId="1948" xr:uid="{00000000-0005-0000-0000-000098310000}"/>
    <cellStyle name="Normal 5 7 15 2" xfId="3958" xr:uid="{00000000-0005-0000-0000-000099310000}"/>
    <cellStyle name="Normal 5 7 15 2 2" xfId="7032" xr:uid="{00000000-0005-0000-0000-00009A310000}"/>
    <cellStyle name="Normal 5 7 15 3" xfId="5502" xr:uid="{00000000-0005-0000-0000-00009B310000}"/>
    <cellStyle name="Normal 5 7 16" xfId="1949" xr:uid="{00000000-0005-0000-0000-00009C310000}"/>
    <cellStyle name="Normal 5 7 16 2" xfId="3959" xr:uid="{00000000-0005-0000-0000-00009D310000}"/>
    <cellStyle name="Normal 5 7 16 2 2" xfId="7033" xr:uid="{00000000-0005-0000-0000-00009E310000}"/>
    <cellStyle name="Normal 5 7 16 3" xfId="5503" xr:uid="{00000000-0005-0000-0000-00009F310000}"/>
    <cellStyle name="Normal 5 7 17" xfId="1950" xr:uid="{00000000-0005-0000-0000-0000A0310000}"/>
    <cellStyle name="Normal 5 7 17 2" xfId="3960" xr:uid="{00000000-0005-0000-0000-0000A1310000}"/>
    <cellStyle name="Normal 5 7 17 2 2" xfId="7034" xr:uid="{00000000-0005-0000-0000-0000A2310000}"/>
    <cellStyle name="Normal 5 7 17 3" xfId="5504" xr:uid="{00000000-0005-0000-0000-0000A3310000}"/>
    <cellStyle name="Normal 5 7 18" xfId="1951" xr:uid="{00000000-0005-0000-0000-0000A4310000}"/>
    <cellStyle name="Normal 5 7 18 2" xfId="3961" xr:uid="{00000000-0005-0000-0000-0000A5310000}"/>
    <cellStyle name="Normal 5 7 18 2 2" xfId="7035" xr:uid="{00000000-0005-0000-0000-0000A6310000}"/>
    <cellStyle name="Normal 5 7 18 3" xfId="5505" xr:uid="{00000000-0005-0000-0000-0000A7310000}"/>
    <cellStyle name="Normal 5 7 19" xfId="1952" xr:uid="{00000000-0005-0000-0000-0000A8310000}"/>
    <cellStyle name="Normal 5 7 19 2" xfId="3962" xr:uid="{00000000-0005-0000-0000-0000A9310000}"/>
    <cellStyle name="Normal 5 7 19 2 2" xfId="7036" xr:uid="{00000000-0005-0000-0000-0000AA310000}"/>
    <cellStyle name="Normal 5 7 19 3" xfId="5506" xr:uid="{00000000-0005-0000-0000-0000AB310000}"/>
    <cellStyle name="Normal 5 7 2" xfId="1953" xr:uid="{00000000-0005-0000-0000-0000AC310000}"/>
    <cellStyle name="Normal 5 7 2 2" xfId="3963" xr:uid="{00000000-0005-0000-0000-0000AD310000}"/>
    <cellStyle name="Normal 5 7 2 2 2" xfId="7037" xr:uid="{00000000-0005-0000-0000-0000AE310000}"/>
    <cellStyle name="Normal 5 7 2 3" xfId="5507" xr:uid="{00000000-0005-0000-0000-0000AF310000}"/>
    <cellStyle name="Normal 5 7 20" xfId="1954" xr:uid="{00000000-0005-0000-0000-0000B0310000}"/>
    <cellStyle name="Normal 5 7 20 2" xfId="3964" xr:uid="{00000000-0005-0000-0000-0000B1310000}"/>
    <cellStyle name="Normal 5 7 20 2 2" xfId="7038" xr:uid="{00000000-0005-0000-0000-0000B2310000}"/>
    <cellStyle name="Normal 5 7 20 3" xfId="5508" xr:uid="{00000000-0005-0000-0000-0000B3310000}"/>
    <cellStyle name="Normal 5 7 21" xfId="1955" xr:uid="{00000000-0005-0000-0000-0000B4310000}"/>
    <cellStyle name="Normal 5 7 21 2" xfId="3965" xr:uid="{00000000-0005-0000-0000-0000B5310000}"/>
    <cellStyle name="Normal 5 7 21 2 2" xfId="7039" xr:uid="{00000000-0005-0000-0000-0000B6310000}"/>
    <cellStyle name="Normal 5 7 21 3" xfId="5509" xr:uid="{00000000-0005-0000-0000-0000B7310000}"/>
    <cellStyle name="Normal 5 7 22" xfId="1956" xr:uid="{00000000-0005-0000-0000-0000B8310000}"/>
    <cellStyle name="Normal 5 7 22 2" xfId="3966" xr:uid="{00000000-0005-0000-0000-0000B9310000}"/>
    <cellStyle name="Normal 5 7 22 2 2" xfId="7040" xr:uid="{00000000-0005-0000-0000-0000BA310000}"/>
    <cellStyle name="Normal 5 7 22 3" xfId="5510" xr:uid="{00000000-0005-0000-0000-0000BB310000}"/>
    <cellStyle name="Normal 5 7 23" xfId="1957" xr:uid="{00000000-0005-0000-0000-0000BC310000}"/>
    <cellStyle name="Normal 5 7 23 2" xfId="3967" xr:uid="{00000000-0005-0000-0000-0000BD310000}"/>
    <cellStyle name="Normal 5 7 23 2 2" xfId="7041" xr:uid="{00000000-0005-0000-0000-0000BE310000}"/>
    <cellStyle name="Normal 5 7 23 3" xfId="5511" xr:uid="{00000000-0005-0000-0000-0000BF310000}"/>
    <cellStyle name="Normal 5 7 24" xfId="1958" xr:uid="{00000000-0005-0000-0000-0000C0310000}"/>
    <cellStyle name="Normal 5 7 24 2" xfId="3968" xr:uid="{00000000-0005-0000-0000-0000C1310000}"/>
    <cellStyle name="Normal 5 7 24 2 2" xfId="7042" xr:uid="{00000000-0005-0000-0000-0000C2310000}"/>
    <cellStyle name="Normal 5 7 24 3" xfId="5512" xr:uid="{00000000-0005-0000-0000-0000C3310000}"/>
    <cellStyle name="Normal 5 7 25" xfId="1959" xr:uid="{00000000-0005-0000-0000-0000C4310000}"/>
    <cellStyle name="Normal 5 7 25 2" xfId="3969" xr:uid="{00000000-0005-0000-0000-0000C5310000}"/>
    <cellStyle name="Normal 5 7 25 2 2" xfId="7043" xr:uid="{00000000-0005-0000-0000-0000C6310000}"/>
    <cellStyle name="Normal 5 7 25 3" xfId="5513" xr:uid="{00000000-0005-0000-0000-0000C7310000}"/>
    <cellStyle name="Normal 5 7 26" xfId="1960" xr:uid="{00000000-0005-0000-0000-0000C8310000}"/>
    <cellStyle name="Normal 5 7 26 2" xfId="3970" xr:uid="{00000000-0005-0000-0000-0000C9310000}"/>
    <cellStyle name="Normal 5 7 26 2 2" xfId="7044" xr:uid="{00000000-0005-0000-0000-0000CA310000}"/>
    <cellStyle name="Normal 5 7 26 3" xfId="5514" xr:uid="{00000000-0005-0000-0000-0000CB310000}"/>
    <cellStyle name="Normal 5 7 27" xfId="1961" xr:uid="{00000000-0005-0000-0000-0000CC310000}"/>
    <cellStyle name="Normal 5 7 27 2" xfId="3971" xr:uid="{00000000-0005-0000-0000-0000CD310000}"/>
    <cellStyle name="Normal 5 7 27 2 2" xfId="7045" xr:uid="{00000000-0005-0000-0000-0000CE310000}"/>
    <cellStyle name="Normal 5 7 27 3" xfId="5515" xr:uid="{00000000-0005-0000-0000-0000CF310000}"/>
    <cellStyle name="Normal 5 7 28" xfId="1962" xr:uid="{00000000-0005-0000-0000-0000D0310000}"/>
    <cellStyle name="Normal 5 7 28 2" xfId="3972" xr:uid="{00000000-0005-0000-0000-0000D1310000}"/>
    <cellStyle name="Normal 5 7 28 2 2" xfId="7046" xr:uid="{00000000-0005-0000-0000-0000D2310000}"/>
    <cellStyle name="Normal 5 7 28 3" xfId="5516" xr:uid="{00000000-0005-0000-0000-0000D3310000}"/>
    <cellStyle name="Normal 5 7 29" xfId="1963" xr:uid="{00000000-0005-0000-0000-0000D4310000}"/>
    <cellStyle name="Normal 5 7 29 2" xfId="3973" xr:uid="{00000000-0005-0000-0000-0000D5310000}"/>
    <cellStyle name="Normal 5 7 29 2 2" xfId="7047" xr:uid="{00000000-0005-0000-0000-0000D6310000}"/>
    <cellStyle name="Normal 5 7 29 3" xfId="5517" xr:uid="{00000000-0005-0000-0000-0000D7310000}"/>
    <cellStyle name="Normal 5 7 3" xfId="1964" xr:uid="{00000000-0005-0000-0000-0000D8310000}"/>
    <cellStyle name="Normal 5 7 3 2" xfId="3974" xr:uid="{00000000-0005-0000-0000-0000D9310000}"/>
    <cellStyle name="Normal 5 7 3 2 2" xfId="7048" xr:uid="{00000000-0005-0000-0000-0000DA310000}"/>
    <cellStyle name="Normal 5 7 3 3" xfId="5518" xr:uid="{00000000-0005-0000-0000-0000DB310000}"/>
    <cellStyle name="Normal 5 7 30" xfId="1965" xr:uid="{00000000-0005-0000-0000-0000DC310000}"/>
    <cellStyle name="Normal 5 7 30 2" xfId="3975" xr:uid="{00000000-0005-0000-0000-0000DD310000}"/>
    <cellStyle name="Normal 5 7 30 2 2" xfId="7049" xr:uid="{00000000-0005-0000-0000-0000DE310000}"/>
    <cellStyle name="Normal 5 7 30 3" xfId="5519" xr:uid="{00000000-0005-0000-0000-0000DF310000}"/>
    <cellStyle name="Normal 5 7 31" xfId="1966" xr:uid="{00000000-0005-0000-0000-0000E0310000}"/>
    <cellStyle name="Normal 5 7 31 2" xfId="3976" xr:uid="{00000000-0005-0000-0000-0000E1310000}"/>
    <cellStyle name="Normal 5 7 31 2 2" xfId="7050" xr:uid="{00000000-0005-0000-0000-0000E2310000}"/>
    <cellStyle name="Normal 5 7 31 3" xfId="5520" xr:uid="{00000000-0005-0000-0000-0000E3310000}"/>
    <cellStyle name="Normal 5 7 32" xfId="1967" xr:uid="{00000000-0005-0000-0000-0000E4310000}"/>
    <cellStyle name="Normal 5 7 32 2" xfId="3977" xr:uid="{00000000-0005-0000-0000-0000E5310000}"/>
    <cellStyle name="Normal 5 7 32 2 2" xfId="7051" xr:uid="{00000000-0005-0000-0000-0000E6310000}"/>
    <cellStyle name="Normal 5 7 32 3" xfId="5521" xr:uid="{00000000-0005-0000-0000-0000E7310000}"/>
    <cellStyle name="Normal 5 7 33" xfId="1968" xr:uid="{00000000-0005-0000-0000-0000E8310000}"/>
    <cellStyle name="Normal 5 7 33 2" xfId="3978" xr:uid="{00000000-0005-0000-0000-0000E9310000}"/>
    <cellStyle name="Normal 5 7 33 2 2" xfId="7052" xr:uid="{00000000-0005-0000-0000-0000EA310000}"/>
    <cellStyle name="Normal 5 7 33 3" xfId="5522" xr:uid="{00000000-0005-0000-0000-0000EB310000}"/>
    <cellStyle name="Normal 5 7 34" xfId="1969" xr:uid="{00000000-0005-0000-0000-0000EC310000}"/>
    <cellStyle name="Normal 5 7 34 2" xfId="3979" xr:uid="{00000000-0005-0000-0000-0000ED310000}"/>
    <cellStyle name="Normal 5 7 34 2 2" xfId="7053" xr:uid="{00000000-0005-0000-0000-0000EE310000}"/>
    <cellStyle name="Normal 5 7 34 3" xfId="5523" xr:uid="{00000000-0005-0000-0000-0000EF310000}"/>
    <cellStyle name="Normal 5 7 35" xfId="1970" xr:uid="{00000000-0005-0000-0000-0000F0310000}"/>
    <cellStyle name="Normal 5 7 35 2" xfId="3980" xr:uid="{00000000-0005-0000-0000-0000F1310000}"/>
    <cellStyle name="Normal 5 7 35 2 2" xfId="7054" xr:uid="{00000000-0005-0000-0000-0000F2310000}"/>
    <cellStyle name="Normal 5 7 35 3" xfId="5524" xr:uid="{00000000-0005-0000-0000-0000F3310000}"/>
    <cellStyle name="Normal 5 7 36" xfId="1971" xr:uid="{00000000-0005-0000-0000-0000F4310000}"/>
    <cellStyle name="Normal 5 7 36 2" xfId="3981" xr:uid="{00000000-0005-0000-0000-0000F5310000}"/>
    <cellStyle name="Normal 5 7 36 2 2" xfId="7055" xr:uid="{00000000-0005-0000-0000-0000F6310000}"/>
    <cellStyle name="Normal 5 7 36 3" xfId="5525" xr:uid="{00000000-0005-0000-0000-0000F7310000}"/>
    <cellStyle name="Normal 5 7 37" xfId="1972" xr:uid="{00000000-0005-0000-0000-0000F8310000}"/>
    <cellStyle name="Normal 5 7 37 2" xfId="3982" xr:uid="{00000000-0005-0000-0000-0000F9310000}"/>
    <cellStyle name="Normal 5 7 37 2 2" xfId="7056" xr:uid="{00000000-0005-0000-0000-0000FA310000}"/>
    <cellStyle name="Normal 5 7 37 3" xfId="5526" xr:uid="{00000000-0005-0000-0000-0000FB310000}"/>
    <cellStyle name="Normal 5 7 38" xfId="1973" xr:uid="{00000000-0005-0000-0000-0000FC310000}"/>
    <cellStyle name="Normal 5 7 38 2" xfId="3983" xr:uid="{00000000-0005-0000-0000-0000FD310000}"/>
    <cellStyle name="Normal 5 7 38 2 2" xfId="7057" xr:uid="{00000000-0005-0000-0000-0000FE310000}"/>
    <cellStyle name="Normal 5 7 38 3" xfId="5527" xr:uid="{00000000-0005-0000-0000-0000FF310000}"/>
    <cellStyle name="Normal 5 7 39" xfId="1974" xr:uid="{00000000-0005-0000-0000-000000320000}"/>
    <cellStyle name="Normal 5 7 39 2" xfId="3984" xr:uid="{00000000-0005-0000-0000-000001320000}"/>
    <cellStyle name="Normal 5 7 39 2 2" xfId="7058" xr:uid="{00000000-0005-0000-0000-000002320000}"/>
    <cellStyle name="Normal 5 7 39 3" xfId="5528" xr:uid="{00000000-0005-0000-0000-000003320000}"/>
    <cellStyle name="Normal 5 7 4" xfId="1975" xr:uid="{00000000-0005-0000-0000-000004320000}"/>
    <cellStyle name="Normal 5 7 4 2" xfId="3985" xr:uid="{00000000-0005-0000-0000-000005320000}"/>
    <cellStyle name="Normal 5 7 4 2 2" xfId="7059" xr:uid="{00000000-0005-0000-0000-000006320000}"/>
    <cellStyle name="Normal 5 7 4 3" xfId="5529" xr:uid="{00000000-0005-0000-0000-000007320000}"/>
    <cellStyle name="Normal 5 7 40" xfId="1976" xr:uid="{00000000-0005-0000-0000-000008320000}"/>
    <cellStyle name="Normal 5 7 40 2" xfId="3986" xr:uid="{00000000-0005-0000-0000-000009320000}"/>
    <cellStyle name="Normal 5 7 40 2 2" xfId="7060" xr:uid="{00000000-0005-0000-0000-00000A320000}"/>
    <cellStyle name="Normal 5 7 40 3" xfId="5530" xr:uid="{00000000-0005-0000-0000-00000B320000}"/>
    <cellStyle name="Normal 5 7 41" xfId="1977" xr:uid="{00000000-0005-0000-0000-00000C320000}"/>
    <cellStyle name="Normal 5 7 41 2" xfId="3987" xr:uid="{00000000-0005-0000-0000-00000D320000}"/>
    <cellStyle name="Normal 5 7 41 2 2" xfId="7061" xr:uid="{00000000-0005-0000-0000-00000E320000}"/>
    <cellStyle name="Normal 5 7 41 3" xfId="5531" xr:uid="{00000000-0005-0000-0000-00000F320000}"/>
    <cellStyle name="Normal 5 7 42" xfId="1978" xr:uid="{00000000-0005-0000-0000-000010320000}"/>
    <cellStyle name="Normal 5 7 42 2" xfId="3988" xr:uid="{00000000-0005-0000-0000-000011320000}"/>
    <cellStyle name="Normal 5 7 42 2 2" xfId="7062" xr:uid="{00000000-0005-0000-0000-000012320000}"/>
    <cellStyle name="Normal 5 7 42 3" xfId="5532" xr:uid="{00000000-0005-0000-0000-000013320000}"/>
    <cellStyle name="Normal 5 7 43" xfId="1979" xr:uid="{00000000-0005-0000-0000-000014320000}"/>
    <cellStyle name="Normal 5 7 43 2" xfId="3989" xr:uid="{00000000-0005-0000-0000-000015320000}"/>
    <cellStyle name="Normal 5 7 43 2 2" xfId="7063" xr:uid="{00000000-0005-0000-0000-000016320000}"/>
    <cellStyle name="Normal 5 7 43 3" xfId="5533" xr:uid="{00000000-0005-0000-0000-000017320000}"/>
    <cellStyle name="Normal 5 7 44" xfId="3952" xr:uid="{00000000-0005-0000-0000-000018320000}"/>
    <cellStyle name="Normal 5 7 44 2" xfId="7026" xr:uid="{00000000-0005-0000-0000-000019320000}"/>
    <cellStyle name="Normal 5 7 45" xfId="5496" xr:uid="{00000000-0005-0000-0000-00001A320000}"/>
    <cellStyle name="Normal 5 7 5" xfId="1980" xr:uid="{00000000-0005-0000-0000-00001B320000}"/>
    <cellStyle name="Normal 5 7 5 2" xfId="3990" xr:uid="{00000000-0005-0000-0000-00001C320000}"/>
    <cellStyle name="Normal 5 7 5 2 2" xfId="7064" xr:uid="{00000000-0005-0000-0000-00001D320000}"/>
    <cellStyle name="Normal 5 7 5 3" xfId="5534" xr:uid="{00000000-0005-0000-0000-00001E320000}"/>
    <cellStyle name="Normal 5 7 6" xfId="1981" xr:uid="{00000000-0005-0000-0000-00001F320000}"/>
    <cellStyle name="Normal 5 7 6 2" xfId="3991" xr:uid="{00000000-0005-0000-0000-000020320000}"/>
    <cellStyle name="Normal 5 7 6 2 2" xfId="7065" xr:uid="{00000000-0005-0000-0000-000021320000}"/>
    <cellStyle name="Normal 5 7 6 3" xfId="5535" xr:uid="{00000000-0005-0000-0000-000022320000}"/>
    <cellStyle name="Normal 5 7 7" xfId="1982" xr:uid="{00000000-0005-0000-0000-000023320000}"/>
    <cellStyle name="Normal 5 7 7 2" xfId="3992" xr:uid="{00000000-0005-0000-0000-000024320000}"/>
    <cellStyle name="Normal 5 7 7 2 2" xfId="7066" xr:uid="{00000000-0005-0000-0000-000025320000}"/>
    <cellStyle name="Normal 5 7 7 3" xfId="5536" xr:uid="{00000000-0005-0000-0000-000026320000}"/>
    <cellStyle name="Normal 5 7 8" xfId="1983" xr:uid="{00000000-0005-0000-0000-000027320000}"/>
    <cellStyle name="Normal 5 7 8 2" xfId="3993" xr:uid="{00000000-0005-0000-0000-000028320000}"/>
    <cellStyle name="Normal 5 7 8 2 2" xfId="7067" xr:uid="{00000000-0005-0000-0000-000029320000}"/>
    <cellStyle name="Normal 5 7 8 3" xfId="5537" xr:uid="{00000000-0005-0000-0000-00002A320000}"/>
    <cellStyle name="Normal 5 7 9" xfId="1984" xr:uid="{00000000-0005-0000-0000-00002B320000}"/>
    <cellStyle name="Normal 5 7 9 2" xfId="3994" xr:uid="{00000000-0005-0000-0000-00002C320000}"/>
    <cellStyle name="Normal 5 7 9 2 2" xfId="7068" xr:uid="{00000000-0005-0000-0000-00002D320000}"/>
    <cellStyle name="Normal 5 7 9 3" xfId="5538" xr:uid="{00000000-0005-0000-0000-00002E320000}"/>
    <cellStyle name="Normal 5 8" xfId="1985" xr:uid="{00000000-0005-0000-0000-00002F320000}"/>
    <cellStyle name="Normal 5 8 10" xfId="1986" xr:uid="{00000000-0005-0000-0000-000030320000}"/>
    <cellStyle name="Normal 5 8 10 2" xfId="3996" xr:uid="{00000000-0005-0000-0000-000031320000}"/>
    <cellStyle name="Normal 5 8 10 2 2" xfId="7070" xr:uid="{00000000-0005-0000-0000-000032320000}"/>
    <cellStyle name="Normal 5 8 10 3" xfId="5540" xr:uid="{00000000-0005-0000-0000-000033320000}"/>
    <cellStyle name="Normal 5 8 11" xfId="1987" xr:uid="{00000000-0005-0000-0000-000034320000}"/>
    <cellStyle name="Normal 5 8 11 2" xfId="3997" xr:uid="{00000000-0005-0000-0000-000035320000}"/>
    <cellStyle name="Normal 5 8 11 2 2" xfId="7071" xr:uid="{00000000-0005-0000-0000-000036320000}"/>
    <cellStyle name="Normal 5 8 11 3" xfId="5541" xr:uid="{00000000-0005-0000-0000-000037320000}"/>
    <cellStyle name="Normal 5 8 12" xfId="1988" xr:uid="{00000000-0005-0000-0000-000038320000}"/>
    <cellStyle name="Normal 5 8 12 2" xfId="3998" xr:uid="{00000000-0005-0000-0000-000039320000}"/>
    <cellStyle name="Normal 5 8 12 2 2" xfId="7072" xr:uid="{00000000-0005-0000-0000-00003A320000}"/>
    <cellStyle name="Normal 5 8 12 3" xfId="5542" xr:uid="{00000000-0005-0000-0000-00003B320000}"/>
    <cellStyle name="Normal 5 8 13" xfId="1989" xr:uid="{00000000-0005-0000-0000-00003C320000}"/>
    <cellStyle name="Normal 5 8 13 2" xfId="3999" xr:uid="{00000000-0005-0000-0000-00003D320000}"/>
    <cellStyle name="Normal 5 8 13 2 2" xfId="7073" xr:uid="{00000000-0005-0000-0000-00003E320000}"/>
    <cellStyle name="Normal 5 8 13 3" xfId="5543" xr:uid="{00000000-0005-0000-0000-00003F320000}"/>
    <cellStyle name="Normal 5 8 14" xfId="1990" xr:uid="{00000000-0005-0000-0000-000040320000}"/>
    <cellStyle name="Normal 5 8 14 2" xfId="4000" xr:uid="{00000000-0005-0000-0000-000041320000}"/>
    <cellStyle name="Normal 5 8 14 2 2" xfId="7074" xr:uid="{00000000-0005-0000-0000-000042320000}"/>
    <cellStyle name="Normal 5 8 14 3" xfId="5544" xr:uid="{00000000-0005-0000-0000-000043320000}"/>
    <cellStyle name="Normal 5 8 15" xfId="1991" xr:uid="{00000000-0005-0000-0000-000044320000}"/>
    <cellStyle name="Normal 5 8 15 2" xfId="4001" xr:uid="{00000000-0005-0000-0000-000045320000}"/>
    <cellStyle name="Normal 5 8 15 2 2" xfId="7075" xr:uid="{00000000-0005-0000-0000-000046320000}"/>
    <cellStyle name="Normal 5 8 15 3" xfId="5545" xr:uid="{00000000-0005-0000-0000-000047320000}"/>
    <cellStyle name="Normal 5 8 16" xfId="1992" xr:uid="{00000000-0005-0000-0000-000048320000}"/>
    <cellStyle name="Normal 5 8 16 2" xfId="4002" xr:uid="{00000000-0005-0000-0000-000049320000}"/>
    <cellStyle name="Normal 5 8 16 2 2" xfId="7076" xr:uid="{00000000-0005-0000-0000-00004A320000}"/>
    <cellStyle name="Normal 5 8 16 3" xfId="5546" xr:uid="{00000000-0005-0000-0000-00004B320000}"/>
    <cellStyle name="Normal 5 8 17" xfId="1993" xr:uid="{00000000-0005-0000-0000-00004C320000}"/>
    <cellStyle name="Normal 5 8 17 2" xfId="4003" xr:uid="{00000000-0005-0000-0000-00004D320000}"/>
    <cellStyle name="Normal 5 8 17 2 2" xfId="7077" xr:uid="{00000000-0005-0000-0000-00004E320000}"/>
    <cellStyle name="Normal 5 8 17 3" xfId="5547" xr:uid="{00000000-0005-0000-0000-00004F320000}"/>
    <cellStyle name="Normal 5 8 18" xfId="1994" xr:uid="{00000000-0005-0000-0000-000050320000}"/>
    <cellStyle name="Normal 5 8 18 2" xfId="4004" xr:uid="{00000000-0005-0000-0000-000051320000}"/>
    <cellStyle name="Normal 5 8 18 2 2" xfId="7078" xr:uid="{00000000-0005-0000-0000-000052320000}"/>
    <cellStyle name="Normal 5 8 18 3" xfId="5548" xr:uid="{00000000-0005-0000-0000-000053320000}"/>
    <cellStyle name="Normal 5 8 19" xfId="1995" xr:uid="{00000000-0005-0000-0000-000054320000}"/>
    <cellStyle name="Normal 5 8 19 2" xfId="4005" xr:uid="{00000000-0005-0000-0000-000055320000}"/>
    <cellStyle name="Normal 5 8 19 2 2" xfId="7079" xr:uid="{00000000-0005-0000-0000-000056320000}"/>
    <cellStyle name="Normal 5 8 19 3" xfId="5549" xr:uid="{00000000-0005-0000-0000-000057320000}"/>
    <cellStyle name="Normal 5 8 2" xfId="1996" xr:uid="{00000000-0005-0000-0000-000058320000}"/>
    <cellStyle name="Normal 5 8 2 2" xfId="4006" xr:uid="{00000000-0005-0000-0000-000059320000}"/>
    <cellStyle name="Normal 5 8 2 2 2" xfId="7080" xr:uid="{00000000-0005-0000-0000-00005A320000}"/>
    <cellStyle name="Normal 5 8 2 3" xfId="5550" xr:uid="{00000000-0005-0000-0000-00005B320000}"/>
    <cellStyle name="Normal 5 8 20" xfId="1997" xr:uid="{00000000-0005-0000-0000-00005C320000}"/>
    <cellStyle name="Normal 5 8 20 2" xfId="4007" xr:uid="{00000000-0005-0000-0000-00005D320000}"/>
    <cellStyle name="Normal 5 8 20 2 2" xfId="7081" xr:uid="{00000000-0005-0000-0000-00005E320000}"/>
    <cellStyle name="Normal 5 8 20 3" xfId="5551" xr:uid="{00000000-0005-0000-0000-00005F320000}"/>
    <cellStyle name="Normal 5 8 21" xfId="1998" xr:uid="{00000000-0005-0000-0000-000060320000}"/>
    <cellStyle name="Normal 5 8 21 2" xfId="4008" xr:uid="{00000000-0005-0000-0000-000061320000}"/>
    <cellStyle name="Normal 5 8 21 2 2" xfId="7082" xr:uid="{00000000-0005-0000-0000-000062320000}"/>
    <cellStyle name="Normal 5 8 21 3" xfId="5552" xr:uid="{00000000-0005-0000-0000-000063320000}"/>
    <cellStyle name="Normal 5 8 22" xfId="1999" xr:uid="{00000000-0005-0000-0000-000064320000}"/>
    <cellStyle name="Normal 5 8 22 2" xfId="4009" xr:uid="{00000000-0005-0000-0000-000065320000}"/>
    <cellStyle name="Normal 5 8 22 2 2" xfId="7083" xr:uid="{00000000-0005-0000-0000-000066320000}"/>
    <cellStyle name="Normal 5 8 22 3" xfId="5553" xr:uid="{00000000-0005-0000-0000-000067320000}"/>
    <cellStyle name="Normal 5 8 23" xfId="2000" xr:uid="{00000000-0005-0000-0000-000068320000}"/>
    <cellStyle name="Normal 5 8 23 2" xfId="4010" xr:uid="{00000000-0005-0000-0000-000069320000}"/>
    <cellStyle name="Normal 5 8 23 2 2" xfId="7084" xr:uid="{00000000-0005-0000-0000-00006A320000}"/>
    <cellStyle name="Normal 5 8 23 3" xfId="5554" xr:uid="{00000000-0005-0000-0000-00006B320000}"/>
    <cellStyle name="Normal 5 8 24" xfId="2001" xr:uid="{00000000-0005-0000-0000-00006C320000}"/>
    <cellStyle name="Normal 5 8 24 2" xfId="4011" xr:uid="{00000000-0005-0000-0000-00006D320000}"/>
    <cellStyle name="Normal 5 8 24 2 2" xfId="7085" xr:uid="{00000000-0005-0000-0000-00006E320000}"/>
    <cellStyle name="Normal 5 8 24 3" xfId="5555" xr:uid="{00000000-0005-0000-0000-00006F320000}"/>
    <cellStyle name="Normal 5 8 25" xfId="2002" xr:uid="{00000000-0005-0000-0000-000070320000}"/>
    <cellStyle name="Normal 5 8 25 2" xfId="4012" xr:uid="{00000000-0005-0000-0000-000071320000}"/>
    <cellStyle name="Normal 5 8 25 2 2" xfId="7086" xr:uid="{00000000-0005-0000-0000-000072320000}"/>
    <cellStyle name="Normal 5 8 25 3" xfId="5556" xr:uid="{00000000-0005-0000-0000-000073320000}"/>
    <cellStyle name="Normal 5 8 26" xfId="2003" xr:uid="{00000000-0005-0000-0000-000074320000}"/>
    <cellStyle name="Normal 5 8 26 2" xfId="4013" xr:uid="{00000000-0005-0000-0000-000075320000}"/>
    <cellStyle name="Normal 5 8 26 2 2" xfId="7087" xr:uid="{00000000-0005-0000-0000-000076320000}"/>
    <cellStyle name="Normal 5 8 26 3" xfId="5557" xr:uid="{00000000-0005-0000-0000-000077320000}"/>
    <cellStyle name="Normal 5 8 27" xfId="2004" xr:uid="{00000000-0005-0000-0000-000078320000}"/>
    <cellStyle name="Normal 5 8 27 2" xfId="4014" xr:uid="{00000000-0005-0000-0000-000079320000}"/>
    <cellStyle name="Normal 5 8 27 2 2" xfId="7088" xr:uid="{00000000-0005-0000-0000-00007A320000}"/>
    <cellStyle name="Normal 5 8 27 3" xfId="5558" xr:uid="{00000000-0005-0000-0000-00007B320000}"/>
    <cellStyle name="Normal 5 8 28" xfId="2005" xr:uid="{00000000-0005-0000-0000-00007C320000}"/>
    <cellStyle name="Normal 5 8 28 2" xfId="4015" xr:uid="{00000000-0005-0000-0000-00007D320000}"/>
    <cellStyle name="Normal 5 8 28 2 2" xfId="7089" xr:uid="{00000000-0005-0000-0000-00007E320000}"/>
    <cellStyle name="Normal 5 8 28 3" xfId="5559" xr:uid="{00000000-0005-0000-0000-00007F320000}"/>
    <cellStyle name="Normal 5 8 29" xfId="2006" xr:uid="{00000000-0005-0000-0000-000080320000}"/>
    <cellStyle name="Normal 5 8 29 2" xfId="4016" xr:uid="{00000000-0005-0000-0000-000081320000}"/>
    <cellStyle name="Normal 5 8 29 2 2" xfId="7090" xr:uid="{00000000-0005-0000-0000-000082320000}"/>
    <cellStyle name="Normal 5 8 29 3" xfId="5560" xr:uid="{00000000-0005-0000-0000-000083320000}"/>
    <cellStyle name="Normal 5 8 3" xfId="2007" xr:uid="{00000000-0005-0000-0000-000084320000}"/>
    <cellStyle name="Normal 5 8 3 2" xfId="4017" xr:uid="{00000000-0005-0000-0000-000085320000}"/>
    <cellStyle name="Normal 5 8 3 2 2" xfId="7091" xr:uid="{00000000-0005-0000-0000-000086320000}"/>
    <cellStyle name="Normal 5 8 3 3" xfId="5561" xr:uid="{00000000-0005-0000-0000-000087320000}"/>
    <cellStyle name="Normal 5 8 30" xfId="2008" xr:uid="{00000000-0005-0000-0000-000088320000}"/>
    <cellStyle name="Normal 5 8 30 2" xfId="4018" xr:uid="{00000000-0005-0000-0000-000089320000}"/>
    <cellStyle name="Normal 5 8 30 2 2" xfId="7092" xr:uid="{00000000-0005-0000-0000-00008A320000}"/>
    <cellStyle name="Normal 5 8 30 3" xfId="5562" xr:uid="{00000000-0005-0000-0000-00008B320000}"/>
    <cellStyle name="Normal 5 8 31" xfId="2009" xr:uid="{00000000-0005-0000-0000-00008C320000}"/>
    <cellStyle name="Normal 5 8 31 2" xfId="4019" xr:uid="{00000000-0005-0000-0000-00008D320000}"/>
    <cellStyle name="Normal 5 8 31 2 2" xfId="7093" xr:uid="{00000000-0005-0000-0000-00008E320000}"/>
    <cellStyle name="Normal 5 8 31 3" xfId="5563" xr:uid="{00000000-0005-0000-0000-00008F320000}"/>
    <cellStyle name="Normal 5 8 32" xfId="2010" xr:uid="{00000000-0005-0000-0000-000090320000}"/>
    <cellStyle name="Normal 5 8 32 2" xfId="4020" xr:uid="{00000000-0005-0000-0000-000091320000}"/>
    <cellStyle name="Normal 5 8 32 2 2" xfId="7094" xr:uid="{00000000-0005-0000-0000-000092320000}"/>
    <cellStyle name="Normal 5 8 32 3" xfId="5564" xr:uid="{00000000-0005-0000-0000-000093320000}"/>
    <cellStyle name="Normal 5 8 33" xfId="2011" xr:uid="{00000000-0005-0000-0000-000094320000}"/>
    <cellStyle name="Normal 5 8 33 2" xfId="4021" xr:uid="{00000000-0005-0000-0000-000095320000}"/>
    <cellStyle name="Normal 5 8 33 2 2" xfId="7095" xr:uid="{00000000-0005-0000-0000-000096320000}"/>
    <cellStyle name="Normal 5 8 33 3" xfId="5565" xr:uid="{00000000-0005-0000-0000-000097320000}"/>
    <cellStyle name="Normal 5 8 34" xfId="2012" xr:uid="{00000000-0005-0000-0000-000098320000}"/>
    <cellStyle name="Normal 5 8 34 2" xfId="4022" xr:uid="{00000000-0005-0000-0000-000099320000}"/>
    <cellStyle name="Normal 5 8 34 2 2" xfId="7096" xr:uid="{00000000-0005-0000-0000-00009A320000}"/>
    <cellStyle name="Normal 5 8 34 3" xfId="5566" xr:uid="{00000000-0005-0000-0000-00009B320000}"/>
    <cellStyle name="Normal 5 8 35" xfId="2013" xr:uid="{00000000-0005-0000-0000-00009C320000}"/>
    <cellStyle name="Normal 5 8 35 2" xfId="4023" xr:uid="{00000000-0005-0000-0000-00009D320000}"/>
    <cellStyle name="Normal 5 8 35 2 2" xfId="7097" xr:uid="{00000000-0005-0000-0000-00009E320000}"/>
    <cellStyle name="Normal 5 8 35 3" xfId="5567" xr:uid="{00000000-0005-0000-0000-00009F320000}"/>
    <cellStyle name="Normal 5 8 36" xfId="2014" xr:uid="{00000000-0005-0000-0000-0000A0320000}"/>
    <cellStyle name="Normal 5 8 36 2" xfId="4024" xr:uid="{00000000-0005-0000-0000-0000A1320000}"/>
    <cellStyle name="Normal 5 8 36 2 2" xfId="7098" xr:uid="{00000000-0005-0000-0000-0000A2320000}"/>
    <cellStyle name="Normal 5 8 36 3" xfId="5568" xr:uid="{00000000-0005-0000-0000-0000A3320000}"/>
    <cellStyle name="Normal 5 8 37" xfId="2015" xr:uid="{00000000-0005-0000-0000-0000A4320000}"/>
    <cellStyle name="Normal 5 8 37 2" xfId="4025" xr:uid="{00000000-0005-0000-0000-0000A5320000}"/>
    <cellStyle name="Normal 5 8 37 2 2" xfId="7099" xr:uid="{00000000-0005-0000-0000-0000A6320000}"/>
    <cellStyle name="Normal 5 8 37 3" xfId="5569" xr:uid="{00000000-0005-0000-0000-0000A7320000}"/>
    <cellStyle name="Normal 5 8 38" xfId="2016" xr:uid="{00000000-0005-0000-0000-0000A8320000}"/>
    <cellStyle name="Normal 5 8 38 2" xfId="4026" xr:uid="{00000000-0005-0000-0000-0000A9320000}"/>
    <cellStyle name="Normal 5 8 38 2 2" xfId="7100" xr:uid="{00000000-0005-0000-0000-0000AA320000}"/>
    <cellStyle name="Normal 5 8 38 3" xfId="5570" xr:uid="{00000000-0005-0000-0000-0000AB320000}"/>
    <cellStyle name="Normal 5 8 39" xfId="2017" xr:uid="{00000000-0005-0000-0000-0000AC320000}"/>
    <cellStyle name="Normal 5 8 39 2" xfId="4027" xr:uid="{00000000-0005-0000-0000-0000AD320000}"/>
    <cellStyle name="Normal 5 8 39 2 2" xfId="7101" xr:uid="{00000000-0005-0000-0000-0000AE320000}"/>
    <cellStyle name="Normal 5 8 39 3" xfId="5571" xr:uid="{00000000-0005-0000-0000-0000AF320000}"/>
    <cellStyle name="Normal 5 8 4" xfId="2018" xr:uid="{00000000-0005-0000-0000-0000B0320000}"/>
    <cellStyle name="Normal 5 8 4 2" xfId="4028" xr:uid="{00000000-0005-0000-0000-0000B1320000}"/>
    <cellStyle name="Normal 5 8 4 2 2" xfId="7102" xr:uid="{00000000-0005-0000-0000-0000B2320000}"/>
    <cellStyle name="Normal 5 8 4 3" xfId="5572" xr:uid="{00000000-0005-0000-0000-0000B3320000}"/>
    <cellStyle name="Normal 5 8 40" xfId="2019" xr:uid="{00000000-0005-0000-0000-0000B4320000}"/>
    <cellStyle name="Normal 5 8 40 2" xfId="4029" xr:uid="{00000000-0005-0000-0000-0000B5320000}"/>
    <cellStyle name="Normal 5 8 40 2 2" xfId="7103" xr:uid="{00000000-0005-0000-0000-0000B6320000}"/>
    <cellStyle name="Normal 5 8 40 3" xfId="5573" xr:uid="{00000000-0005-0000-0000-0000B7320000}"/>
    <cellStyle name="Normal 5 8 41" xfId="2020" xr:uid="{00000000-0005-0000-0000-0000B8320000}"/>
    <cellStyle name="Normal 5 8 41 2" xfId="4030" xr:uid="{00000000-0005-0000-0000-0000B9320000}"/>
    <cellStyle name="Normal 5 8 41 2 2" xfId="7104" xr:uid="{00000000-0005-0000-0000-0000BA320000}"/>
    <cellStyle name="Normal 5 8 41 3" xfId="5574" xr:uid="{00000000-0005-0000-0000-0000BB320000}"/>
    <cellStyle name="Normal 5 8 42" xfId="2021" xr:uid="{00000000-0005-0000-0000-0000BC320000}"/>
    <cellStyle name="Normal 5 8 42 2" xfId="4031" xr:uid="{00000000-0005-0000-0000-0000BD320000}"/>
    <cellStyle name="Normal 5 8 42 2 2" xfId="7105" xr:uid="{00000000-0005-0000-0000-0000BE320000}"/>
    <cellStyle name="Normal 5 8 42 3" xfId="5575" xr:uid="{00000000-0005-0000-0000-0000BF320000}"/>
    <cellStyle name="Normal 5 8 43" xfId="2022" xr:uid="{00000000-0005-0000-0000-0000C0320000}"/>
    <cellStyle name="Normal 5 8 43 2" xfId="4032" xr:uid="{00000000-0005-0000-0000-0000C1320000}"/>
    <cellStyle name="Normal 5 8 43 2 2" xfId="7106" xr:uid="{00000000-0005-0000-0000-0000C2320000}"/>
    <cellStyle name="Normal 5 8 43 3" xfId="5576" xr:uid="{00000000-0005-0000-0000-0000C3320000}"/>
    <cellStyle name="Normal 5 8 44" xfId="3995" xr:uid="{00000000-0005-0000-0000-0000C4320000}"/>
    <cellStyle name="Normal 5 8 44 2" xfId="7069" xr:uid="{00000000-0005-0000-0000-0000C5320000}"/>
    <cellStyle name="Normal 5 8 45" xfId="5539" xr:uid="{00000000-0005-0000-0000-0000C6320000}"/>
    <cellStyle name="Normal 5 8 5" xfId="2023" xr:uid="{00000000-0005-0000-0000-0000C7320000}"/>
    <cellStyle name="Normal 5 8 5 2" xfId="4033" xr:uid="{00000000-0005-0000-0000-0000C8320000}"/>
    <cellStyle name="Normal 5 8 5 2 2" xfId="7107" xr:uid="{00000000-0005-0000-0000-0000C9320000}"/>
    <cellStyle name="Normal 5 8 5 3" xfId="5577" xr:uid="{00000000-0005-0000-0000-0000CA320000}"/>
    <cellStyle name="Normal 5 8 6" xfId="2024" xr:uid="{00000000-0005-0000-0000-0000CB320000}"/>
    <cellStyle name="Normal 5 8 6 2" xfId="4034" xr:uid="{00000000-0005-0000-0000-0000CC320000}"/>
    <cellStyle name="Normal 5 8 6 2 2" xfId="7108" xr:uid="{00000000-0005-0000-0000-0000CD320000}"/>
    <cellStyle name="Normal 5 8 6 3" xfId="5578" xr:uid="{00000000-0005-0000-0000-0000CE320000}"/>
    <cellStyle name="Normal 5 8 7" xfId="2025" xr:uid="{00000000-0005-0000-0000-0000CF320000}"/>
    <cellStyle name="Normal 5 8 7 2" xfId="4035" xr:uid="{00000000-0005-0000-0000-0000D0320000}"/>
    <cellStyle name="Normal 5 8 7 2 2" xfId="7109" xr:uid="{00000000-0005-0000-0000-0000D1320000}"/>
    <cellStyle name="Normal 5 8 7 3" xfId="5579" xr:uid="{00000000-0005-0000-0000-0000D2320000}"/>
    <cellStyle name="Normal 5 8 8" xfId="2026" xr:uid="{00000000-0005-0000-0000-0000D3320000}"/>
    <cellStyle name="Normal 5 8 8 2" xfId="4036" xr:uid="{00000000-0005-0000-0000-0000D4320000}"/>
    <cellStyle name="Normal 5 8 8 2 2" xfId="7110" xr:uid="{00000000-0005-0000-0000-0000D5320000}"/>
    <cellStyle name="Normal 5 8 8 3" xfId="5580" xr:uid="{00000000-0005-0000-0000-0000D6320000}"/>
    <cellStyle name="Normal 5 8 9" xfId="2027" xr:uid="{00000000-0005-0000-0000-0000D7320000}"/>
    <cellStyle name="Normal 5 8 9 2" xfId="4037" xr:uid="{00000000-0005-0000-0000-0000D8320000}"/>
    <cellStyle name="Normal 5 8 9 2 2" xfId="7111" xr:uid="{00000000-0005-0000-0000-0000D9320000}"/>
    <cellStyle name="Normal 5 8 9 3" xfId="5581" xr:uid="{00000000-0005-0000-0000-0000DA320000}"/>
    <cellStyle name="Normal 5 9" xfId="2028" xr:uid="{00000000-0005-0000-0000-0000DB320000}"/>
    <cellStyle name="Normal 5 9 10" xfId="2029" xr:uid="{00000000-0005-0000-0000-0000DC320000}"/>
    <cellStyle name="Normal 5 9 10 2" xfId="4039" xr:uid="{00000000-0005-0000-0000-0000DD320000}"/>
    <cellStyle name="Normal 5 9 10 2 2" xfId="7113" xr:uid="{00000000-0005-0000-0000-0000DE320000}"/>
    <cellStyle name="Normal 5 9 10 3" xfId="5583" xr:uid="{00000000-0005-0000-0000-0000DF320000}"/>
    <cellStyle name="Normal 5 9 11" xfId="2030" xr:uid="{00000000-0005-0000-0000-0000E0320000}"/>
    <cellStyle name="Normal 5 9 11 2" xfId="4040" xr:uid="{00000000-0005-0000-0000-0000E1320000}"/>
    <cellStyle name="Normal 5 9 11 2 2" xfId="7114" xr:uid="{00000000-0005-0000-0000-0000E2320000}"/>
    <cellStyle name="Normal 5 9 11 3" xfId="5584" xr:uid="{00000000-0005-0000-0000-0000E3320000}"/>
    <cellStyle name="Normal 5 9 12" xfId="2031" xr:uid="{00000000-0005-0000-0000-0000E4320000}"/>
    <cellStyle name="Normal 5 9 12 2" xfId="4041" xr:uid="{00000000-0005-0000-0000-0000E5320000}"/>
    <cellStyle name="Normal 5 9 12 2 2" xfId="7115" xr:uid="{00000000-0005-0000-0000-0000E6320000}"/>
    <cellStyle name="Normal 5 9 12 3" xfId="5585" xr:uid="{00000000-0005-0000-0000-0000E7320000}"/>
    <cellStyle name="Normal 5 9 13" xfId="2032" xr:uid="{00000000-0005-0000-0000-0000E8320000}"/>
    <cellStyle name="Normal 5 9 13 2" xfId="4042" xr:uid="{00000000-0005-0000-0000-0000E9320000}"/>
    <cellStyle name="Normal 5 9 13 2 2" xfId="7116" xr:uid="{00000000-0005-0000-0000-0000EA320000}"/>
    <cellStyle name="Normal 5 9 13 3" xfId="5586" xr:uid="{00000000-0005-0000-0000-0000EB320000}"/>
    <cellStyle name="Normal 5 9 14" xfId="2033" xr:uid="{00000000-0005-0000-0000-0000EC320000}"/>
    <cellStyle name="Normal 5 9 14 2" xfId="4043" xr:uid="{00000000-0005-0000-0000-0000ED320000}"/>
    <cellStyle name="Normal 5 9 14 2 2" xfId="7117" xr:uid="{00000000-0005-0000-0000-0000EE320000}"/>
    <cellStyle name="Normal 5 9 14 3" xfId="5587" xr:uid="{00000000-0005-0000-0000-0000EF320000}"/>
    <cellStyle name="Normal 5 9 15" xfId="2034" xr:uid="{00000000-0005-0000-0000-0000F0320000}"/>
    <cellStyle name="Normal 5 9 15 2" xfId="4044" xr:uid="{00000000-0005-0000-0000-0000F1320000}"/>
    <cellStyle name="Normal 5 9 15 2 2" xfId="7118" xr:uid="{00000000-0005-0000-0000-0000F2320000}"/>
    <cellStyle name="Normal 5 9 15 3" xfId="5588" xr:uid="{00000000-0005-0000-0000-0000F3320000}"/>
    <cellStyle name="Normal 5 9 16" xfId="2035" xr:uid="{00000000-0005-0000-0000-0000F4320000}"/>
    <cellStyle name="Normal 5 9 16 2" xfId="4045" xr:uid="{00000000-0005-0000-0000-0000F5320000}"/>
    <cellStyle name="Normal 5 9 16 2 2" xfId="7119" xr:uid="{00000000-0005-0000-0000-0000F6320000}"/>
    <cellStyle name="Normal 5 9 16 3" xfId="5589" xr:uid="{00000000-0005-0000-0000-0000F7320000}"/>
    <cellStyle name="Normal 5 9 17" xfId="2036" xr:uid="{00000000-0005-0000-0000-0000F8320000}"/>
    <cellStyle name="Normal 5 9 17 2" xfId="4046" xr:uid="{00000000-0005-0000-0000-0000F9320000}"/>
    <cellStyle name="Normal 5 9 17 2 2" xfId="7120" xr:uid="{00000000-0005-0000-0000-0000FA320000}"/>
    <cellStyle name="Normal 5 9 17 3" xfId="5590" xr:uid="{00000000-0005-0000-0000-0000FB320000}"/>
    <cellStyle name="Normal 5 9 18" xfId="2037" xr:uid="{00000000-0005-0000-0000-0000FC320000}"/>
    <cellStyle name="Normal 5 9 18 2" xfId="4047" xr:uid="{00000000-0005-0000-0000-0000FD320000}"/>
    <cellStyle name="Normal 5 9 18 2 2" xfId="7121" xr:uid="{00000000-0005-0000-0000-0000FE320000}"/>
    <cellStyle name="Normal 5 9 18 3" xfId="5591" xr:uid="{00000000-0005-0000-0000-0000FF320000}"/>
    <cellStyle name="Normal 5 9 19" xfId="2038" xr:uid="{00000000-0005-0000-0000-000000330000}"/>
    <cellStyle name="Normal 5 9 19 2" xfId="4048" xr:uid="{00000000-0005-0000-0000-000001330000}"/>
    <cellStyle name="Normal 5 9 19 2 2" xfId="7122" xr:uid="{00000000-0005-0000-0000-000002330000}"/>
    <cellStyle name="Normal 5 9 19 3" xfId="5592" xr:uid="{00000000-0005-0000-0000-000003330000}"/>
    <cellStyle name="Normal 5 9 2" xfId="2039" xr:uid="{00000000-0005-0000-0000-000004330000}"/>
    <cellStyle name="Normal 5 9 2 2" xfId="4049" xr:uid="{00000000-0005-0000-0000-000005330000}"/>
    <cellStyle name="Normal 5 9 2 2 2" xfId="7123" xr:uid="{00000000-0005-0000-0000-000006330000}"/>
    <cellStyle name="Normal 5 9 2 3" xfId="5593" xr:uid="{00000000-0005-0000-0000-000007330000}"/>
    <cellStyle name="Normal 5 9 20" xfId="2040" xr:uid="{00000000-0005-0000-0000-000008330000}"/>
    <cellStyle name="Normal 5 9 20 2" xfId="4050" xr:uid="{00000000-0005-0000-0000-000009330000}"/>
    <cellStyle name="Normal 5 9 20 2 2" xfId="7124" xr:uid="{00000000-0005-0000-0000-00000A330000}"/>
    <cellStyle name="Normal 5 9 20 3" xfId="5594" xr:uid="{00000000-0005-0000-0000-00000B330000}"/>
    <cellStyle name="Normal 5 9 21" xfId="2041" xr:uid="{00000000-0005-0000-0000-00000C330000}"/>
    <cellStyle name="Normal 5 9 21 2" xfId="4051" xr:uid="{00000000-0005-0000-0000-00000D330000}"/>
    <cellStyle name="Normal 5 9 21 2 2" xfId="7125" xr:uid="{00000000-0005-0000-0000-00000E330000}"/>
    <cellStyle name="Normal 5 9 21 3" xfId="5595" xr:uid="{00000000-0005-0000-0000-00000F330000}"/>
    <cellStyle name="Normal 5 9 22" xfId="2042" xr:uid="{00000000-0005-0000-0000-000010330000}"/>
    <cellStyle name="Normal 5 9 22 2" xfId="4052" xr:uid="{00000000-0005-0000-0000-000011330000}"/>
    <cellStyle name="Normal 5 9 22 2 2" xfId="7126" xr:uid="{00000000-0005-0000-0000-000012330000}"/>
    <cellStyle name="Normal 5 9 22 3" xfId="5596" xr:uid="{00000000-0005-0000-0000-000013330000}"/>
    <cellStyle name="Normal 5 9 23" xfId="2043" xr:uid="{00000000-0005-0000-0000-000014330000}"/>
    <cellStyle name="Normal 5 9 23 2" xfId="4053" xr:uid="{00000000-0005-0000-0000-000015330000}"/>
    <cellStyle name="Normal 5 9 23 2 2" xfId="7127" xr:uid="{00000000-0005-0000-0000-000016330000}"/>
    <cellStyle name="Normal 5 9 23 3" xfId="5597" xr:uid="{00000000-0005-0000-0000-000017330000}"/>
    <cellStyle name="Normal 5 9 24" xfId="2044" xr:uid="{00000000-0005-0000-0000-000018330000}"/>
    <cellStyle name="Normal 5 9 24 2" xfId="4054" xr:uid="{00000000-0005-0000-0000-000019330000}"/>
    <cellStyle name="Normal 5 9 24 2 2" xfId="7128" xr:uid="{00000000-0005-0000-0000-00001A330000}"/>
    <cellStyle name="Normal 5 9 24 3" xfId="5598" xr:uid="{00000000-0005-0000-0000-00001B330000}"/>
    <cellStyle name="Normal 5 9 25" xfId="2045" xr:uid="{00000000-0005-0000-0000-00001C330000}"/>
    <cellStyle name="Normal 5 9 25 2" xfId="4055" xr:uid="{00000000-0005-0000-0000-00001D330000}"/>
    <cellStyle name="Normal 5 9 25 2 2" xfId="7129" xr:uid="{00000000-0005-0000-0000-00001E330000}"/>
    <cellStyle name="Normal 5 9 25 3" xfId="5599" xr:uid="{00000000-0005-0000-0000-00001F330000}"/>
    <cellStyle name="Normal 5 9 26" xfId="2046" xr:uid="{00000000-0005-0000-0000-000020330000}"/>
    <cellStyle name="Normal 5 9 26 2" xfId="4056" xr:uid="{00000000-0005-0000-0000-000021330000}"/>
    <cellStyle name="Normal 5 9 26 2 2" xfId="7130" xr:uid="{00000000-0005-0000-0000-000022330000}"/>
    <cellStyle name="Normal 5 9 26 3" xfId="5600" xr:uid="{00000000-0005-0000-0000-000023330000}"/>
    <cellStyle name="Normal 5 9 27" xfId="2047" xr:uid="{00000000-0005-0000-0000-000024330000}"/>
    <cellStyle name="Normal 5 9 27 2" xfId="4057" xr:uid="{00000000-0005-0000-0000-000025330000}"/>
    <cellStyle name="Normal 5 9 27 2 2" xfId="7131" xr:uid="{00000000-0005-0000-0000-000026330000}"/>
    <cellStyle name="Normal 5 9 27 3" xfId="5601" xr:uid="{00000000-0005-0000-0000-000027330000}"/>
    <cellStyle name="Normal 5 9 28" xfId="2048" xr:uid="{00000000-0005-0000-0000-000028330000}"/>
    <cellStyle name="Normal 5 9 28 2" xfId="4058" xr:uid="{00000000-0005-0000-0000-000029330000}"/>
    <cellStyle name="Normal 5 9 28 2 2" xfId="7132" xr:uid="{00000000-0005-0000-0000-00002A330000}"/>
    <cellStyle name="Normal 5 9 28 3" xfId="5602" xr:uid="{00000000-0005-0000-0000-00002B330000}"/>
    <cellStyle name="Normal 5 9 29" xfId="2049" xr:uid="{00000000-0005-0000-0000-00002C330000}"/>
    <cellStyle name="Normal 5 9 29 2" xfId="4059" xr:uid="{00000000-0005-0000-0000-00002D330000}"/>
    <cellStyle name="Normal 5 9 29 2 2" xfId="7133" xr:uid="{00000000-0005-0000-0000-00002E330000}"/>
    <cellStyle name="Normal 5 9 29 3" xfId="5603" xr:uid="{00000000-0005-0000-0000-00002F330000}"/>
    <cellStyle name="Normal 5 9 3" xfId="2050" xr:uid="{00000000-0005-0000-0000-000030330000}"/>
    <cellStyle name="Normal 5 9 3 2" xfId="4060" xr:uid="{00000000-0005-0000-0000-000031330000}"/>
    <cellStyle name="Normal 5 9 3 2 2" xfId="7134" xr:uid="{00000000-0005-0000-0000-000032330000}"/>
    <cellStyle name="Normal 5 9 3 3" xfId="5604" xr:uid="{00000000-0005-0000-0000-000033330000}"/>
    <cellStyle name="Normal 5 9 30" xfId="2051" xr:uid="{00000000-0005-0000-0000-000034330000}"/>
    <cellStyle name="Normal 5 9 30 2" xfId="4061" xr:uid="{00000000-0005-0000-0000-000035330000}"/>
    <cellStyle name="Normal 5 9 30 2 2" xfId="7135" xr:uid="{00000000-0005-0000-0000-000036330000}"/>
    <cellStyle name="Normal 5 9 30 3" xfId="5605" xr:uid="{00000000-0005-0000-0000-000037330000}"/>
    <cellStyle name="Normal 5 9 31" xfId="2052" xr:uid="{00000000-0005-0000-0000-000038330000}"/>
    <cellStyle name="Normal 5 9 31 2" xfId="4062" xr:uid="{00000000-0005-0000-0000-000039330000}"/>
    <cellStyle name="Normal 5 9 31 2 2" xfId="7136" xr:uid="{00000000-0005-0000-0000-00003A330000}"/>
    <cellStyle name="Normal 5 9 31 3" xfId="5606" xr:uid="{00000000-0005-0000-0000-00003B330000}"/>
    <cellStyle name="Normal 5 9 32" xfId="2053" xr:uid="{00000000-0005-0000-0000-00003C330000}"/>
    <cellStyle name="Normal 5 9 32 2" xfId="4063" xr:uid="{00000000-0005-0000-0000-00003D330000}"/>
    <cellStyle name="Normal 5 9 32 2 2" xfId="7137" xr:uid="{00000000-0005-0000-0000-00003E330000}"/>
    <cellStyle name="Normal 5 9 32 3" xfId="5607" xr:uid="{00000000-0005-0000-0000-00003F330000}"/>
    <cellStyle name="Normal 5 9 33" xfId="2054" xr:uid="{00000000-0005-0000-0000-000040330000}"/>
    <cellStyle name="Normal 5 9 33 2" xfId="4064" xr:uid="{00000000-0005-0000-0000-000041330000}"/>
    <cellStyle name="Normal 5 9 33 2 2" xfId="7138" xr:uid="{00000000-0005-0000-0000-000042330000}"/>
    <cellStyle name="Normal 5 9 33 3" xfId="5608" xr:uid="{00000000-0005-0000-0000-000043330000}"/>
    <cellStyle name="Normal 5 9 34" xfId="2055" xr:uid="{00000000-0005-0000-0000-000044330000}"/>
    <cellStyle name="Normal 5 9 34 2" xfId="4065" xr:uid="{00000000-0005-0000-0000-000045330000}"/>
    <cellStyle name="Normal 5 9 34 2 2" xfId="7139" xr:uid="{00000000-0005-0000-0000-000046330000}"/>
    <cellStyle name="Normal 5 9 34 3" xfId="5609" xr:uid="{00000000-0005-0000-0000-000047330000}"/>
    <cellStyle name="Normal 5 9 35" xfId="2056" xr:uid="{00000000-0005-0000-0000-000048330000}"/>
    <cellStyle name="Normal 5 9 35 2" xfId="4066" xr:uid="{00000000-0005-0000-0000-000049330000}"/>
    <cellStyle name="Normal 5 9 35 2 2" xfId="7140" xr:uid="{00000000-0005-0000-0000-00004A330000}"/>
    <cellStyle name="Normal 5 9 35 3" xfId="5610" xr:uid="{00000000-0005-0000-0000-00004B330000}"/>
    <cellStyle name="Normal 5 9 36" xfId="2057" xr:uid="{00000000-0005-0000-0000-00004C330000}"/>
    <cellStyle name="Normal 5 9 36 2" xfId="4067" xr:uid="{00000000-0005-0000-0000-00004D330000}"/>
    <cellStyle name="Normal 5 9 36 2 2" xfId="7141" xr:uid="{00000000-0005-0000-0000-00004E330000}"/>
    <cellStyle name="Normal 5 9 36 3" xfId="5611" xr:uid="{00000000-0005-0000-0000-00004F330000}"/>
    <cellStyle name="Normal 5 9 37" xfId="2058" xr:uid="{00000000-0005-0000-0000-000050330000}"/>
    <cellStyle name="Normal 5 9 37 2" xfId="4068" xr:uid="{00000000-0005-0000-0000-000051330000}"/>
    <cellStyle name="Normal 5 9 37 2 2" xfId="7142" xr:uid="{00000000-0005-0000-0000-000052330000}"/>
    <cellStyle name="Normal 5 9 37 3" xfId="5612" xr:uid="{00000000-0005-0000-0000-000053330000}"/>
    <cellStyle name="Normal 5 9 38" xfId="2059" xr:uid="{00000000-0005-0000-0000-000054330000}"/>
    <cellStyle name="Normal 5 9 38 2" xfId="4069" xr:uid="{00000000-0005-0000-0000-000055330000}"/>
    <cellStyle name="Normal 5 9 38 2 2" xfId="7143" xr:uid="{00000000-0005-0000-0000-000056330000}"/>
    <cellStyle name="Normal 5 9 38 3" xfId="5613" xr:uid="{00000000-0005-0000-0000-000057330000}"/>
    <cellStyle name="Normal 5 9 39" xfId="2060" xr:uid="{00000000-0005-0000-0000-000058330000}"/>
    <cellStyle name="Normal 5 9 39 2" xfId="4070" xr:uid="{00000000-0005-0000-0000-000059330000}"/>
    <cellStyle name="Normal 5 9 39 2 2" xfId="7144" xr:uid="{00000000-0005-0000-0000-00005A330000}"/>
    <cellStyle name="Normal 5 9 39 3" xfId="5614" xr:uid="{00000000-0005-0000-0000-00005B330000}"/>
    <cellStyle name="Normal 5 9 4" xfId="2061" xr:uid="{00000000-0005-0000-0000-00005C330000}"/>
    <cellStyle name="Normal 5 9 4 2" xfId="4071" xr:uid="{00000000-0005-0000-0000-00005D330000}"/>
    <cellStyle name="Normal 5 9 4 2 2" xfId="7145" xr:uid="{00000000-0005-0000-0000-00005E330000}"/>
    <cellStyle name="Normal 5 9 4 3" xfId="5615" xr:uid="{00000000-0005-0000-0000-00005F330000}"/>
    <cellStyle name="Normal 5 9 40" xfId="2062" xr:uid="{00000000-0005-0000-0000-000060330000}"/>
    <cellStyle name="Normal 5 9 40 2" xfId="4072" xr:uid="{00000000-0005-0000-0000-000061330000}"/>
    <cellStyle name="Normal 5 9 40 2 2" xfId="7146" xr:uid="{00000000-0005-0000-0000-000062330000}"/>
    <cellStyle name="Normal 5 9 40 3" xfId="5616" xr:uid="{00000000-0005-0000-0000-000063330000}"/>
    <cellStyle name="Normal 5 9 41" xfId="2063" xr:uid="{00000000-0005-0000-0000-000064330000}"/>
    <cellStyle name="Normal 5 9 41 2" xfId="4073" xr:uid="{00000000-0005-0000-0000-000065330000}"/>
    <cellStyle name="Normal 5 9 41 2 2" xfId="7147" xr:uid="{00000000-0005-0000-0000-000066330000}"/>
    <cellStyle name="Normal 5 9 41 3" xfId="5617" xr:uid="{00000000-0005-0000-0000-000067330000}"/>
    <cellStyle name="Normal 5 9 42" xfId="2064" xr:uid="{00000000-0005-0000-0000-000068330000}"/>
    <cellStyle name="Normal 5 9 42 2" xfId="4074" xr:uid="{00000000-0005-0000-0000-000069330000}"/>
    <cellStyle name="Normal 5 9 42 2 2" xfId="7148" xr:uid="{00000000-0005-0000-0000-00006A330000}"/>
    <cellStyle name="Normal 5 9 42 3" xfId="5618" xr:uid="{00000000-0005-0000-0000-00006B330000}"/>
    <cellStyle name="Normal 5 9 43" xfId="2065" xr:uid="{00000000-0005-0000-0000-00006C330000}"/>
    <cellStyle name="Normal 5 9 43 2" xfId="4075" xr:uid="{00000000-0005-0000-0000-00006D330000}"/>
    <cellStyle name="Normal 5 9 43 2 2" xfId="7149" xr:uid="{00000000-0005-0000-0000-00006E330000}"/>
    <cellStyle name="Normal 5 9 43 3" xfId="5619" xr:uid="{00000000-0005-0000-0000-00006F330000}"/>
    <cellStyle name="Normal 5 9 44" xfId="4038" xr:uid="{00000000-0005-0000-0000-000070330000}"/>
    <cellStyle name="Normal 5 9 44 2" xfId="7112" xr:uid="{00000000-0005-0000-0000-000071330000}"/>
    <cellStyle name="Normal 5 9 45" xfId="5582" xr:uid="{00000000-0005-0000-0000-000072330000}"/>
    <cellStyle name="Normal 5 9 5" xfId="2066" xr:uid="{00000000-0005-0000-0000-000073330000}"/>
    <cellStyle name="Normal 5 9 5 2" xfId="4076" xr:uid="{00000000-0005-0000-0000-000074330000}"/>
    <cellStyle name="Normal 5 9 5 2 2" xfId="7150" xr:uid="{00000000-0005-0000-0000-000075330000}"/>
    <cellStyle name="Normal 5 9 5 3" xfId="5620" xr:uid="{00000000-0005-0000-0000-000076330000}"/>
    <cellStyle name="Normal 5 9 6" xfId="2067" xr:uid="{00000000-0005-0000-0000-000077330000}"/>
    <cellStyle name="Normal 5 9 6 2" xfId="4077" xr:uid="{00000000-0005-0000-0000-000078330000}"/>
    <cellStyle name="Normal 5 9 6 2 2" xfId="7151" xr:uid="{00000000-0005-0000-0000-000079330000}"/>
    <cellStyle name="Normal 5 9 6 3" xfId="5621" xr:uid="{00000000-0005-0000-0000-00007A330000}"/>
    <cellStyle name="Normal 5 9 7" xfId="2068" xr:uid="{00000000-0005-0000-0000-00007B330000}"/>
    <cellStyle name="Normal 5 9 7 2" xfId="4078" xr:uid="{00000000-0005-0000-0000-00007C330000}"/>
    <cellStyle name="Normal 5 9 7 2 2" xfId="7152" xr:uid="{00000000-0005-0000-0000-00007D330000}"/>
    <cellStyle name="Normal 5 9 7 3" xfId="5622" xr:uid="{00000000-0005-0000-0000-00007E330000}"/>
    <cellStyle name="Normal 5 9 8" xfId="2069" xr:uid="{00000000-0005-0000-0000-00007F330000}"/>
    <cellStyle name="Normal 5 9 8 2" xfId="4079" xr:uid="{00000000-0005-0000-0000-000080330000}"/>
    <cellStyle name="Normal 5 9 8 2 2" xfId="7153" xr:uid="{00000000-0005-0000-0000-000081330000}"/>
    <cellStyle name="Normal 5 9 8 3" xfId="5623" xr:uid="{00000000-0005-0000-0000-000082330000}"/>
    <cellStyle name="Normal 5 9 9" xfId="2070" xr:uid="{00000000-0005-0000-0000-000083330000}"/>
    <cellStyle name="Normal 5 9 9 2" xfId="4080" xr:uid="{00000000-0005-0000-0000-000084330000}"/>
    <cellStyle name="Normal 5 9 9 2 2" xfId="7154" xr:uid="{00000000-0005-0000-0000-000085330000}"/>
    <cellStyle name="Normal 5 9 9 3" xfId="5624" xr:uid="{00000000-0005-0000-0000-000086330000}"/>
    <cellStyle name="Normal 6" xfId="2071" xr:uid="{00000000-0005-0000-0000-000087330000}"/>
    <cellStyle name="Normal 6 10" xfId="2072" xr:uid="{00000000-0005-0000-0000-000088330000}"/>
    <cellStyle name="Normal 6 11" xfId="2073" xr:uid="{00000000-0005-0000-0000-000089330000}"/>
    <cellStyle name="Normal 6 12" xfId="2074" xr:uid="{00000000-0005-0000-0000-00008A330000}"/>
    <cellStyle name="Normal 6 13" xfId="2075" xr:uid="{00000000-0005-0000-0000-00008B330000}"/>
    <cellStyle name="Normal 6 14" xfId="2076" xr:uid="{00000000-0005-0000-0000-00008C330000}"/>
    <cellStyle name="Normal 6 15" xfId="2077" xr:uid="{00000000-0005-0000-0000-00008D330000}"/>
    <cellStyle name="Normal 6 16" xfId="2078" xr:uid="{00000000-0005-0000-0000-00008E330000}"/>
    <cellStyle name="Normal 6 17" xfId="2079" xr:uid="{00000000-0005-0000-0000-00008F330000}"/>
    <cellStyle name="Normal 6 18" xfId="2080" xr:uid="{00000000-0005-0000-0000-000090330000}"/>
    <cellStyle name="Normal 6 19" xfId="2081" xr:uid="{00000000-0005-0000-0000-000091330000}"/>
    <cellStyle name="Normal 6 2" xfId="2082" xr:uid="{00000000-0005-0000-0000-000092330000}"/>
    <cellStyle name="Normal 6 2 2" xfId="2083" xr:uid="{00000000-0005-0000-0000-000093330000}"/>
    <cellStyle name="Normal 6 2 2 2" xfId="4081" xr:uid="{00000000-0005-0000-0000-000094330000}"/>
    <cellStyle name="Normal 6 2 2 2 2" xfId="7155" xr:uid="{00000000-0005-0000-0000-000095330000}"/>
    <cellStyle name="Normal 6 2 2 3" xfId="5625" xr:uid="{00000000-0005-0000-0000-000096330000}"/>
    <cellStyle name="Normal 6 2 3" xfId="2084" xr:uid="{00000000-0005-0000-0000-000097330000}"/>
    <cellStyle name="Normal 6 2 3 2" xfId="4082" xr:uid="{00000000-0005-0000-0000-000098330000}"/>
    <cellStyle name="Normal 6 2 3 2 2" xfId="7156" xr:uid="{00000000-0005-0000-0000-000099330000}"/>
    <cellStyle name="Normal 6 2 3 3" xfId="5626" xr:uid="{00000000-0005-0000-0000-00009A330000}"/>
    <cellStyle name="Normal 6 20" xfId="2085" xr:uid="{00000000-0005-0000-0000-00009B330000}"/>
    <cellStyle name="Normal 6 21" xfId="2086" xr:uid="{00000000-0005-0000-0000-00009C330000}"/>
    <cellStyle name="Normal 6 22" xfId="2087" xr:uid="{00000000-0005-0000-0000-00009D330000}"/>
    <cellStyle name="Normal 6 23" xfId="2088" xr:uid="{00000000-0005-0000-0000-00009E330000}"/>
    <cellStyle name="Normal 6 24" xfId="2089" xr:uid="{00000000-0005-0000-0000-00009F330000}"/>
    <cellStyle name="Normal 6 25" xfId="2090" xr:uid="{00000000-0005-0000-0000-0000A0330000}"/>
    <cellStyle name="Normal 6 26" xfId="2091" xr:uid="{00000000-0005-0000-0000-0000A1330000}"/>
    <cellStyle name="Normal 6 27" xfId="2092" xr:uid="{00000000-0005-0000-0000-0000A2330000}"/>
    <cellStyle name="Normal 6 28" xfId="2093" xr:uid="{00000000-0005-0000-0000-0000A3330000}"/>
    <cellStyle name="Normal 6 29" xfId="2094" xr:uid="{00000000-0005-0000-0000-0000A4330000}"/>
    <cellStyle name="Normal 6 3" xfId="2095" xr:uid="{00000000-0005-0000-0000-0000A5330000}"/>
    <cellStyle name="Normal 6 3 2" xfId="2096" xr:uid="{00000000-0005-0000-0000-0000A6330000}"/>
    <cellStyle name="Normal 6 3 2 2" xfId="4083" xr:uid="{00000000-0005-0000-0000-0000A7330000}"/>
    <cellStyle name="Normal 6 3 2 2 2" xfId="7157" xr:uid="{00000000-0005-0000-0000-0000A8330000}"/>
    <cellStyle name="Normal 6 3 2 3" xfId="5627" xr:uid="{00000000-0005-0000-0000-0000A9330000}"/>
    <cellStyle name="Normal 6 3 3" xfId="2097" xr:uid="{00000000-0005-0000-0000-0000AA330000}"/>
    <cellStyle name="Normal 6 3 3 2" xfId="4084" xr:uid="{00000000-0005-0000-0000-0000AB330000}"/>
    <cellStyle name="Normal 6 3 3 2 2" xfId="7158" xr:uid="{00000000-0005-0000-0000-0000AC330000}"/>
    <cellStyle name="Normal 6 3 3 3" xfId="5628" xr:uid="{00000000-0005-0000-0000-0000AD330000}"/>
    <cellStyle name="Normal 6 30" xfId="2098" xr:uid="{00000000-0005-0000-0000-0000AE330000}"/>
    <cellStyle name="Normal 6 31" xfId="2099" xr:uid="{00000000-0005-0000-0000-0000AF330000}"/>
    <cellStyle name="Normal 6 32" xfId="2100" xr:uid="{00000000-0005-0000-0000-0000B0330000}"/>
    <cellStyle name="Normal 6 33" xfId="2101" xr:uid="{00000000-0005-0000-0000-0000B1330000}"/>
    <cellStyle name="Normal 6 34" xfId="2102" xr:uid="{00000000-0005-0000-0000-0000B2330000}"/>
    <cellStyle name="Normal 6 35" xfId="2103" xr:uid="{00000000-0005-0000-0000-0000B3330000}"/>
    <cellStyle name="Normal 6 36" xfId="2104" xr:uid="{00000000-0005-0000-0000-0000B4330000}"/>
    <cellStyle name="Normal 6 37" xfId="2105" xr:uid="{00000000-0005-0000-0000-0000B5330000}"/>
    <cellStyle name="Normal 6 38" xfId="2106" xr:uid="{00000000-0005-0000-0000-0000B6330000}"/>
    <cellStyle name="Normal 6 39" xfId="2107" xr:uid="{00000000-0005-0000-0000-0000B7330000}"/>
    <cellStyle name="Normal 6 4" xfId="2108" xr:uid="{00000000-0005-0000-0000-0000B8330000}"/>
    <cellStyle name="Normal 6 4 2" xfId="2109" xr:uid="{00000000-0005-0000-0000-0000B9330000}"/>
    <cellStyle name="Normal 6 4 2 2" xfId="4085" xr:uid="{00000000-0005-0000-0000-0000BA330000}"/>
    <cellStyle name="Normal 6 4 2 2 2" xfId="7159" xr:uid="{00000000-0005-0000-0000-0000BB330000}"/>
    <cellStyle name="Normal 6 4 2 3" xfId="5629" xr:uid="{00000000-0005-0000-0000-0000BC330000}"/>
    <cellStyle name="Normal 6 40" xfId="2110" xr:uid="{00000000-0005-0000-0000-0000BD330000}"/>
    <cellStyle name="Normal 6 41" xfId="2111" xr:uid="{00000000-0005-0000-0000-0000BE330000}"/>
    <cellStyle name="Normal 6 42" xfId="2112" xr:uid="{00000000-0005-0000-0000-0000BF330000}"/>
    <cellStyle name="Normal 6 43" xfId="2113" xr:uid="{00000000-0005-0000-0000-0000C0330000}"/>
    <cellStyle name="Normal 6 44" xfId="2114" xr:uid="{00000000-0005-0000-0000-0000C1330000}"/>
    <cellStyle name="Normal 6 45" xfId="2115" xr:uid="{00000000-0005-0000-0000-0000C2330000}"/>
    <cellStyle name="Normal 6 45 2" xfId="4086" xr:uid="{00000000-0005-0000-0000-0000C3330000}"/>
    <cellStyle name="Normal 6 45 2 2" xfId="7160" xr:uid="{00000000-0005-0000-0000-0000C4330000}"/>
    <cellStyle name="Normal 6 45 3" xfId="5630" xr:uid="{00000000-0005-0000-0000-0000C5330000}"/>
    <cellStyle name="Normal 6 5" xfId="2116" xr:uid="{00000000-0005-0000-0000-0000C6330000}"/>
    <cellStyle name="Normal 6 6" xfId="2117" xr:uid="{00000000-0005-0000-0000-0000C7330000}"/>
    <cellStyle name="Normal 6 7" xfId="2118" xr:uid="{00000000-0005-0000-0000-0000C8330000}"/>
    <cellStyle name="Normal 6 8" xfId="2119" xr:uid="{00000000-0005-0000-0000-0000C9330000}"/>
    <cellStyle name="Normal 6 9" xfId="2120" xr:uid="{00000000-0005-0000-0000-0000CA330000}"/>
    <cellStyle name="Normal 7" xfId="2121" xr:uid="{00000000-0005-0000-0000-0000CB330000}"/>
    <cellStyle name="Normal 7 10" xfId="2122" xr:uid="{00000000-0005-0000-0000-0000CC330000}"/>
    <cellStyle name="Normal 7 11" xfId="2123" xr:uid="{00000000-0005-0000-0000-0000CD330000}"/>
    <cellStyle name="Normal 7 12" xfId="2124" xr:uid="{00000000-0005-0000-0000-0000CE330000}"/>
    <cellStyle name="Normal 7 13" xfId="2125" xr:uid="{00000000-0005-0000-0000-0000CF330000}"/>
    <cellStyle name="Normal 7 14" xfId="2126" xr:uid="{00000000-0005-0000-0000-0000D0330000}"/>
    <cellStyle name="Normal 7 15" xfId="2127" xr:uid="{00000000-0005-0000-0000-0000D1330000}"/>
    <cellStyle name="Normal 7 16" xfId="2128" xr:uid="{00000000-0005-0000-0000-0000D2330000}"/>
    <cellStyle name="Normal 7 17" xfId="2129" xr:uid="{00000000-0005-0000-0000-0000D3330000}"/>
    <cellStyle name="Normal 7 18" xfId="2130" xr:uid="{00000000-0005-0000-0000-0000D4330000}"/>
    <cellStyle name="Normal 7 19" xfId="2131" xr:uid="{00000000-0005-0000-0000-0000D5330000}"/>
    <cellStyle name="Normal 7 2" xfId="2132" xr:uid="{00000000-0005-0000-0000-0000D6330000}"/>
    <cellStyle name="Normal 7 2 2" xfId="2133" xr:uid="{00000000-0005-0000-0000-0000D7330000}"/>
    <cellStyle name="Normal 7 2 2 2" xfId="4087" xr:uid="{00000000-0005-0000-0000-0000D8330000}"/>
    <cellStyle name="Normal 7 2 2 2 2" xfId="7161" xr:uid="{00000000-0005-0000-0000-0000D9330000}"/>
    <cellStyle name="Normal 7 2 2 3" xfId="5631" xr:uid="{00000000-0005-0000-0000-0000DA330000}"/>
    <cellStyle name="Normal 7 2 3" xfId="2134" xr:uid="{00000000-0005-0000-0000-0000DB330000}"/>
    <cellStyle name="Normal 7 2 3 2" xfId="4088" xr:uid="{00000000-0005-0000-0000-0000DC330000}"/>
    <cellStyle name="Normal 7 2 3 2 2" xfId="7162" xr:uid="{00000000-0005-0000-0000-0000DD330000}"/>
    <cellStyle name="Normal 7 2 3 3" xfId="5632" xr:uid="{00000000-0005-0000-0000-0000DE330000}"/>
    <cellStyle name="Normal 7 20" xfId="2135" xr:uid="{00000000-0005-0000-0000-0000DF330000}"/>
    <cellStyle name="Normal 7 21" xfId="2136" xr:uid="{00000000-0005-0000-0000-0000E0330000}"/>
    <cellStyle name="Normal 7 22" xfId="2137" xr:uid="{00000000-0005-0000-0000-0000E1330000}"/>
    <cellStyle name="Normal 7 23" xfId="2138" xr:uid="{00000000-0005-0000-0000-0000E2330000}"/>
    <cellStyle name="Normal 7 24" xfId="2139" xr:uid="{00000000-0005-0000-0000-0000E3330000}"/>
    <cellStyle name="Normal 7 25" xfId="2140" xr:uid="{00000000-0005-0000-0000-0000E4330000}"/>
    <cellStyle name="Normal 7 26" xfId="2141" xr:uid="{00000000-0005-0000-0000-0000E5330000}"/>
    <cellStyle name="Normal 7 27" xfId="2142" xr:uid="{00000000-0005-0000-0000-0000E6330000}"/>
    <cellStyle name="Normal 7 28" xfId="2143" xr:uid="{00000000-0005-0000-0000-0000E7330000}"/>
    <cellStyle name="Normal 7 29" xfId="2144" xr:uid="{00000000-0005-0000-0000-0000E8330000}"/>
    <cellStyle name="Normal 7 3" xfId="2145" xr:uid="{00000000-0005-0000-0000-0000E9330000}"/>
    <cellStyle name="Normal 7 3 2" xfId="2146" xr:uid="{00000000-0005-0000-0000-0000EA330000}"/>
    <cellStyle name="Normal 7 3 2 2" xfId="4089" xr:uid="{00000000-0005-0000-0000-0000EB330000}"/>
    <cellStyle name="Normal 7 3 2 2 2" xfId="7163" xr:uid="{00000000-0005-0000-0000-0000EC330000}"/>
    <cellStyle name="Normal 7 3 2 3" xfId="5633" xr:uid="{00000000-0005-0000-0000-0000ED330000}"/>
    <cellStyle name="Normal 7 30" xfId="2147" xr:uid="{00000000-0005-0000-0000-0000EE330000}"/>
    <cellStyle name="Normal 7 31" xfId="2148" xr:uid="{00000000-0005-0000-0000-0000EF330000}"/>
    <cellStyle name="Normal 7 32" xfId="2149" xr:uid="{00000000-0005-0000-0000-0000F0330000}"/>
    <cellStyle name="Normal 7 33" xfId="2150" xr:uid="{00000000-0005-0000-0000-0000F1330000}"/>
    <cellStyle name="Normal 7 34" xfId="2151" xr:uid="{00000000-0005-0000-0000-0000F2330000}"/>
    <cellStyle name="Normal 7 35" xfId="2152" xr:uid="{00000000-0005-0000-0000-0000F3330000}"/>
    <cellStyle name="Normal 7 36" xfId="2153" xr:uid="{00000000-0005-0000-0000-0000F4330000}"/>
    <cellStyle name="Normal 7 37" xfId="2154" xr:uid="{00000000-0005-0000-0000-0000F5330000}"/>
    <cellStyle name="Normal 7 38" xfId="2155" xr:uid="{00000000-0005-0000-0000-0000F6330000}"/>
    <cellStyle name="Normal 7 39" xfId="2156" xr:uid="{00000000-0005-0000-0000-0000F7330000}"/>
    <cellStyle name="Normal 7 4" xfId="2157" xr:uid="{00000000-0005-0000-0000-0000F8330000}"/>
    <cellStyle name="Normal 7 40" xfId="2158" xr:uid="{00000000-0005-0000-0000-0000F9330000}"/>
    <cellStyle name="Normal 7 41" xfId="2159" xr:uid="{00000000-0005-0000-0000-0000FA330000}"/>
    <cellStyle name="Normal 7 42" xfId="2160" xr:uid="{00000000-0005-0000-0000-0000FB330000}"/>
    <cellStyle name="Normal 7 43" xfId="2161" xr:uid="{00000000-0005-0000-0000-0000FC330000}"/>
    <cellStyle name="Normal 7 44" xfId="2162" xr:uid="{00000000-0005-0000-0000-0000FD330000}"/>
    <cellStyle name="Normal 7 44 2" xfId="4090" xr:uid="{00000000-0005-0000-0000-0000FE330000}"/>
    <cellStyle name="Normal 7 44 2 2" xfId="7164" xr:uid="{00000000-0005-0000-0000-0000FF330000}"/>
    <cellStyle name="Normal 7 44 3" xfId="5634" xr:uid="{00000000-0005-0000-0000-000000340000}"/>
    <cellStyle name="Normal 7 5" xfId="2163" xr:uid="{00000000-0005-0000-0000-000001340000}"/>
    <cellStyle name="Normal 7 6" xfId="2164" xr:uid="{00000000-0005-0000-0000-000002340000}"/>
    <cellStyle name="Normal 7 7" xfId="2165" xr:uid="{00000000-0005-0000-0000-000003340000}"/>
    <cellStyle name="Normal 7 8" xfId="2166" xr:uid="{00000000-0005-0000-0000-000004340000}"/>
    <cellStyle name="Normal 7 9" xfId="2167" xr:uid="{00000000-0005-0000-0000-000005340000}"/>
    <cellStyle name="Normal 8" xfId="2168" xr:uid="{00000000-0005-0000-0000-000006340000}"/>
    <cellStyle name="Normal 8 10" xfId="2169" xr:uid="{00000000-0005-0000-0000-000007340000}"/>
    <cellStyle name="Normal 8 11" xfId="2170" xr:uid="{00000000-0005-0000-0000-000008340000}"/>
    <cellStyle name="Normal 8 12" xfId="2171" xr:uid="{00000000-0005-0000-0000-000009340000}"/>
    <cellStyle name="Normal 8 13" xfId="2172" xr:uid="{00000000-0005-0000-0000-00000A340000}"/>
    <cellStyle name="Normal 8 14" xfId="2173" xr:uid="{00000000-0005-0000-0000-00000B340000}"/>
    <cellStyle name="Normal 8 15" xfId="2174" xr:uid="{00000000-0005-0000-0000-00000C340000}"/>
    <cellStyle name="Normal 8 16" xfId="2175" xr:uid="{00000000-0005-0000-0000-00000D340000}"/>
    <cellStyle name="Normal 8 17" xfId="2176" xr:uid="{00000000-0005-0000-0000-00000E340000}"/>
    <cellStyle name="Normal 8 18" xfId="2177" xr:uid="{00000000-0005-0000-0000-00000F340000}"/>
    <cellStyle name="Normal 8 19" xfId="2178" xr:uid="{00000000-0005-0000-0000-000010340000}"/>
    <cellStyle name="Normal 8 2" xfId="2179" xr:uid="{00000000-0005-0000-0000-000011340000}"/>
    <cellStyle name="Normal 8 2 2" xfId="2180" xr:uid="{00000000-0005-0000-0000-000012340000}"/>
    <cellStyle name="Normal 8 2 2 2" xfId="4091" xr:uid="{00000000-0005-0000-0000-000013340000}"/>
    <cellStyle name="Normal 8 2 2 2 2" xfId="7165" xr:uid="{00000000-0005-0000-0000-000014340000}"/>
    <cellStyle name="Normal 8 2 2 3" xfId="5635" xr:uid="{00000000-0005-0000-0000-000015340000}"/>
    <cellStyle name="Normal 8 20" xfId="2181" xr:uid="{00000000-0005-0000-0000-000016340000}"/>
    <cellStyle name="Normal 8 21" xfId="2182" xr:uid="{00000000-0005-0000-0000-000017340000}"/>
    <cellStyle name="Normal 8 22" xfId="2183" xr:uid="{00000000-0005-0000-0000-000018340000}"/>
    <cellStyle name="Normal 8 23" xfId="2184" xr:uid="{00000000-0005-0000-0000-000019340000}"/>
    <cellStyle name="Normal 8 24" xfId="2185" xr:uid="{00000000-0005-0000-0000-00001A340000}"/>
    <cellStyle name="Normal 8 25" xfId="2186" xr:uid="{00000000-0005-0000-0000-00001B340000}"/>
    <cellStyle name="Normal 8 26" xfId="2187" xr:uid="{00000000-0005-0000-0000-00001C340000}"/>
    <cellStyle name="Normal 8 27" xfId="2188" xr:uid="{00000000-0005-0000-0000-00001D340000}"/>
    <cellStyle name="Normal 8 28" xfId="2189" xr:uid="{00000000-0005-0000-0000-00001E340000}"/>
    <cellStyle name="Normal 8 29" xfId="2190" xr:uid="{00000000-0005-0000-0000-00001F340000}"/>
    <cellStyle name="Normal 8 3" xfId="2191" xr:uid="{00000000-0005-0000-0000-000020340000}"/>
    <cellStyle name="Normal 8 30" xfId="2192" xr:uid="{00000000-0005-0000-0000-000021340000}"/>
    <cellStyle name="Normal 8 31" xfId="2193" xr:uid="{00000000-0005-0000-0000-000022340000}"/>
    <cellStyle name="Normal 8 32" xfId="2194" xr:uid="{00000000-0005-0000-0000-000023340000}"/>
    <cellStyle name="Normal 8 33" xfId="2195" xr:uid="{00000000-0005-0000-0000-000024340000}"/>
    <cellStyle name="Normal 8 34" xfId="2196" xr:uid="{00000000-0005-0000-0000-000025340000}"/>
    <cellStyle name="Normal 8 35" xfId="2197" xr:uid="{00000000-0005-0000-0000-000026340000}"/>
    <cellStyle name="Normal 8 36" xfId="2198" xr:uid="{00000000-0005-0000-0000-000027340000}"/>
    <cellStyle name="Normal 8 37" xfId="2199" xr:uid="{00000000-0005-0000-0000-000028340000}"/>
    <cellStyle name="Normal 8 38" xfId="2200" xr:uid="{00000000-0005-0000-0000-000029340000}"/>
    <cellStyle name="Normal 8 39" xfId="2201" xr:uid="{00000000-0005-0000-0000-00002A340000}"/>
    <cellStyle name="Normal 8 4" xfId="2202" xr:uid="{00000000-0005-0000-0000-00002B340000}"/>
    <cellStyle name="Normal 8 40" xfId="2203" xr:uid="{00000000-0005-0000-0000-00002C340000}"/>
    <cellStyle name="Normal 8 41" xfId="2204" xr:uid="{00000000-0005-0000-0000-00002D340000}"/>
    <cellStyle name="Normal 8 42" xfId="2205" xr:uid="{00000000-0005-0000-0000-00002E340000}"/>
    <cellStyle name="Normal 8 43" xfId="2206" xr:uid="{00000000-0005-0000-0000-00002F340000}"/>
    <cellStyle name="Normal 8 44" xfId="2207" xr:uid="{00000000-0005-0000-0000-000030340000}"/>
    <cellStyle name="Normal 8 44 2" xfId="4092" xr:uid="{00000000-0005-0000-0000-000031340000}"/>
    <cellStyle name="Normal 8 44 2 2" xfId="7166" xr:uid="{00000000-0005-0000-0000-000032340000}"/>
    <cellStyle name="Normal 8 44 3" xfId="5636" xr:uid="{00000000-0005-0000-0000-000033340000}"/>
    <cellStyle name="Normal 8 5" xfId="2208" xr:uid="{00000000-0005-0000-0000-000034340000}"/>
    <cellStyle name="Normal 8 6" xfId="2209" xr:uid="{00000000-0005-0000-0000-000035340000}"/>
    <cellStyle name="Normal 8 7" xfId="2210" xr:uid="{00000000-0005-0000-0000-000036340000}"/>
    <cellStyle name="Normal 8 8" xfId="2211" xr:uid="{00000000-0005-0000-0000-000037340000}"/>
    <cellStyle name="Normal 8 9" xfId="2212" xr:uid="{00000000-0005-0000-0000-000038340000}"/>
    <cellStyle name="Normal 9" xfId="2213" xr:uid="{00000000-0005-0000-0000-000039340000}"/>
    <cellStyle name="Normal 9 10" xfId="2214" xr:uid="{00000000-0005-0000-0000-00003A340000}"/>
    <cellStyle name="Normal 9 11" xfId="2215" xr:uid="{00000000-0005-0000-0000-00003B340000}"/>
    <cellStyle name="Normal 9 12" xfId="2216" xr:uid="{00000000-0005-0000-0000-00003C340000}"/>
    <cellStyle name="Normal 9 13" xfId="2217" xr:uid="{00000000-0005-0000-0000-00003D340000}"/>
    <cellStyle name="Normal 9 14" xfId="2218" xr:uid="{00000000-0005-0000-0000-00003E340000}"/>
    <cellStyle name="Normal 9 15" xfId="2219" xr:uid="{00000000-0005-0000-0000-00003F340000}"/>
    <cellStyle name="Normal 9 16" xfId="2220" xr:uid="{00000000-0005-0000-0000-000040340000}"/>
    <cellStyle name="Normal 9 17" xfId="2221" xr:uid="{00000000-0005-0000-0000-000041340000}"/>
    <cellStyle name="Normal 9 18" xfId="2222" xr:uid="{00000000-0005-0000-0000-000042340000}"/>
    <cellStyle name="Normal 9 19" xfId="2223" xr:uid="{00000000-0005-0000-0000-000043340000}"/>
    <cellStyle name="Normal 9 2" xfId="2224" xr:uid="{00000000-0005-0000-0000-000044340000}"/>
    <cellStyle name="Normal 9 2 2" xfId="2225" xr:uid="{00000000-0005-0000-0000-000045340000}"/>
    <cellStyle name="Normal 9 2 2 2" xfId="4093" xr:uid="{00000000-0005-0000-0000-000046340000}"/>
    <cellStyle name="Normal 9 2 2 2 2" xfId="7167" xr:uid="{00000000-0005-0000-0000-000047340000}"/>
    <cellStyle name="Normal 9 2 2 3" xfId="5637" xr:uid="{00000000-0005-0000-0000-000048340000}"/>
    <cellStyle name="Normal 9 20" xfId="2226" xr:uid="{00000000-0005-0000-0000-000049340000}"/>
    <cellStyle name="Normal 9 21" xfId="2227" xr:uid="{00000000-0005-0000-0000-00004A340000}"/>
    <cellStyle name="Normal 9 22" xfId="2228" xr:uid="{00000000-0005-0000-0000-00004B340000}"/>
    <cellStyle name="Normal 9 23" xfId="2229" xr:uid="{00000000-0005-0000-0000-00004C340000}"/>
    <cellStyle name="Normal 9 24" xfId="2230" xr:uid="{00000000-0005-0000-0000-00004D340000}"/>
    <cellStyle name="Normal 9 25" xfId="2231" xr:uid="{00000000-0005-0000-0000-00004E340000}"/>
    <cellStyle name="Normal 9 26" xfId="2232" xr:uid="{00000000-0005-0000-0000-00004F340000}"/>
    <cellStyle name="Normal 9 27" xfId="2233" xr:uid="{00000000-0005-0000-0000-000050340000}"/>
    <cellStyle name="Normal 9 28" xfId="2234" xr:uid="{00000000-0005-0000-0000-000051340000}"/>
    <cellStyle name="Normal 9 29" xfId="2235" xr:uid="{00000000-0005-0000-0000-000052340000}"/>
    <cellStyle name="Normal 9 3" xfId="2236" xr:uid="{00000000-0005-0000-0000-000053340000}"/>
    <cellStyle name="Normal 9 30" xfId="2237" xr:uid="{00000000-0005-0000-0000-000054340000}"/>
    <cellStyle name="Normal 9 31" xfId="2238" xr:uid="{00000000-0005-0000-0000-000055340000}"/>
    <cellStyle name="Normal 9 32" xfId="2239" xr:uid="{00000000-0005-0000-0000-000056340000}"/>
    <cellStyle name="Normal 9 33" xfId="2240" xr:uid="{00000000-0005-0000-0000-000057340000}"/>
    <cellStyle name="Normal 9 34" xfId="2241" xr:uid="{00000000-0005-0000-0000-000058340000}"/>
    <cellStyle name="Normal 9 35" xfId="2242" xr:uid="{00000000-0005-0000-0000-000059340000}"/>
    <cellStyle name="Normal 9 36" xfId="2243" xr:uid="{00000000-0005-0000-0000-00005A340000}"/>
    <cellStyle name="Normal 9 37" xfId="2244" xr:uid="{00000000-0005-0000-0000-00005B340000}"/>
    <cellStyle name="Normal 9 38" xfId="2245" xr:uid="{00000000-0005-0000-0000-00005C340000}"/>
    <cellStyle name="Normal 9 39" xfId="2246" xr:uid="{00000000-0005-0000-0000-00005D340000}"/>
    <cellStyle name="Normal 9 4" xfId="2247" xr:uid="{00000000-0005-0000-0000-00005E340000}"/>
    <cellStyle name="Normal 9 40" xfId="2248" xr:uid="{00000000-0005-0000-0000-00005F340000}"/>
    <cellStyle name="Normal 9 41" xfId="2249" xr:uid="{00000000-0005-0000-0000-000060340000}"/>
    <cellStyle name="Normal 9 42" xfId="2250" xr:uid="{00000000-0005-0000-0000-000061340000}"/>
    <cellStyle name="Normal 9 43" xfId="2251" xr:uid="{00000000-0005-0000-0000-000062340000}"/>
    <cellStyle name="Normal 9 44" xfId="2252" xr:uid="{00000000-0005-0000-0000-000063340000}"/>
    <cellStyle name="Normal 9 44 2" xfId="4094" xr:uid="{00000000-0005-0000-0000-000064340000}"/>
    <cellStyle name="Normal 9 44 2 2" xfId="7168" xr:uid="{00000000-0005-0000-0000-000065340000}"/>
    <cellStyle name="Normal 9 44 3" xfId="5638" xr:uid="{00000000-0005-0000-0000-000066340000}"/>
    <cellStyle name="Normal 9 5" xfId="2253" xr:uid="{00000000-0005-0000-0000-000067340000}"/>
    <cellStyle name="Normal 9 6" xfId="2254" xr:uid="{00000000-0005-0000-0000-000068340000}"/>
    <cellStyle name="Normal 9 7" xfId="2255" xr:uid="{00000000-0005-0000-0000-000069340000}"/>
    <cellStyle name="Normal 9 8" xfId="2256" xr:uid="{00000000-0005-0000-0000-00006A340000}"/>
    <cellStyle name="Normal 9 9" xfId="2257" xr:uid="{00000000-0005-0000-0000-00006B340000}"/>
    <cellStyle name="Note 2" xfId="2258" xr:uid="{00000000-0005-0000-0000-00006C340000}"/>
    <cellStyle name="Note 2 2" xfId="2259" xr:uid="{00000000-0005-0000-0000-00006D340000}"/>
    <cellStyle name="Note 2 2 2" xfId="13733" xr:uid="{00000000-0005-0000-0000-00006E340000}"/>
    <cellStyle name="Note 2 2 3" xfId="13734" xr:uid="{00000000-0005-0000-0000-00006F340000}"/>
    <cellStyle name="Note 2 3" xfId="2260" xr:uid="{00000000-0005-0000-0000-000070340000}"/>
    <cellStyle name="Note 2 3 2" xfId="13735" xr:uid="{00000000-0005-0000-0000-000071340000}"/>
    <cellStyle name="Note 2 3 3" xfId="13736" xr:uid="{00000000-0005-0000-0000-000072340000}"/>
    <cellStyle name="Note 2 4" xfId="13737" xr:uid="{00000000-0005-0000-0000-000073340000}"/>
    <cellStyle name="Note 2 5" xfId="13738" xr:uid="{00000000-0005-0000-0000-000074340000}"/>
    <cellStyle name="Note 3" xfId="2261" xr:uid="{00000000-0005-0000-0000-000075340000}"/>
    <cellStyle name="Note 3 2" xfId="2262" xr:uid="{00000000-0005-0000-0000-000076340000}"/>
    <cellStyle name="Note 3 2 2" xfId="2263" xr:uid="{00000000-0005-0000-0000-000077340000}"/>
    <cellStyle name="Note 3 2 2 2" xfId="4097" xr:uid="{00000000-0005-0000-0000-000078340000}"/>
    <cellStyle name="Note 3 2 3" xfId="4096" xr:uid="{00000000-0005-0000-0000-000079340000}"/>
    <cellStyle name="Note 3 3" xfId="2264" xr:uid="{00000000-0005-0000-0000-00007A340000}"/>
    <cellStyle name="Note 3 3 2" xfId="2265" xr:uid="{00000000-0005-0000-0000-00007B340000}"/>
    <cellStyle name="Note 3 3 2 2" xfId="4099" xr:uid="{00000000-0005-0000-0000-00007C340000}"/>
    <cellStyle name="Note 3 3 3" xfId="4098" xr:uid="{00000000-0005-0000-0000-00007D340000}"/>
    <cellStyle name="Note 3 4" xfId="2266" xr:uid="{00000000-0005-0000-0000-00007E340000}"/>
    <cellStyle name="Note 3 4 2" xfId="4100" xr:uid="{00000000-0005-0000-0000-00007F340000}"/>
    <cellStyle name="Note 3 5" xfId="4095" xr:uid="{00000000-0005-0000-0000-000080340000}"/>
    <cellStyle name="Note 4" xfId="2267" xr:uid="{00000000-0005-0000-0000-000081340000}"/>
    <cellStyle name="Note 4 2" xfId="2268" xr:uid="{00000000-0005-0000-0000-000082340000}"/>
    <cellStyle name="Note 4 2 2" xfId="4102" xr:uid="{00000000-0005-0000-0000-000083340000}"/>
    <cellStyle name="Note 4 3" xfId="4101" xr:uid="{00000000-0005-0000-0000-000084340000}"/>
    <cellStyle name="Number" xfId="13739" xr:uid="{00000000-0005-0000-0000-000085340000}"/>
    <cellStyle name="Number 1" xfId="13740" xr:uid="{00000000-0005-0000-0000-000086340000}"/>
    <cellStyle name="Number 1 2" xfId="13741" xr:uid="{00000000-0005-0000-0000-000087340000}"/>
    <cellStyle name="Number II" xfId="13742" xr:uid="{00000000-0005-0000-0000-000088340000}"/>
    <cellStyle name="Output 2" xfId="2269" xr:uid="{00000000-0005-0000-0000-000089340000}"/>
    <cellStyle name="Output 2 2" xfId="2270" xr:uid="{00000000-0005-0000-0000-00008A340000}"/>
    <cellStyle name="Output 2 2 2" xfId="13743" xr:uid="{00000000-0005-0000-0000-00008B340000}"/>
    <cellStyle name="Output 2 2 3" xfId="13744" xr:uid="{00000000-0005-0000-0000-00008C340000}"/>
    <cellStyle name="Output 2 3" xfId="2271" xr:uid="{00000000-0005-0000-0000-00008D340000}"/>
    <cellStyle name="Output 2 3 2" xfId="13745" xr:uid="{00000000-0005-0000-0000-00008E340000}"/>
    <cellStyle name="Output 2 3 3" xfId="13746" xr:uid="{00000000-0005-0000-0000-00008F340000}"/>
    <cellStyle name="Output 2 4" xfId="13747" xr:uid="{00000000-0005-0000-0000-000090340000}"/>
    <cellStyle name="Output 2 5" xfId="13748" xr:uid="{00000000-0005-0000-0000-000091340000}"/>
    <cellStyle name="Output 3" xfId="2272" xr:uid="{00000000-0005-0000-0000-000092340000}"/>
    <cellStyle name="Output 3 2" xfId="2273" xr:uid="{00000000-0005-0000-0000-000093340000}"/>
    <cellStyle name="per m3" xfId="13749" xr:uid="{00000000-0005-0000-0000-000094340000}"/>
    <cellStyle name="per Ton" xfId="13750" xr:uid="{00000000-0005-0000-0000-000095340000}"/>
    <cellStyle name="Percent (0)" xfId="13751" xr:uid="{00000000-0005-0000-0000-000097340000}"/>
    <cellStyle name="Percent 10" xfId="13752" xr:uid="{00000000-0005-0000-0000-000098340000}"/>
    <cellStyle name="Percent 11" xfId="13786" xr:uid="{97EF6B36-FCF6-4B38-AD76-57B7DFE4F898}"/>
    <cellStyle name="Percent 2" xfId="2274" xr:uid="{00000000-0005-0000-0000-000099340000}"/>
    <cellStyle name="Percent 2 10" xfId="2275" xr:uid="{00000000-0005-0000-0000-00009A340000}"/>
    <cellStyle name="Percent 2 11" xfId="2276" xr:uid="{00000000-0005-0000-0000-00009B340000}"/>
    <cellStyle name="Percent 2 12" xfId="2277" xr:uid="{00000000-0005-0000-0000-00009C340000}"/>
    <cellStyle name="Percent 2 13" xfId="2278" xr:uid="{00000000-0005-0000-0000-00009D340000}"/>
    <cellStyle name="Percent 2 14" xfId="2279" xr:uid="{00000000-0005-0000-0000-00009E340000}"/>
    <cellStyle name="Percent 2 15" xfId="2280" xr:uid="{00000000-0005-0000-0000-00009F340000}"/>
    <cellStyle name="Percent 2 16" xfId="2281" xr:uid="{00000000-0005-0000-0000-0000A0340000}"/>
    <cellStyle name="Percent 2 17" xfId="2282" xr:uid="{00000000-0005-0000-0000-0000A1340000}"/>
    <cellStyle name="Percent 2 18" xfId="2283" xr:uid="{00000000-0005-0000-0000-0000A2340000}"/>
    <cellStyle name="Percent 2 19" xfId="2284" xr:uid="{00000000-0005-0000-0000-0000A3340000}"/>
    <cellStyle name="Percent 2 2" xfId="2285" xr:uid="{00000000-0005-0000-0000-0000A4340000}"/>
    <cellStyle name="Percent 2 2 2" xfId="2286" xr:uid="{00000000-0005-0000-0000-0000A5340000}"/>
    <cellStyle name="Percent 2 2 2 2" xfId="4103" xr:uid="{00000000-0005-0000-0000-0000A6340000}"/>
    <cellStyle name="Percent 2 2 3" xfId="2287" xr:uid="{00000000-0005-0000-0000-0000A7340000}"/>
    <cellStyle name="Percent 2 2 3 2" xfId="4104" xr:uid="{00000000-0005-0000-0000-0000A8340000}"/>
    <cellStyle name="Percent 2 20" xfId="2288" xr:uid="{00000000-0005-0000-0000-0000A9340000}"/>
    <cellStyle name="Percent 2 21" xfId="2289" xr:uid="{00000000-0005-0000-0000-0000AA340000}"/>
    <cellStyle name="Percent 2 22" xfId="2290" xr:uid="{00000000-0005-0000-0000-0000AB340000}"/>
    <cellStyle name="Percent 2 23" xfId="2291" xr:uid="{00000000-0005-0000-0000-0000AC340000}"/>
    <cellStyle name="Percent 2 24" xfId="2292" xr:uid="{00000000-0005-0000-0000-0000AD340000}"/>
    <cellStyle name="Percent 2 25" xfId="2293" xr:uid="{00000000-0005-0000-0000-0000AE340000}"/>
    <cellStyle name="Percent 2 26" xfId="2294" xr:uid="{00000000-0005-0000-0000-0000AF340000}"/>
    <cellStyle name="Percent 2 27" xfId="2295" xr:uid="{00000000-0005-0000-0000-0000B0340000}"/>
    <cellStyle name="Percent 2 28" xfId="2296" xr:uid="{00000000-0005-0000-0000-0000B1340000}"/>
    <cellStyle name="Percent 2 29" xfId="2297" xr:uid="{00000000-0005-0000-0000-0000B2340000}"/>
    <cellStyle name="Percent 2 3" xfId="2298" xr:uid="{00000000-0005-0000-0000-0000B3340000}"/>
    <cellStyle name="Percent 2 3 2" xfId="2299" xr:uid="{00000000-0005-0000-0000-0000B4340000}"/>
    <cellStyle name="Percent 2 3 2 2" xfId="4105" xr:uid="{00000000-0005-0000-0000-0000B5340000}"/>
    <cellStyle name="Percent 2 30" xfId="2300" xr:uid="{00000000-0005-0000-0000-0000B6340000}"/>
    <cellStyle name="Percent 2 31" xfId="2301" xr:uid="{00000000-0005-0000-0000-0000B7340000}"/>
    <cellStyle name="Percent 2 32" xfId="2302" xr:uid="{00000000-0005-0000-0000-0000B8340000}"/>
    <cellStyle name="Percent 2 33" xfId="2303" xr:uid="{00000000-0005-0000-0000-0000B9340000}"/>
    <cellStyle name="Percent 2 34" xfId="2304" xr:uid="{00000000-0005-0000-0000-0000BA340000}"/>
    <cellStyle name="Percent 2 35" xfId="2305" xr:uid="{00000000-0005-0000-0000-0000BB340000}"/>
    <cellStyle name="Percent 2 36" xfId="2306" xr:uid="{00000000-0005-0000-0000-0000BC340000}"/>
    <cellStyle name="Percent 2 37" xfId="2307" xr:uid="{00000000-0005-0000-0000-0000BD340000}"/>
    <cellStyle name="Percent 2 38" xfId="2308" xr:uid="{00000000-0005-0000-0000-0000BE340000}"/>
    <cellStyle name="Percent 2 39" xfId="2309" xr:uid="{00000000-0005-0000-0000-0000BF340000}"/>
    <cellStyle name="Percent 2 4" xfId="2310" xr:uid="{00000000-0005-0000-0000-0000C0340000}"/>
    <cellStyle name="Percent 2 40" xfId="2311" xr:uid="{00000000-0005-0000-0000-0000C1340000}"/>
    <cellStyle name="Percent 2 41" xfId="2312" xr:uid="{00000000-0005-0000-0000-0000C2340000}"/>
    <cellStyle name="Percent 2 42" xfId="2313" xr:uid="{00000000-0005-0000-0000-0000C3340000}"/>
    <cellStyle name="Percent 2 43" xfId="2314" xr:uid="{00000000-0005-0000-0000-0000C4340000}"/>
    <cellStyle name="Percent 2 44" xfId="2315" xr:uid="{00000000-0005-0000-0000-0000C5340000}"/>
    <cellStyle name="Percent 2 44 2" xfId="4106" xr:uid="{00000000-0005-0000-0000-0000C6340000}"/>
    <cellStyle name="Percent 2 45" xfId="7172" xr:uid="{00000000-0005-0000-0000-0000C7340000}"/>
    <cellStyle name="Percent 2 5" xfId="2316" xr:uid="{00000000-0005-0000-0000-0000C8340000}"/>
    <cellStyle name="Percent 2 6" xfId="2317" xr:uid="{00000000-0005-0000-0000-0000C9340000}"/>
    <cellStyle name="Percent 2 7" xfId="2318" xr:uid="{00000000-0005-0000-0000-0000CA340000}"/>
    <cellStyle name="Percent 2 8" xfId="2319" xr:uid="{00000000-0005-0000-0000-0000CB340000}"/>
    <cellStyle name="Percent 2 9" xfId="2320" xr:uid="{00000000-0005-0000-0000-0000CC340000}"/>
    <cellStyle name="Percent 3" xfId="2321" xr:uid="{00000000-0005-0000-0000-0000CD340000}"/>
    <cellStyle name="Percent 3 2" xfId="2322" xr:uid="{00000000-0005-0000-0000-0000CE340000}"/>
    <cellStyle name="Percent 3 2 2" xfId="4108" xr:uid="{00000000-0005-0000-0000-0000CF340000}"/>
    <cellStyle name="Percent 3 3" xfId="4107" xr:uid="{00000000-0005-0000-0000-0000D0340000}"/>
    <cellStyle name="Percent 4" xfId="13753" xr:uid="{00000000-0005-0000-0000-0000D1340000}"/>
    <cellStyle name="Percent 4 2" xfId="13754" xr:uid="{00000000-0005-0000-0000-0000D2340000}"/>
    <cellStyle name="Percent 4 3" xfId="13755" xr:uid="{00000000-0005-0000-0000-0000D3340000}"/>
    <cellStyle name="Percent 4 4" xfId="13756" xr:uid="{00000000-0005-0000-0000-0000D4340000}"/>
    <cellStyle name="Percent 4 5" xfId="13757" xr:uid="{00000000-0005-0000-0000-0000D5340000}"/>
    <cellStyle name="Percent 5" xfId="13758" xr:uid="{00000000-0005-0000-0000-0000D6340000}"/>
    <cellStyle name="Percent 6" xfId="13759" xr:uid="{00000000-0005-0000-0000-0000D7340000}"/>
    <cellStyle name="Percent 6 2" xfId="13760" xr:uid="{00000000-0005-0000-0000-0000D8340000}"/>
    <cellStyle name="Percent 6 3" xfId="13761" xr:uid="{00000000-0005-0000-0000-0000D9340000}"/>
    <cellStyle name="Percent 6 3 2" xfId="13762" xr:uid="{00000000-0005-0000-0000-0000DA340000}"/>
    <cellStyle name="Percent 7" xfId="13763" xr:uid="{00000000-0005-0000-0000-0000DB340000}"/>
    <cellStyle name="Percent 8" xfId="13764" xr:uid="{00000000-0005-0000-0000-0000DC340000}"/>
    <cellStyle name="Percent 8 2" xfId="13765" xr:uid="{00000000-0005-0000-0000-0000DD340000}"/>
    <cellStyle name="Percent 9" xfId="13766" xr:uid="{00000000-0005-0000-0000-0000DE340000}"/>
    <cellStyle name="PSChar" xfId="2323" xr:uid="{00000000-0005-0000-0000-0000DF340000}"/>
    <cellStyle name="PSChar 10" xfId="2324" xr:uid="{00000000-0005-0000-0000-0000E0340000}"/>
    <cellStyle name="PSChar 11" xfId="2325" xr:uid="{00000000-0005-0000-0000-0000E1340000}"/>
    <cellStyle name="PSChar 12" xfId="2326" xr:uid="{00000000-0005-0000-0000-0000E2340000}"/>
    <cellStyle name="PSChar 13" xfId="2327" xr:uid="{00000000-0005-0000-0000-0000E3340000}"/>
    <cellStyle name="PSChar 14" xfId="2328" xr:uid="{00000000-0005-0000-0000-0000E4340000}"/>
    <cellStyle name="PSChar 15" xfId="2329" xr:uid="{00000000-0005-0000-0000-0000E5340000}"/>
    <cellStyle name="PSChar 16" xfId="2330" xr:uid="{00000000-0005-0000-0000-0000E6340000}"/>
    <cellStyle name="PSChar 17" xfId="2331" xr:uid="{00000000-0005-0000-0000-0000E7340000}"/>
    <cellStyle name="PSChar 18" xfId="2332" xr:uid="{00000000-0005-0000-0000-0000E8340000}"/>
    <cellStyle name="PSChar 19" xfId="2333" xr:uid="{00000000-0005-0000-0000-0000E9340000}"/>
    <cellStyle name="PSChar 2" xfId="2334" xr:uid="{00000000-0005-0000-0000-0000EA340000}"/>
    <cellStyle name="PSChar 20" xfId="2335" xr:uid="{00000000-0005-0000-0000-0000EB340000}"/>
    <cellStyle name="PSChar 21" xfId="2336" xr:uid="{00000000-0005-0000-0000-0000EC340000}"/>
    <cellStyle name="PSChar 22" xfId="2337" xr:uid="{00000000-0005-0000-0000-0000ED340000}"/>
    <cellStyle name="PSChar 23" xfId="2338" xr:uid="{00000000-0005-0000-0000-0000EE340000}"/>
    <cellStyle name="PSChar 24" xfId="2339" xr:uid="{00000000-0005-0000-0000-0000EF340000}"/>
    <cellStyle name="PSChar 25" xfId="2340" xr:uid="{00000000-0005-0000-0000-0000F0340000}"/>
    <cellStyle name="PSChar 26" xfId="2341" xr:uid="{00000000-0005-0000-0000-0000F1340000}"/>
    <cellStyle name="PSChar 27" xfId="2342" xr:uid="{00000000-0005-0000-0000-0000F2340000}"/>
    <cellStyle name="PSChar 28" xfId="2343" xr:uid="{00000000-0005-0000-0000-0000F3340000}"/>
    <cellStyle name="PSChar 29" xfId="2344" xr:uid="{00000000-0005-0000-0000-0000F4340000}"/>
    <cellStyle name="PSChar 3" xfId="2345" xr:uid="{00000000-0005-0000-0000-0000F5340000}"/>
    <cellStyle name="PSChar 30" xfId="2346" xr:uid="{00000000-0005-0000-0000-0000F6340000}"/>
    <cellStyle name="PSChar 31" xfId="2347" xr:uid="{00000000-0005-0000-0000-0000F7340000}"/>
    <cellStyle name="PSChar 32" xfId="2348" xr:uid="{00000000-0005-0000-0000-0000F8340000}"/>
    <cellStyle name="PSChar 33" xfId="2349" xr:uid="{00000000-0005-0000-0000-0000F9340000}"/>
    <cellStyle name="PSChar 34" xfId="2350" xr:uid="{00000000-0005-0000-0000-0000FA340000}"/>
    <cellStyle name="PSChar 35" xfId="2351" xr:uid="{00000000-0005-0000-0000-0000FB340000}"/>
    <cellStyle name="PSChar 36" xfId="2352" xr:uid="{00000000-0005-0000-0000-0000FC340000}"/>
    <cellStyle name="PSChar 37" xfId="2353" xr:uid="{00000000-0005-0000-0000-0000FD340000}"/>
    <cellStyle name="PSChar 38" xfId="2354" xr:uid="{00000000-0005-0000-0000-0000FE340000}"/>
    <cellStyle name="PSChar 39" xfId="2355" xr:uid="{00000000-0005-0000-0000-0000FF340000}"/>
    <cellStyle name="PSChar 4" xfId="2356" xr:uid="{00000000-0005-0000-0000-000000350000}"/>
    <cellStyle name="PSChar 40" xfId="2357" xr:uid="{00000000-0005-0000-0000-000001350000}"/>
    <cellStyle name="PSChar 41" xfId="2358" xr:uid="{00000000-0005-0000-0000-000002350000}"/>
    <cellStyle name="PSChar 42" xfId="2359" xr:uid="{00000000-0005-0000-0000-000003350000}"/>
    <cellStyle name="PSChar 43" xfId="2360" xr:uid="{00000000-0005-0000-0000-000004350000}"/>
    <cellStyle name="PSChar 5" xfId="2361" xr:uid="{00000000-0005-0000-0000-000005350000}"/>
    <cellStyle name="PSChar 6" xfId="2362" xr:uid="{00000000-0005-0000-0000-000006350000}"/>
    <cellStyle name="PSChar 7" xfId="2363" xr:uid="{00000000-0005-0000-0000-000007350000}"/>
    <cellStyle name="PSChar 8" xfId="2364" xr:uid="{00000000-0005-0000-0000-000008350000}"/>
    <cellStyle name="PSChar 9" xfId="2365" xr:uid="{00000000-0005-0000-0000-000009350000}"/>
    <cellStyle name="PSDate" xfId="2366" xr:uid="{00000000-0005-0000-0000-00000A350000}"/>
    <cellStyle name="PSDec" xfId="2367" xr:uid="{00000000-0005-0000-0000-00000B350000}"/>
    <cellStyle name="PSHeading" xfId="2368" xr:uid="{00000000-0005-0000-0000-00000C350000}"/>
    <cellStyle name="PSHeading 10" xfId="2369" xr:uid="{00000000-0005-0000-0000-00000D350000}"/>
    <cellStyle name="PSHeading 11" xfId="2370" xr:uid="{00000000-0005-0000-0000-00000E350000}"/>
    <cellStyle name="PSHeading 12" xfId="2371" xr:uid="{00000000-0005-0000-0000-00000F350000}"/>
    <cellStyle name="PSHeading 13" xfId="2372" xr:uid="{00000000-0005-0000-0000-000010350000}"/>
    <cellStyle name="PSHeading 14" xfId="2373" xr:uid="{00000000-0005-0000-0000-000011350000}"/>
    <cellStyle name="PSHeading 15" xfId="2374" xr:uid="{00000000-0005-0000-0000-000012350000}"/>
    <cellStyle name="PSHeading 16" xfId="2375" xr:uid="{00000000-0005-0000-0000-000013350000}"/>
    <cellStyle name="PSHeading 17" xfId="2376" xr:uid="{00000000-0005-0000-0000-000014350000}"/>
    <cellStyle name="PSHeading 18" xfId="2377" xr:uid="{00000000-0005-0000-0000-000015350000}"/>
    <cellStyle name="PSHeading 19" xfId="2378" xr:uid="{00000000-0005-0000-0000-000016350000}"/>
    <cellStyle name="PSHeading 2" xfId="2379" xr:uid="{00000000-0005-0000-0000-000017350000}"/>
    <cellStyle name="PSHeading 20" xfId="2380" xr:uid="{00000000-0005-0000-0000-000018350000}"/>
    <cellStyle name="PSHeading 21" xfId="2381" xr:uid="{00000000-0005-0000-0000-000019350000}"/>
    <cellStyle name="PSHeading 22" xfId="2382" xr:uid="{00000000-0005-0000-0000-00001A350000}"/>
    <cellStyle name="PSHeading 23" xfId="2383" xr:uid="{00000000-0005-0000-0000-00001B350000}"/>
    <cellStyle name="PSHeading 24" xfId="2384" xr:uid="{00000000-0005-0000-0000-00001C350000}"/>
    <cellStyle name="PSHeading 25" xfId="2385" xr:uid="{00000000-0005-0000-0000-00001D350000}"/>
    <cellStyle name="PSHeading 26" xfId="2386" xr:uid="{00000000-0005-0000-0000-00001E350000}"/>
    <cellStyle name="PSHeading 27" xfId="2387" xr:uid="{00000000-0005-0000-0000-00001F350000}"/>
    <cellStyle name="PSHeading 28" xfId="2388" xr:uid="{00000000-0005-0000-0000-000020350000}"/>
    <cellStyle name="PSHeading 29" xfId="2389" xr:uid="{00000000-0005-0000-0000-000021350000}"/>
    <cellStyle name="PSHeading 3" xfId="2390" xr:uid="{00000000-0005-0000-0000-000022350000}"/>
    <cellStyle name="PSHeading 30" xfId="2391" xr:uid="{00000000-0005-0000-0000-000023350000}"/>
    <cellStyle name="PSHeading 31" xfId="2392" xr:uid="{00000000-0005-0000-0000-000024350000}"/>
    <cellStyle name="PSHeading 32" xfId="2393" xr:uid="{00000000-0005-0000-0000-000025350000}"/>
    <cellStyle name="PSHeading 33" xfId="2394" xr:uid="{00000000-0005-0000-0000-000026350000}"/>
    <cellStyle name="PSHeading 34" xfId="2395" xr:uid="{00000000-0005-0000-0000-000027350000}"/>
    <cellStyle name="PSHeading 35" xfId="2396" xr:uid="{00000000-0005-0000-0000-000028350000}"/>
    <cellStyle name="PSHeading 36" xfId="2397" xr:uid="{00000000-0005-0000-0000-000029350000}"/>
    <cellStyle name="PSHeading 37" xfId="2398" xr:uid="{00000000-0005-0000-0000-00002A350000}"/>
    <cellStyle name="PSHeading 38" xfId="2399" xr:uid="{00000000-0005-0000-0000-00002B350000}"/>
    <cellStyle name="PSHeading 39" xfId="2400" xr:uid="{00000000-0005-0000-0000-00002C350000}"/>
    <cellStyle name="PSHeading 4" xfId="2401" xr:uid="{00000000-0005-0000-0000-00002D350000}"/>
    <cellStyle name="PSHeading 40" xfId="2402" xr:uid="{00000000-0005-0000-0000-00002E350000}"/>
    <cellStyle name="PSHeading 41" xfId="2403" xr:uid="{00000000-0005-0000-0000-00002F350000}"/>
    <cellStyle name="PSHeading 42" xfId="2404" xr:uid="{00000000-0005-0000-0000-000030350000}"/>
    <cellStyle name="PSHeading 43" xfId="2405" xr:uid="{00000000-0005-0000-0000-000031350000}"/>
    <cellStyle name="PSHeading 5" xfId="2406" xr:uid="{00000000-0005-0000-0000-000032350000}"/>
    <cellStyle name="PSHeading 6" xfId="2407" xr:uid="{00000000-0005-0000-0000-000033350000}"/>
    <cellStyle name="PSHeading 7" xfId="2408" xr:uid="{00000000-0005-0000-0000-000034350000}"/>
    <cellStyle name="PSHeading 8" xfId="2409" xr:uid="{00000000-0005-0000-0000-000035350000}"/>
    <cellStyle name="PSHeading 9" xfId="2410" xr:uid="{00000000-0005-0000-0000-000036350000}"/>
    <cellStyle name="PSInt" xfId="2411" xr:uid="{00000000-0005-0000-0000-000037350000}"/>
    <cellStyle name="PSSpacer" xfId="2412" xr:uid="{00000000-0005-0000-0000-000038350000}"/>
    <cellStyle name="PSSpacer 10" xfId="2413" xr:uid="{00000000-0005-0000-0000-000039350000}"/>
    <cellStyle name="PSSpacer 11" xfId="2414" xr:uid="{00000000-0005-0000-0000-00003A350000}"/>
    <cellStyle name="PSSpacer 12" xfId="2415" xr:uid="{00000000-0005-0000-0000-00003B350000}"/>
    <cellStyle name="PSSpacer 13" xfId="2416" xr:uid="{00000000-0005-0000-0000-00003C350000}"/>
    <cellStyle name="PSSpacer 14" xfId="2417" xr:uid="{00000000-0005-0000-0000-00003D350000}"/>
    <cellStyle name="PSSpacer 15" xfId="2418" xr:uid="{00000000-0005-0000-0000-00003E350000}"/>
    <cellStyle name="PSSpacer 16" xfId="2419" xr:uid="{00000000-0005-0000-0000-00003F350000}"/>
    <cellStyle name="PSSpacer 17" xfId="2420" xr:uid="{00000000-0005-0000-0000-000040350000}"/>
    <cellStyle name="PSSpacer 18" xfId="2421" xr:uid="{00000000-0005-0000-0000-000041350000}"/>
    <cellStyle name="PSSpacer 19" xfId="2422" xr:uid="{00000000-0005-0000-0000-000042350000}"/>
    <cellStyle name="PSSpacer 2" xfId="2423" xr:uid="{00000000-0005-0000-0000-000043350000}"/>
    <cellStyle name="PSSpacer 20" xfId="2424" xr:uid="{00000000-0005-0000-0000-000044350000}"/>
    <cellStyle name="PSSpacer 21" xfId="2425" xr:uid="{00000000-0005-0000-0000-000045350000}"/>
    <cellStyle name="PSSpacer 22" xfId="2426" xr:uid="{00000000-0005-0000-0000-000046350000}"/>
    <cellStyle name="PSSpacer 23" xfId="2427" xr:uid="{00000000-0005-0000-0000-000047350000}"/>
    <cellStyle name="PSSpacer 24" xfId="2428" xr:uid="{00000000-0005-0000-0000-000048350000}"/>
    <cellStyle name="PSSpacer 25" xfId="2429" xr:uid="{00000000-0005-0000-0000-000049350000}"/>
    <cellStyle name="PSSpacer 26" xfId="2430" xr:uid="{00000000-0005-0000-0000-00004A350000}"/>
    <cellStyle name="PSSpacer 27" xfId="2431" xr:uid="{00000000-0005-0000-0000-00004B350000}"/>
    <cellStyle name="PSSpacer 28" xfId="2432" xr:uid="{00000000-0005-0000-0000-00004C350000}"/>
    <cellStyle name="PSSpacer 29" xfId="2433" xr:uid="{00000000-0005-0000-0000-00004D350000}"/>
    <cellStyle name="PSSpacer 3" xfId="2434" xr:uid="{00000000-0005-0000-0000-00004E350000}"/>
    <cellStyle name="PSSpacer 30" xfId="2435" xr:uid="{00000000-0005-0000-0000-00004F350000}"/>
    <cellStyle name="PSSpacer 31" xfId="2436" xr:uid="{00000000-0005-0000-0000-000050350000}"/>
    <cellStyle name="PSSpacer 32" xfId="2437" xr:uid="{00000000-0005-0000-0000-000051350000}"/>
    <cellStyle name="PSSpacer 33" xfId="2438" xr:uid="{00000000-0005-0000-0000-000052350000}"/>
    <cellStyle name="PSSpacer 34" xfId="2439" xr:uid="{00000000-0005-0000-0000-000053350000}"/>
    <cellStyle name="PSSpacer 35" xfId="2440" xr:uid="{00000000-0005-0000-0000-000054350000}"/>
    <cellStyle name="PSSpacer 36" xfId="2441" xr:uid="{00000000-0005-0000-0000-000055350000}"/>
    <cellStyle name="PSSpacer 37" xfId="2442" xr:uid="{00000000-0005-0000-0000-000056350000}"/>
    <cellStyle name="PSSpacer 38" xfId="2443" xr:uid="{00000000-0005-0000-0000-000057350000}"/>
    <cellStyle name="PSSpacer 39" xfId="2444" xr:uid="{00000000-0005-0000-0000-000058350000}"/>
    <cellStyle name="PSSpacer 4" xfId="2445" xr:uid="{00000000-0005-0000-0000-000059350000}"/>
    <cellStyle name="PSSpacer 40" xfId="2446" xr:uid="{00000000-0005-0000-0000-00005A350000}"/>
    <cellStyle name="PSSpacer 41" xfId="2447" xr:uid="{00000000-0005-0000-0000-00005B350000}"/>
    <cellStyle name="PSSpacer 42" xfId="2448" xr:uid="{00000000-0005-0000-0000-00005C350000}"/>
    <cellStyle name="PSSpacer 43" xfId="2449" xr:uid="{00000000-0005-0000-0000-00005D350000}"/>
    <cellStyle name="PSSpacer 5" xfId="2450" xr:uid="{00000000-0005-0000-0000-00005E350000}"/>
    <cellStyle name="PSSpacer 6" xfId="2451" xr:uid="{00000000-0005-0000-0000-00005F350000}"/>
    <cellStyle name="PSSpacer 7" xfId="2452" xr:uid="{00000000-0005-0000-0000-000060350000}"/>
    <cellStyle name="PSSpacer 8" xfId="2453" xr:uid="{00000000-0005-0000-0000-000061350000}"/>
    <cellStyle name="PSSpacer 9" xfId="2454" xr:uid="{00000000-0005-0000-0000-000062350000}"/>
    <cellStyle name="Style 1" xfId="2455" xr:uid="{00000000-0005-0000-0000-000063350000}"/>
    <cellStyle name="Style 1 10" xfId="2456" xr:uid="{00000000-0005-0000-0000-000064350000}"/>
    <cellStyle name="Style 1 11" xfId="2457" xr:uid="{00000000-0005-0000-0000-000065350000}"/>
    <cellStyle name="Style 1 12" xfId="2458" xr:uid="{00000000-0005-0000-0000-000066350000}"/>
    <cellStyle name="Style 1 13" xfId="2459" xr:uid="{00000000-0005-0000-0000-000067350000}"/>
    <cellStyle name="Style 1 14" xfId="2460" xr:uid="{00000000-0005-0000-0000-000068350000}"/>
    <cellStyle name="Style 1 15" xfId="2461" xr:uid="{00000000-0005-0000-0000-000069350000}"/>
    <cellStyle name="Style 1 16" xfId="2462" xr:uid="{00000000-0005-0000-0000-00006A350000}"/>
    <cellStyle name="Style 1 17" xfId="2463" xr:uid="{00000000-0005-0000-0000-00006B350000}"/>
    <cellStyle name="Style 1 18" xfId="2464" xr:uid="{00000000-0005-0000-0000-00006C350000}"/>
    <cellStyle name="Style 1 19" xfId="2465" xr:uid="{00000000-0005-0000-0000-00006D350000}"/>
    <cellStyle name="Style 1 2" xfId="2466" xr:uid="{00000000-0005-0000-0000-00006E350000}"/>
    <cellStyle name="Style 1 20" xfId="2467" xr:uid="{00000000-0005-0000-0000-00006F350000}"/>
    <cellStyle name="Style 1 21" xfId="2468" xr:uid="{00000000-0005-0000-0000-000070350000}"/>
    <cellStyle name="Style 1 22" xfId="2469" xr:uid="{00000000-0005-0000-0000-000071350000}"/>
    <cellStyle name="Style 1 23" xfId="2470" xr:uid="{00000000-0005-0000-0000-000072350000}"/>
    <cellStyle name="Style 1 24" xfId="2471" xr:uid="{00000000-0005-0000-0000-000073350000}"/>
    <cellStyle name="Style 1 25" xfId="2472" xr:uid="{00000000-0005-0000-0000-000074350000}"/>
    <cellStyle name="Style 1 26" xfId="2473" xr:uid="{00000000-0005-0000-0000-000075350000}"/>
    <cellStyle name="Style 1 27" xfId="2474" xr:uid="{00000000-0005-0000-0000-000076350000}"/>
    <cellStyle name="Style 1 28" xfId="2475" xr:uid="{00000000-0005-0000-0000-000077350000}"/>
    <cellStyle name="Style 1 29" xfId="2476" xr:uid="{00000000-0005-0000-0000-000078350000}"/>
    <cellStyle name="Style 1 3" xfId="2477" xr:uid="{00000000-0005-0000-0000-000079350000}"/>
    <cellStyle name="Style 1 30" xfId="2478" xr:uid="{00000000-0005-0000-0000-00007A350000}"/>
    <cellStyle name="Style 1 31" xfId="2479" xr:uid="{00000000-0005-0000-0000-00007B350000}"/>
    <cellStyle name="Style 1 32" xfId="2480" xr:uid="{00000000-0005-0000-0000-00007C350000}"/>
    <cellStyle name="Style 1 33" xfId="2481" xr:uid="{00000000-0005-0000-0000-00007D350000}"/>
    <cellStyle name="Style 1 34" xfId="2482" xr:uid="{00000000-0005-0000-0000-00007E350000}"/>
    <cellStyle name="Style 1 35" xfId="2483" xr:uid="{00000000-0005-0000-0000-00007F350000}"/>
    <cellStyle name="Style 1 36" xfId="2484" xr:uid="{00000000-0005-0000-0000-000080350000}"/>
    <cellStyle name="Style 1 37" xfId="2485" xr:uid="{00000000-0005-0000-0000-000081350000}"/>
    <cellStyle name="Style 1 38" xfId="2486" xr:uid="{00000000-0005-0000-0000-000082350000}"/>
    <cellStyle name="Style 1 39" xfId="2487" xr:uid="{00000000-0005-0000-0000-000083350000}"/>
    <cellStyle name="Style 1 4" xfId="2488" xr:uid="{00000000-0005-0000-0000-000084350000}"/>
    <cellStyle name="Style 1 40" xfId="2489" xr:uid="{00000000-0005-0000-0000-000085350000}"/>
    <cellStyle name="Style 1 41" xfId="2490" xr:uid="{00000000-0005-0000-0000-000086350000}"/>
    <cellStyle name="Style 1 42" xfId="2491" xr:uid="{00000000-0005-0000-0000-000087350000}"/>
    <cellStyle name="Style 1 43" xfId="2492" xr:uid="{00000000-0005-0000-0000-000088350000}"/>
    <cellStyle name="Style 1 5" xfId="2493" xr:uid="{00000000-0005-0000-0000-000089350000}"/>
    <cellStyle name="Style 1 6" xfId="2494" xr:uid="{00000000-0005-0000-0000-00008A350000}"/>
    <cellStyle name="Style 1 7" xfId="2495" xr:uid="{00000000-0005-0000-0000-00008B350000}"/>
    <cellStyle name="Style 1 8" xfId="2496" xr:uid="{00000000-0005-0000-0000-00008C350000}"/>
    <cellStyle name="Style 1 9" xfId="2497" xr:uid="{00000000-0005-0000-0000-00008D350000}"/>
    <cellStyle name="STYLE1" xfId="2498" xr:uid="{00000000-0005-0000-0000-00008E350000}"/>
    <cellStyle name="STYLE2" xfId="2499" xr:uid="{00000000-0005-0000-0000-00008F350000}"/>
    <cellStyle name="STYLE3" xfId="2500" xr:uid="{00000000-0005-0000-0000-000090350000}"/>
    <cellStyle name="STYLE4" xfId="2501" xr:uid="{00000000-0005-0000-0000-000091350000}"/>
    <cellStyle name="STYLE4 10" xfId="2502" xr:uid="{00000000-0005-0000-0000-000092350000}"/>
    <cellStyle name="STYLE4 11" xfId="2503" xr:uid="{00000000-0005-0000-0000-000093350000}"/>
    <cellStyle name="STYLE4 12" xfId="2504" xr:uid="{00000000-0005-0000-0000-000094350000}"/>
    <cellStyle name="STYLE4 13" xfId="2505" xr:uid="{00000000-0005-0000-0000-000095350000}"/>
    <cellStyle name="STYLE4 14" xfId="2506" xr:uid="{00000000-0005-0000-0000-000096350000}"/>
    <cellStyle name="STYLE4 15" xfId="2507" xr:uid="{00000000-0005-0000-0000-000097350000}"/>
    <cellStyle name="STYLE4 16" xfId="2508" xr:uid="{00000000-0005-0000-0000-000098350000}"/>
    <cellStyle name="STYLE4 17" xfId="2509" xr:uid="{00000000-0005-0000-0000-000099350000}"/>
    <cellStyle name="STYLE4 18" xfId="2510" xr:uid="{00000000-0005-0000-0000-00009A350000}"/>
    <cellStyle name="STYLE4 19" xfId="2511" xr:uid="{00000000-0005-0000-0000-00009B350000}"/>
    <cellStyle name="STYLE4 2" xfId="2512" xr:uid="{00000000-0005-0000-0000-00009C350000}"/>
    <cellStyle name="STYLE4 20" xfId="2513" xr:uid="{00000000-0005-0000-0000-00009D350000}"/>
    <cellStyle name="STYLE4 21" xfId="2514" xr:uid="{00000000-0005-0000-0000-00009E350000}"/>
    <cellStyle name="STYLE4 22" xfId="2515" xr:uid="{00000000-0005-0000-0000-00009F350000}"/>
    <cellStyle name="STYLE4 23" xfId="2516" xr:uid="{00000000-0005-0000-0000-0000A0350000}"/>
    <cellStyle name="STYLE4 24" xfId="2517" xr:uid="{00000000-0005-0000-0000-0000A1350000}"/>
    <cellStyle name="STYLE4 25" xfId="2518" xr:uid="{00000000-0005-0000-0000-0000A2350000}"/>
    <cellStyle name="STYLE4 26" xfId="2519" xr:uid="{00000000-0005-0000-0000-0000A3350000}"/>
    <cellStyle name="STYLE4 27" xfId="2520" xr:uid="{00000000-0005-0000-0000-0000A4350000}"/>
    <cellStyle name="STYLE4 28" xfId="2521" xr:uid="{00000000-0005-0000-0000-0000A5350000}"/>
    <cellStyle name="STYLE4 29" xfId="2522" xr:uid="{00000000-0005-0000-0000-0000A6350000}"/>
    <cellStyle name="STYLE4 3" xfId="2523" xr:uid="{00000000-0005-0000-0000-0000A7350000}"/>
    <cellStyle name="STYLE4 30" xfId="2524" xr:uid="{00000000-0005-0000-0000-0000A8350000}"/>
    <cellStyle name="STYLE4 31" xfId="2525" xr:uid="{00000000-0005-0000-0000-0000A9350000}"/>
    <cellStyle name="STYLE4 32" xfId="2526" xr:uid="{00000000-0005-0000-0000-0000AA350000}"/>
    <cellStyle name="STYLE4 33" xfId="2527" xr:uid="{00000000-0005-0000-0000-0000AB350000}"/>
    <cellStyle name="STYLE4 34" xfId="2528" xr:uid="{00000000-0005-0000-0000-0000AC350000}"/>
    <cellStyle name="STYLE4 35" xfId="2529" xr:uid="{00000000-0005-0000-0000-0000AD350000}"/>
    <cellStyle name="STYLE4 36" xfId="2530" xr:uid="{00000000-0005-0000-0000-0000AE350000}"/>
    <cellStyle name="STYLE4 37" xfId="2531" xr:uid="{00000000-0005-0000-0000-0000AF350000}"/>
    <cellStyle name="STYLE4 38" xfId="2532" xr:uid="{00000000-0005-0000-0000-0000B0350000}"/>
    <cellStyle name="STYLE4 39" xfId="2533" xr:uid="{00000000-0005-0000-0000-0000B1350000}"/>
    <cellStyle name="STYLE4 4" xfId="2534" xr:uid="{00000000-0005-0000-0000-0000B2350000}"/>
    <cellStyle name="STYLE4 40" xfId="2535" xr:uid="{00000000-0005-0000-0000-0000B3350000}"/>
    <cellStyle name="STYLE4 41" xfId="2536" xr:uid="{00000000-0005-0000-0000-0000B4350000}"/>
    <cellStyle name="STYLE4 42" xfId="2537" xr:uid="{00000000-0005-0000-0000-0000B5350000}"/>
    <cellStyle name="STYLE4 43" xfId="2538" xr:uid="{00000000-0005-0000-0000-0000B6350000}"/>
    <cellStyle name="STYLE4 5" xfId="2539" xr:uid="{00000000-0005-0000-0000-0000B7350000}"/>
    <cellStyle name="STYLE4 6" xfId="2540" xr:uid="{00000000-0005-0000-0000-0000B8350000}"/>
    <cellStyle name="STYLE4 7" xfId="2541" xr:uid="{00000000-0005-0000-0000-0000B9350000}"/>
    <cellStyle name="STYLE4 8" xfId="2542" xr:uid="{00000000-0005-0000-0000-0000BA350000}"/>
    <cellStyle name="STYLE4 9" xfId="2543" xr:uid="{00000000-0005-0000-0000-0000BB350000}"/>
    <cellStyle name="STYLE5" xfId="2544" xr:uid="{00000000-0005-0000-0000-0000BC350000}"/>
    <cellStyle name="Text" xfId="13767" xr:uid="{00000000-0005-0000-0000-0000BD350000}"/>
    <cellStyle name="Title 2" xfId="2545" xr:uid="{00000000-0005-0000-0000-0000BE350000}"/>
    <cellStyle name="Title 2 2" xfId="2546" xr:uid="{00000000-0005-0000-0000-0000BF350000}"/>
    <cellStyle name="Title 3" xfId="2547" xr:uid="{00000000-0005-0000-0000-0000C0350000}"/>
    <cellStyle name="Title 3 2" xfId="2548" xr:uid="{00000000-0005-0000-0000-0000C1350000}"/>
    <cellStyle name="Total 2" xfId="2549" xr:uid="{00000000-0005-0000-0000-0000C2350000}"/>
    <cellStyle name="Total 2 2" xfId="2550" xr:uid="{00000000-0005-0000-0000-0000C3350000}"/>
    <cellStyle name="Total 2 2 2" xfId="13768" xr:uid="{00000000-0005-0000-0000-0000C4350000}"/>
    <cellStyle name="Total 2 2 3" xfId="13769" xr:uid="{00000000-0005-0000-0000-0000C5350000}"/>
    <cellStyle name="Total 2 3" xfId="2551" xr:uid="{00000000-0005-0000-0000-0000C6350000}"/>
    <cellStyle name="Total 2 3 2" xfId="13770" xr:uid="{00000000-0005-0000-0000-0000C7350000}"/>
    <cellStyle name="Total 2 3 3" xfId="13771" xr:uid="{00000000-0005-0000-0000-0000C8350000}"/>
    <cellStyle name="Total 2 4" xfId="13772" xr:uid="{00000000-0005-0000-0000-0000C9350000}"/>
    <cellStyle name="Total 2 5" xfId="13773" xr:uid="{00000000-0005-0000-0000-0000CA350000}"/>
    <cellStyle name="Total 3" xfId="2552" xr:uid="{00000000-0005-0000-0000-0000CB350000}"/>
    <cellStyle name="Total 3 2" xfId="2553" xr:uid="{00000000-0005-0000-0000-0000CC350000}"/>
    <cellStyle name="Total 3 2 2" xfId="13774" xr:uid="{00000000-0005-0000-0000-0000CD350000}"/>
    <cellStyle name="Total 3 2 3" xfId="13775" xr:uid="{00000000-0005-0000-0000-0000CE350000}"/>
    <cellStyle name="Total 3 3" xfId="13776" xr:uid="{00000000-0005-0000-0000-0000CF350000}"/>
    <cellStyle name="Total 3 4" xfId="13777" xr:uid="{00000000-0005-0000-0000-0000D0350000}"/>
    <cellStyle name="Warning Text 2" xfId="2554" xr:uid="{00000000-0005-0000-0000-0000D1350000}"/>
    <cellStyle name="Warning Text 2 2" xfId="2555" xr:uid="{00000000-0005-0000-0000-0000D2350000}"/>
    <cellStyle name="Warning Text 3" xfId="2556" xr:uid="{00000000-0005-0000-0000-0000D3350000}"/>
    <cellStyle name="Warning Text 3 2" xfId="2557" xr:uid="{00000000-0005-0000-0000-0000D4350000}"/>
    <cellStyle name="Year" xfId="13778" xr:uid="{00000000-0005-0000-0000-0000D535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ethosenergygroup-my.sharepoint.com/Users/dchang/AppData/Local/Temp/Rar$DI70.064/SAIC%20files/LSP%20PowerCo%20Portfolio%2014%20CSv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thosenergygroup-my.sharepoint.com/Power/LS%20Power/2012/11%20-%20Blythe%20Sell%20Side/CIM/Excel%20Tables/Broadway%20CIM%20Tables%20v02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Models%20and%20Spreadsheets\Project%20Evaluation%20Model%20October%2020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osdata1\twang\1%20Internal%20Documents\Economics%20&amp;%20Modeling\Models\HDM%20Model\Results%20Templat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LinkTemplate"/>
      <sheetName val="Consolidated"/>
      <sheetName val="Blythe"/>
      <sheetName val="Cherokee"/>
      <sheetName val="Doswell CC"/>
      <sheetName val="Doswell CT"/>
      <sheetName val="Renaissance"/>
      <sheetName val="Riverside"/>
      <sheetName val="Rocky Road"/>
      <sheetName val="Tilton"/>
      <sheetName val="University Park North"/>
      <sheetName val="University Park South"/>
      <sheetName val="Wallingford"/>
      <sheetName val="Safe Harbor"/>
      <sheetName val="MM Summary"/>
      <sheetName val="NOR Summary"/>
      <sheetName val="DSCR Summary"/>
      <sheetName val="DTBE Summary"/>
      <sheetName val="F9_Hidden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am Page"/>
      <sheetName val="Summary Facts"/>
      <sheetName val="Equip Des"/>
      <sheetName val="Equip Des.Full"/>
      <sheetName val="EBITDA.Charts"/>
      <sheetName val="PPA Summary"/>
      <sheetName val="PPA Hilights"/>
      <sheetName val="Debt.Hilights"/>
      <sheetName val="Site.Advantages"/>
      <sheetName val="LSP.Improvements"/>
      <sheetName val="CA Reg Initiatives"/>
      <sheetName val="Coal.Retirements"/>
      <sheetName val="Cali.OTC"/>
      <sheetName val="Western Coal"/>
      <sheetName val="Liquid.Hubs"/>
      <sheetName val="Plant.Stats.Chart"/>
      <sheetName val="Plant.Stats"/>
      <sheetName val="Water Supply"/>
      <sheetName val="CAISO"/>
      <sheetName val="WECC.Facts"/>
      <sheetName val="Facility Agreements"/>
      <sheetName val="Environmental"/>
      <sheetName val="CA Env Initiative"/>
      <sheetName val="IRP Plans"/>
      <sheetName val="Procurement"/>
      <sheetName val="SCE Palo Verde CCGT"/>
      <sheetName val="Maintenance"/>
      <sheetName val="Employee"/>
      <sheetName val="Plant Sum. Facts"/>
      <sheetName val="Equipment"/>
      <sheetName val="Capital Improv."/>
      <sheetName val="Revenues"/>
      <sheetName val="CSAPR Emissions"/>
      <sheetName val="MATS Emissions"/>
      <sheetName val="Employees"/>
      <sheetName val="Operating Perf"/>
      <sheetName val="Coal costs"/>
      <sheetName val="Enviro Controls"/>
      <sheetName val="Ownership"/>
      <sheetName val="Capacity Prices"/>
      <sheetName val="KeyCon Financials"/>
      <sheetName val="Keystone Cost Proj"/>
      <sheetName val="Conemaugh Cost Proj"/>
      <sheetName val="Heat Rates and CFs"/>
      <sheetName val="Operating"/>
      <sheetName val="Safety"/>
      <sheetName val="Air Emissions"/>
      <sheetName val="CSAPR Bubble"/>
      <sheetName val="Keystone MM"/>
      <sheetName val="Conemaugh MM"/>
      <sheetName val="Keystone Cap Imp"/>
      <sheetName val="Conemaugh Cap Imp"/>
      <sheetName val="Used Coal Sources"/>
      <sheetName val="Evaluated Coal"/>
      <sheetName val="Outage Sched"/>
      <sheetName val="Portfolio Summary"/>
    </sheetNames>
    <sheetDataSet>
      <sheetData sheetId="0" refreshError="1"/>
      <sheetData sheetId="1" refreshError="1"/>
      <sheetData sheetId="2" refreshError="1"/>
      <sheetData sheetId="3" refreshError="1"/>
      <sheetData sheetId="4">
        <row r="1">
          <cell r="A1" t="str">
            <v>EBITDA.Charts</v>
          </cell>
        </row>
        <row r="2">
          <cell r="A2" t="str">
            <v>($ millions)</v>
          </cell>
        </row>
        <row r="3">
          <cell r="L3" t="str">
            <v>Contracted Capacity (MW)</v>
          </cell>
          <cell r="O3">
            <v>490</v>
          </cell>
        </row>
        <row r="5">
          <cell r="E5" t="str">
            <v>Year Ending December 31</v>
          </cell>
          <cell r="L5" t="str">
            <v>Jan-Jul</v>
          </cell>
        </row>
        <row r="6">
          <cell r="E6">
            <v>2013</v>
          </cell>
          <cell r="F6">
            <v>2014</v>
          </cell>
          <cell r="G6">
            <v>2015</v>
          </cell>
          <cell r="H6">
            <v>2016</v>
          </cell>
          <cell r="I6">
            <v>2017</v>
          </cell>
          <cell r="J6">
            <v>2018</v>
          </cell>
          <cell r="K6">
            <v>2019</v>
          </cell>
          <cell r="L6">
            <v>2020</v>
          </cell>
        </row>
        <row r="7">
          <cell r="C7" t="str">
            <v>Contracted EBITDA</v>
          </cell>
          <cell r="E7">
            <v>52.90151692471531</v>
          </cell>
          <cell r="F7">
            <v>54.099981957170357</v>
          </cell>
          <cell r="G7">
            <v>52.164099300257554</v>
          </cell>
          <cell r="H7">
            <v>51.759171631759521</v>
          </cell>
          <cell r="I7">
            <v>53.354629986508385</v>
          </cell>
          <cell r="J7">
            <v>55.978424436510366</v>
          </cell>
          <cell r="K7">
            <v>56.974262915125806</v>
          </cell>
          <cell r="L7">
            <v>37.99325533157667</v>
          </cell>
        </row>
        <row r="8">
          <cell r="C8" t="str">
            <v>Weighted Average</v>
          </cell>
          <cell r="E8">
            <v>54.754990217620737</v>
          </cell>
          <cell r="F8">
            <v>54.754990217620737</v>
          </cell>
          <cell r="G8">
            <v>54.754990217620737</v>
          </cell>
          <cell r="H8">
            <v>54.754990217620737</v>
          </cell>
          <cell r="I8">
            <v>54.754990217620737</v>
          </cell>
          <cell r="J8">
            <v>54.754990217620737</v>
          </cell>
          <cell r="K8">
            <v>54.754990217620737</v>
          </cell>
          <cell r="L8">
            <v>54.754990217620737</v>
          </cell>
        </row>
        <row r="23">
          <cell r="E23" t="str">
            <v>Jul-Dec</v>
          </cell>
          <cell r="F23" t="str">
            <v>Year Ending December 31</v>
          </cell>
          <cell r="L23" t="str">
            <v>Jan-Jul</v>
          </cell>
        </row>
        <row r="24">
          <cell r="C24" t="str">
            <v>($ millions)</v>
          </cell>
          <cell r="E24">
            <v>2013</v>
          </cell>
          <cell r="F24">
            <v>2014</v>
          </cell>
          <cell r="G24">
            <v>2015</v>
          </cell>
          <cell r="H24">
            <v>2016</v>
          </cell>
          <cell r="I24">
            <v>2017</v>
          </cell>
          <cell r="J24">
            <v>2018</v>
          </cell>
          <cell r="K24">
            <v>2019</v>
          </cell>
          <cell r="L24">
            <v>2020</v>
          </cell>
        </row>
        <row r="25">
          <cell r="C25" t="str">
            <v>Contracted Distributions</v>
          </cell>
          <cell r="E25">
            <v>13.375296982382288</v>
          </cell>
          <cell r="F25">
            <v>9.6156125003042643</v>
          </cell>
          <cell r="G25">
            <v>11.588404600347225</v>
          </cell>
          <cell r="H25">
            <v>13.316751174800864</v>
          </cell>
          <cell r="I25">
            <v>14.959889990794981</v>
          </cell>
          <cell r="J25">
            <v>11.146212292997571</v>
          </cell>
          <cell r="K25">
            <v>18.52762515282831</v>
          </cell>
          <cell r="L25">
            <v>11.510544485941898</v>
          </cell>
        </row>
        <row r="26">
          <cell r="C26" t="str">
            <v>Weighted Average</v>
          </cell>
          <cell r="E26">
            <v>14.688047601938457</v>
          </cell>
          <cell r="F26">
            <v>14.688047601938457</v>
          </cell>
          <cell r="G26">
            <v>14.688047601938457</v>
          </cell>
          <cell r="H26">
            <v>14.688047601938457</v>
          </cell>
          <cell r="I26">
            <v>14.688047601938457</v>
          </cell>
          <cell r="J26">
            <v>14.688047601938457</v>
          </cell>
          <cell r="K26">
            <v>14.688047601938457</v>
          </cell>
          <cell r="L26">
            <v>14.688047601938457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l RFE"/>
      <sheetName val="Model Setup"/>
      <sheetName val="Output"/>
      <sheetName val="Assumptions"/>
      <sheetName val="Menu Data"/>
      <sheetName val="Huntley Plant Data"/>
      <sheetName val="Dunkirk Plant Data"/>
      <sheetName val="Oswego Plant Data"/>
      <sheetName val="Arthur Kill Plant Data"/>
      <sheetName val="Astoria Plant Data"/>
      <sheetName val="Branford Plant Data"/>
      <sheetName val="Devon Plant Data"/>
      <sheetName val="Middletown Plant Data"/>
      <sheetName val="Cos Cob Plant Data"/>
      <sheetName val="Franklin Drive Plant Data"/>
      <sheetName val="Montville Plant Data"/>
      <sheetName val="Norwalk Harbor Plant Data"/>
      <sheetName val="Somerset Plant Data"/>
      <sheetName val="Torrington Plant Data"/>
      <sheetName val="Active Plant Data"/>
      <sheetName val="Active Dispatch Data"/>
      <sheetName val="Market Price Dispatch Data"/>
      <sheetName val="Market Load Data"/>
      <sheetName val="Average Market Price"/>
      <sheetName val="Market Price Percentages"/>
      <sheetName val="Market Price Data"/>
      <sheetName val="Inputs"/>
      <sheetName val="Project Calcs"/>
      <sheetName val="Base Calcs"/>
      <sheetName val="Graph Data"/>
      <sheetName val="Cash Flow Chart"/>
      <sheetName val="Cash flow pro forma"/>
      <sheetName val="Earnings Pro forma"/>
      <sheetName val="Initial_RFE"/>
      <sheetName val="Model_Setup"/>
      <sheetName val="Menu_Data"/>
      <sheetName val="Huntley_Plant_Data"/>
      <sheetName val="Dunkirk_Plant_Data"/>
      <sheetName val="Oswego_Plant_Data"/>
      <sheetName val="Arthur_Kill_Plant_Data"/>
      <sheetName val="Astoria_Plant_Data"/>
      <sheetName val="Branford_Plant_Data"/>
      <sheetName val="Devon_Plant_Data"/>
      <sheetName val="Middletown_Plant_Data"/>
      <sheetName val="Cos_Cob_Plant_Data"/>
      <sheetName val="Franklin_Drive_Plant_Data"/>
      <sheetName val="Montville_Plant_Data"/>
      <sheetName val="Norwalk_Harbor_Plant_Data"/>
      <sheetName val="Somerset_Plant_Data"/>
      <sheetName val="Torrington_Plant_Data"/>
      <sheetName val="Active_Plant_Data"/>
      <sheetName val="Active_Dispatch_Data"/>
      <sheetName val="Market_Price_Dispatch_Data"/>
      <sheetName val="Market_Load_Data"/>
      <sheetName val="Average_Market_Price"/>
      <sheetName val="Market_Price_Percentages"/>
      <sheetName val="Market_Price_Data"/>
      <sheetName val="Project_Calcs"/>
      <sheetName val="Base_Calcs"/>
      <sheetName val="Graph_Data"/>
      <sheetName val="Cash_Flow_Chart"/>
      <sheetName val="Cash_flow_pro_forma"/>
      <sheetName val="Earnings_Pro_forma"/>
      <sheetName val="Assumptions 1"/>
      <sheetName val="ASS"/>
      <sheetName val="Drop Downs"/>
      <sheetName val="Initial_RFE1"/>
      <sheetName val="Model_Setup1"/>
      <sheetName val="Menu_Data1"/>
      <sheetName val="Huntley_Plant_Data1"/>
      <sheetName val="Dunkirk_Plant_Data1"/>
      <sheetName val="Oswego_Plant_Data1"/>
      <sheetName val="Arthur_Kill_Plant_Data1"/>
      <sheetName val="Astoria_Plant_Data1"/>
      <sheetName val="Branford_Plant_Data1"/>
      <sheetName val="Devon_Plant_Data1"/>
      <sheetName val="Middletown_Plant_Data1"/>
      <sheetName val="Cos_Cob_Plant_Data1"/>
      <sheetName val="Franklin_Drive_Plant_Data1"/>
      <sheetName val="Montville_Plant_Data1"/>
      <sheetName val="Norwalk_Harbor_Plant_Data1"/>
      <sheetName val="Somerset_Plant_Data1"/>
      <sheetName val="Torrington_Plant_Data1"/>
      <sheetName val="Active_Plant_Data1"/>
      <sheetName val="Active_Dispatch_Data1"/>
      <sheetName val="Market_Price_Dispatch_Data1"/>
      <sheetName val="Market_Load_Data1"/>
      <sheetName val="Average_Market_Price1"/>
      <sheetName val="Market_Price_Percentages1"/>
      <sheetName val="Market_Price_Data1"/>
      <sheetName val="Project_Calcs1"/>
      <sheetName val="Base_Calcs1"/>
      <sheetName val="Graph_Data1"/>
      <sheetName val="Cash_Flow_Chart1"/>
      <sheetName val="Cash_flow_pro_forma1"/>
      <sheetName val="Earnings_Pro_forma1"/>
      <sheetName val="Sensitivity Control"/>
    </sheetNames>
    <sheetDataSet>
      <sheetData sheetId="0" refreshError="1"/>
      <sheetData sheetId="1" refreshError="1"/>
      <sheetData sheetId="2"/>
      <sheetData sheetId="3" refreshError="1"/>
      <sheetData sheetId="4">
        <row r="7">
          <cell r="C7" t="str">
            <v>Both</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219">
          <cell r="H219">
            <v>30</v>
          </cell>
        </row>
      </sheetData>
      <sheetData sheetId="27"/>
      <sheetData sheetId="28"/>
      <sheetData sheetId="29" refreshError="1"/>
      <sheetData sheetId="30" refreshError="1"/>
      <sheetData sheetId="31"/>
      <sheetData sheetId="32"/>
      <sheetData sheetId="33"/>
      <sheetData sheetId="34"/>
      <sheetData sheetId="35">
        <row r="7">
          <cell r="C7" t="str">
            <v>Both</v>
          </cell>
        </row>
      </sheetData>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sheetData sheetId="67"/>
      <sheetData sheetId="68">
        <row r="7">
          <cell r="C7" t="str">
            <v>Both</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sheetName val="Monthly"/>
      <sheetName val="Data"/>
      <sheetName val="Assumptions"/>
      <sheetName val="Monthly Dispatch"/>
      <sheetName val="Morgan"/>
      <sheetName val="Daily Forwards"/>
    </sheetNames>
    <sheetDataSet>
      <sheetData sheetId="0" refreshError="1"/>
      <sheetData sheetId="1" refreshError="1"/>
      <sheetData sheetId="2"/>
      <sheetData sheetId="3">
        <row r="5">
          <cell r="B5">
            <v>40544</v>
          </cell>
        </row>
      </sheetData>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E3026-8F8F-4350-807B-D71DEBA05B30}">
  <sheetPr codeName="Sheet12"/>
  <dimension ref="A1"/>
  <sheetViews>
    <sheetView workbookViewId="0"/>
  </sheetViews>
  <sheetFormatPr defaultRowHeight="12.75"/>
  <sheetData>
    <row r="1" spans="1:1">
      <c r="A1" t="s">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D173"/>
  <sheetViews>
    <sheetView tabSelected="1" zoomScale="85" zoomScaleNormal="85" workbookViewId="0">
      <selection activeCell="G4" sqref="G4"/>
    </sheetView>
  </sheetViews>
  <sheetFormatPr defaultColWidth="9" defaultRowHeight="12.75"/>
  <cols>
    <col min="1" max="1" width="2.25" customWidth="1"/>
    <col min="2" max="2" width="10.375" bestFit="1" customWidth="1"/>
    <col min="3" max="3" width="4.875" style="36" hidden="1" customWidth="1"/>
    <col min="4" max="4" width="6.5" style="36" hidden="1" customWidth="1"/>
    <col min="5" max="5" width="7.625" bestFit="1" customWidth="1"/>
    <col min="6" max="6" width="10.125" bestFit="1" customWidth="1"/>
    <col min="7" max="7" width="11.875" bestFit="1" customWidth="1"/>
    <col min="8" max="8" width="10.375" bestFit="1" customWidth="1"/>
    <col min="9" max="9" width="2.25" style="39" customWidth="1"/>
    <col min="10" max="10" width="9.375" customWidth="1"/>
    <col min="11" max="11" width="4.875" hidden="1" customWidth="1"/>
    <col min="12" max="12" width="6.5" hidden="1" customWidth="1"/>
    <col min="13" max="13" width="7.625" bestFit="1" customWidth="1"/>
    <col min="14" max="14" width="10.25" bestFit="1" customWidth="1"/>
    <col min="15" max="15" width="12" bestFit="1" customWidth="1"/>
    <col min="16" max="16" width="10.375" bestFit="1" customWidth="1"/>
    <col min="17" max="17" width="2.25" style="39" customWidth="1"/>
    <col min="18" max="18" width="9.375" customWidth="1"/>
    <col min="19" max="19" width="5.25" hidden="1" customWidth="1"/>
    <col min="20" max="20" width="6.5" hidden="1" customWidth="1"/>
    <col min="21" max="21" width="7.625" bestFit="1" customWidth="1"/>
    <col min="22" max="22" width="10.25" bestFit="1" customWidth="1"/>
    <col min="23" max="23" width="12" bestFit="1" customWidth="1"/>
    <col min="24" max="24" width="10.375" bestFit="1" customWidth="1"/>
    <col min="25" max="25" width="2.375" style="39" customWidth="1"/>
    <col min="26" max="26" width="9.375" customWidth="1"/>
    <col min="27" max="27" width="6.125" hidden="1" customWidth="1"/>
    <col min="28" max="28" width="6.5" hidden="1" customWidth="1"/>
    <col min="29" max="29" width="7.625" bestFit="1" customWidth="1"/>
    <col min="30" max="30" width="10.625" bestFit="1" customWidth="1"/>
    <col min="31" max="31" width="12.375" bestFit="1" customWidth="1"/>
    <col min="32" max="32" width="10.375" bestFit="1" customWidth="1"/>
    <col min="33" max="33" width="2.375" style="39" customWidth="1"/>
    <col min="34" max="34" width="9.625" bestFit="1" customWidth="1"/>
    <col min="35" max="35" width="4.875" hidden="1" customWidth="1"/>
    <col min="36" max="36" width="5.75" hidden="1" customWidth="1"/>
    <col min="37" max="37" width="13.125" bestFit="1" customWidth="1"/>
    <col min="38" max="38" width="10.625" bestFit="1" customWidth="1"/>
    <col min="39" max="39" width="12.375" bestFit="1" customWidth="1"/>
    <col min="40" max="40" width="10.375" bestFit="1" customWidth="1"/>
    <col min="41" max="42" width="2.25" customWidth="1"/>
    <col min="43" max="44" width="6.875" customWidth="1"/>
    <col min="46" max="46" width="6.875" customWidth="1"/>
    <col min="47" max="47" width="9.875" bestFit="1" customWidth="1"/>
    <col min="49" max="49" width="11" bestFit="1" customWidth="1"/>
    <col min="51" max="51" width="15.125" bestFit="1" customWidth="1"/>
    <col min="52" max="52" width="15.25" bestFit="1" customWidth="1"/>
    <col min="53" max="53" width="10.75" bestFit="1" customWidth="1"/>
    <col min="54" max="54" width="14.5" bestFit="1" customWidth="1"/>
    <col min="55" max="55" width="11.875" bestFit="1" customWidth="1"/>
  </cols>
  <sheetData>
    <row r="1" spans="1:134">
      <c r="A1" t="s">
        <v>20</v>
      </c>
      <c r="B1" s="52">
        <f>Inputs!D2</f>
        <v>44911</v>
      </c>
      <c r="AE1" s="34"/>
      <c r="AT1" t="s">
        <v>5</v>
      </c>
      <c r="AU1" t="s">
        <v>48</v>
      </c>
      <c r="AV1" t="s">
        <v>25</v>
      </c>
      <c r="AW1" t="s">
        <v>49</v>
      </c>
      <c r="AY1" t="s">
        <v>26</v>
      </c>
      <c r="AZ1" t="s">
        <v>27</v>
      </c>
      <c r="BA1" t="s">
        <v>18</v>
      </c>
      <c r="BB1" t="s">
        <v>19</v>
      </c>
      <c r="BC1" t="s">
        <v>42</v>
      </c>
    </row>
    <row r="2" spans="1:134">
      <c r="E2" s="59" t="s">
        <v>26</v>
      </c>
      <c r="F2" s="59"/>
      <c r="G2" s="59"/>
      <c r="H2" s="60"/>
      <c r="I2" s="40"/>
      <c r="J2" s="37"/>
      <c r="K2" s="37"/>
      <c r="M2" s="59" t="s">
        <v>27</v>
      </c>
      <c r="N2" s="59"/>
      <c r="O2" s="59"/>
      <c r="P2" s="60"/>
      <c r="Q2" s="40"/>
      <c r="R2" s="37"/>
      <c r="S2" s="37"/>
      <c r="U2" s="59" t="s">
        <v>18</v>
      </c>
      <c r="V2" s="59"/>
      <c r="W2" s="59"/>
      <c r="X2" s="60"/>
      <c r="Y2" s="40"/>
      <c r="Z2" s="37"/>
      <c r="AA2" s="37"/>
      <c r="AC2" s="59" t="s">
        <v>19</v>
      </c>
      <c r="AD2" s="59"/>
      <c r="AE2" s="59"/>
      <c r="AF2" s="60"/>
      <c r="AG2" s="40"/>
      <c r="AH2" s="37"/>
      <c r="AI2" s="37"/>
      <c r="AK2" s="59" t="s">
        <v>42</v>
      </c>
      <c r="AL2" s="59"/>
      <c r="AM2" s="59"/>
      <c r="AN2" s="59"/>
      <c r="AQ2" s="38" t="s">
        <v>28</v>
      </c>
      <c r="AR2" s="38" t="s">
        <v>25</v>
      </c>
      <c r="AY2" s="41" t="s">
        <v>29</v>
      </c>
      <c r="AZ2" s="41" t="s">
        <v>30</v>
      </c>
      <c r="BA2" s="41" t="s">
        <v>31</v>
      </c>
      <c r="BB2" s="41" t="s">
        <v>32</v>
      </c>
      <c r="BC2" s="41" t="s">
        <v>43</v>
      </c>
    </row>
    <row r="3" spans="1:134">
      <c r="B3" s="47" t="s">
        <v>4</v>
      </c>
      <c r="C3" s="48" t="s">
        <v>5</v>
      </c>
      <c r="D3" s="48" t="s">
        <v>25</v>
      </c>
      <c r="E3" s="49" t="e">
        <v>#NAME?</v>
      </c>
      <c r="F3" s="49"/>
      <c r="G3" s="49"/>
      <c r="H3" s="50"/>
      <c r="I3" s="51"/>
      <c r="J3" s="47" t="s">
        <v>4</v>
      </c>
      <c r="K3" s="47" t="s">
        <v>5</v>
      </c>
      <c r="L3" s="47" t="s">
        <v>25</v>
      </c>
      <c r="M3" s="49"/>
      <c r="N3" s="49"/>
      <c r="O3" s="49"/>
      <c r="P3" s="50"/>
      <c r="Q3" s="51"/>
      <c r="R3" s="47" t="s">
        <v>4</v>
      </c>
      <c r="S3" s="47"/>
      <c r="T3" s="47"/>
      <c r="U3" s="49"/>
      <c r="V3" s="49"/>
      <c r="W3" s="49"/>
      <c r="X3" s="50"/>
      <c r="Y3" s="51"/>
      <c r="Z3" s="47" t="s">
        <v>4</v>
      </c>
      <c r="AA3" s="47"/>
      <c r="AB3" s="47"/>
      <c r="AC3" s="49"/>
      <c r="AD3" s="49"/>
      <c r="AE3" s="49"/>
      <c r="AF3" s="50"/>
      <c r="AG3" s="51"/>
      <c r="AH3" s="47" t="s">
        <v>4</v>
      </c>
      <c r="AI3" s="47"/>
      <c r="AJ3" s="47"/>
      <c r="AK3" s="49"/>
      <c r="AL3" s="49"/>
      <c r="AM3" s="49"/>
      <c r="AN3" s="50"/>
      <c r="AO3" s="53"/>
      <c r="AP3" s="53"/>
      <c r="AQ3" s="54" t="s">
        <v>21</v>
      </c>
      <c r="AR3" s="55">
        <v>1</v>
      </c>
      <c r="AS3" s="41"/>
      <c r="AT3" s="56"/>
      <c r="AU3" s="56"/>
      <c r="AV3" s="41"/>
      <c r="AW3" s="41"/>
      <c r="AX3" s="41"/>
      <c r="AY3" s="41" t="s">
        <v>46</v>
      </c>
      <c r="AZ3" s="41" t="s">
        <v>45</v>
      </c>
      <c r="BA3" s="41" t="s">
        <v>44</v>
      </c>
      <c r="BB3" s="41" t="s">
        <v>50</v>
      </c>
      <c r="BC3" s="41" t="s">
        <v>47</v>
      </c>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c r="DY3" s="41"/>
      <c r="DZ3" s="41"/>
      <c r="EA3" s="41"/>
      <c r="EB3" s="41"/>
      <c r="EC3" s="41"/>
      <c r="ED3" s="41"/>
    </row>
    <row r="4" spans="1:134">
      <c r="B4" s="33">
        <f>EOMONTH($B$1,0)+1</f>
        <v>44927</v>
      </c>
      <c r="D4" s="35"/>
      <c r="E4" s="41"/>
      <c r="F4" s="41"/>
      <c r="G4" s="41" t="str">
        <f>AY4</f>
        <v>ADB F23-IUS</v>
      </c>
      <c r="H4" s="42">
        <v>117.35</v>
      </c>
      <c r="I4" s="46"/>
      <c r="J4" s="33">
        <f>EOMONTH($B$1,0)+1</f>
        <v>44927</v>
      </c>
      <c r="K4" s="36"/>
      <c r="L4" s="35"/>
      <c r="M4" s="41"/>
      <c r="N4" s="41"/>
      <c r="O4" s="41" t="str">
        <f>AZ4</f>
        <v>ADD F23-IUS</v>
      </c>
      <c r="P4" s="42">
        <v>104.6</v>
      </c>
      <c r="Q4" s="46"/>
      <c r="R4" s="33">
        <f>EOMONTH($B$1,0)+1</f>
        <v>44927</v>
      </c>
      <c r="S4" s="36"/>
      <c r="T4" s="35"/>
      <c r="U4" s="41"/>
      <c r="V4" s="41"/>
      <c r="W4" s="41" t="str">
        <f>BA4</f>
        <v>HNG F23-IUS</v>
      </c>
      <c r="X4" s="44">
        <v>6.6</v>
      </c>
      <c r="Y4" s="46"/>
      <c r="Z4" s="33">
        <f>EOMONTH($B$1,0)+1</f>
        <v>44927</v>
      </c>
      <c r="AA4" s="36"/>
      <c r="AB4" s="35"/>
      <c r="AC4" s="41"/>
      <c r="AD4" s="41"/>
      <c r="AE4" s="41" t="str">
        <f>BB4</f>
        <v>DOM F23-IUS</v>
      </c>
      <c r="AF4" s="44">
        <v>-0.83750000000000002</v>
      </c>
      <c r="AG4" s="46"/>
      <c r="AH4" s="33">
        <f>EOMONTH($B$1,0)+1</f>
        <v>44927</v>
      </c>
      <c r="AI4" s="36"/>
      <c r="AJ4" s="35"/>
      <c r="AK4" s="41"/>
      <c r="AL4" s="41"/>
      <c r="AM4" s="41" t="str">
        <f>BC4</f>
        <v>TNC F23-IUS</v>
      </c>
      <c r="AN4" s="44">
        <v>-0.52749999999999997</v>
      </c>
      <c r="AO4" s="41"/>
      <c r="AP4" s="41"/>
      <c r="AQ4" s="54" t="s">
        <v>22</v>
      </c>
      <c r="AR4" s="55">
        <v>2</v>
      </c>
      <c r="AS4" s="41"/>
      <c r="AT4" s="56">
        <f>YEAR(R4)</f>
        <v>2023</v>
      </c>
      <c r="AU4" s="57" t="str">
        <f>RIGHT(AT4,2)</f>
        <v>23</v>
      </c>
      <c r="AV4" s="58">
        <f>MONTH(R4)</f>
        <v>1</v>
      </c>
      <c r="AW4" s="58" t="str" cm="1">
        <f t="array" ref="AW4">_xlfn.IFS(AV4=$AR$3,$AQ$3,AV4=$AR$4,$AQ$4,AV4=$AR$5,$AQ$5,AV4=$AR$6,$AQ$6,AV4=$AR$7,$AQ$7,AV4=$AR$8,$AQ$8,AV4=$AR$9,$AQ$9,AV4=$AR$10,$AQ$10,AV4=$AR$11,$AQ$11,AV4=$AR$12,$AQ$12,AV4=$AR$13,$AQ$13,AV4=$AR$14,$AQ$14)</f>
        <v>F</v>
      </c>
      <c r="AX4" s="41"/>
      <c r="AY4" s="41" t="str">
        <f>AY$3&amp;" "&amp;$AW4&amp;$AU4&amp;"-IUS"</f>
        <v>ADB F23-IUS</v>
      </c>
      <c r="AZ4" s="41" t="str">
        <f t="shared" ref="AZ4:BC19" si="0">AZ$3&amp;" "&amp;$AW4&amp;$AU4&amp;"-IUS"</f>
        <v>ADD F23-IUS</v>
      </c>
      <c r="BA4" s="41" t="str">
        <f t="shared" si="0"/>
        <v>HNG F23-IUS</v>
      </c>
      <c r="BB4" s="41" t="str">
        <f t="shared" si="0"/>
        <v>DOM F23-IUS</v>
      </c>
      <c r="BC4" s="41" t="str">
        <f t="shared" si="0"/>
        <v>TNC F23-IUS</v>
      </c>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c r="CQ4" s="41"/>
      <c r="CR4" s="41"/>
      <c r="CS4" s="41"/>
      <c r="CT4" s="41"/>
      <c r="CU4" s="41"/>
      <c r="CV4" s="41"/>
      <c r="CW4" s="41"/>
      <c r="CX4" s="41"/>
      <c r="CY4" s="41"/>
      <c r="CZ4" s="41"/>
      <c r="DA4" s="41"/>
      <c r="DB4" s="41"/>
      <c r="DC4" s="41"/>
      <c r="DD4" s="41"/>
      <c r="DE4" s="41"/>
      <c r="DF4" s="41"/>
      <c r="DG4" s="41"/>
      <c r="DH4" s="41"/>
      <c r="DI4" s="41"/>
      <c r="DJ4" s="41"/>
      <c r="DK4" s="41"/>
      <c r="DL4" s="41"/>
      <c r="DM4" s="41"/>
      <c r="DN4" s="41"/>
      <c r="DO4" s="41"/>
      <c r="DP4" s="41"/>
      <c r="DQ4" s="41"/>
      <c r="DR4" s="41"/>
      <c r="DS4" s="41"/>
      <c r="DT4" s="41"/>
      <c r="DU4" s="41"/>
      <c r="DV4" s="41"/>
      <c r="DW4" s="41"/>
      <c r="DX4" s="41"/>
      <c r="DY4" s="41"/>
      <c r="DZ4" s="41"/>
      <c r="EA4" s="41"/>
      <c r="EB4" s="41"/>
      <c r="EC4" s="41"/>
      <c r="ED4" s="41"/>
    </row>
    <row r="5" spans="1:134">
      <c r="B5" s="33">
        <f>EOMONTH(B4,0)+1</f>
        <v>44958</v>
      </c>
      <c r="D5" s="35"/>
      <c r="E5" s="41"/>
      <c r="F5" s="41"/>
      <c r="G5" s="41" t="str">
        <f t="shared" ref="G5:G68" si="1">AY5</f>
        <v>ADB G23-IUS</v>
      </c>
      <c r="H5" s="42">
        <v>60.75</v>
      </c>
      <c r="J5" s="33">
        <f>EOMONTH(J4,0)+1</f>
        <v>44958</v>
      </c>
      <c r="K5" s="36"/>
      <c r="L5" s="35"/>
      <c r="M5" s="41"/>
      <c r="N5" s="41"/>
      <c r="O5" s="41" t="str">
        <f t="shared" ref="O5:O68" si="2">AZ5</f>
        <v>ADD G23-IUS</v>
      </c>
      <c r="P5" s="42">
        <v>50.9</v>
      </c>
      <c r="R5" s="33">
        <f>EOMONTH(R4,0)+1</f>
        <v>44958</v>
      </c>
      <c r="S5" s="36"/>
      <c r="T5" s="35"/>
      <c r="U5" s="41"/>
      <c r="V5" s="41"/>
      <c r="W5" s="41" t="str">
        <f t="shared" ref="W5:W68" si="3">BA5</f>
        <v>HNG G23-IUS</v>
      </c>
      <c r="X5" s="44">
        <v>6.3029999999999999</v>
      </c>
      <c r="Z5" s="33">
        <f>EOMONTH(Z4,0)+1</f>
        <v>44958</v>
      </c>
      <c r="AA5" s="36"/>
      <c r="AB5" s="35"/>
      <c r="AC5" s="41"/>
      <c r="AD5" s="41"/>
      <c r="AE5" s="41" t="str">
        <f t="shared" ref="AE5:AE68" si="4">BB5</f>
        <v>DOM G23-IUS</v>
      </c>
      <c r="AF5" s="44">
        <v>-0.71750000000000003</v>
      </c>
      <c r="AH5" s="33">
        <f>EOMONTH(AH4,0)+1</f>
        <v>44958</v>
      </c>
      <c r="AI5" s="36"/>
      <c r="AJ5" s="35"/>
      <c r="AK5" s="41"/>
      <c r="AL5" s="41"/>
      <c r="AM5" s="41" t="str">
        <f t="shared" ref="AM5:AM68" si="5">BC5</f>
        <v>TNC G23-IUS</v>
      </c>
      <c r="AN5" s="44">
        <v>-0.4</v>
      </c>
      <c r="AQ5" s="38" t="s">
        <v>33</v>
      </c>
      <c r="AR5" s="55">
        <v>3</v>
      </c>
      <c r="AT5" s="56">
        <f t="shared" ref="AT5:AT68" si="6">YEAR(R5)</f>
        <v>2023</v>
      </c>
      <c r="AU5" s="57" t="str">
        <f t="shared" ref="AU5:AU68" si="7">RIGHT(AT5,2)</f>
        <v>23</v>
      </c>
      <c r="AV5" s="58">
        <f t="shared" ref="AV5:AV68" si="8">MONTH(R5)</f>
        <v>2</v>
      </c>
      <c r="AW5" s="58" t="str" cm="1">
        <f t="array" ref="AW5">_xlfn.IFS(AV5=$AR$3,$AQ$3,AV5=$AR$4,$AQ$4,AV5=$AR$5,$AQ$5,AV5=$AR$6,$AQ$6,AV5=$AR$7,$AQ$7,AV5=$AR$8,$AQ$8,AV5=$AR$9,$AQ$9,AV5=$AR$10,$AQ$10,AV5=$AR$11,$AQ$11,AV5=$AR$12,$AQ$12,AV5=$AR$13,$AQ$13,AV5=$AR$14,$AQ$14)</f>
        <v>G</v>
      </c>
      <c r="AY5" s="41" t="str">
        <f t="shared" ref="AY5:BC36" si="9">AY$3&amp;" "&amp;$AW5&amp;$AU5&amp;"-IUS"</f>
        <v>ADB G23-IUS</v>
      </c>
      <c r="AZ5" s="41" t="str">
        <f t="shared" si="0"/>
        <v>ADD G23-IUS</v>
      </c>
      <c r="BA5" s="41" t="str">
        <f t="shared" si="0"/>
        <v>HNG G23-IUS</v>
      </c>
      <c r="BB5" s="41" t="str">
        <f t="shared" si="0"/>
        <v>DOM G23-IUS</v>
      </c>
      <c r="BC5" s="41" t="str">
        <f t="shared" si="0"/>
        <v>TNC G23-IUS</v>
      </c>
    </row>
    <row r="6" spans="1:134">
      <c r="B6" s="33">
        <f t="shared" ref="B6:B69" si="10">EOMONTH(B5,0)+1</f>
        <v>44986</v>
      </c>
      <c r="D6" s="35"/>
      <c r="E6" s="41"/>
      <c r="F6" s="41"/>
      <c r="G6" s="41" t="str">
        <f t="shared" si="1"/>
        <v>ADB H23-IUS</v>
      </c>
      <c r="H6" s="42">
        <v>52.5</v>
      </c>
      <c r="J6" s="33">
        <f t="shared" ref="J6:J69" si="11">EOMONTH(J5,0)+1</f>
        <v>44986</v>
      </c>
      <c r="K6" s="36"/>
      <c r="L6" s="35"/>
      <c r="M6" s="41"/>
      <c r="N6" s="41"/>
      <c r="O6" s="41" t="str">
        <f t="shared" si="2"/>
        <v>ADD H23-IUS</v>
      </c>
      <c r="P6" s="42">
        <v>40.549999999999997</v>
      </c>
      <c r="R6" s="33">
        <f t="shared" ref="R6:R69" si="12">EOMONTH(R5,0)+1</f>
        <v>44986</v>
      </c>
      <c r="S6" s="36"/>
      <c r="T6" s="35"/>
      <c r="U6" s="41"/>
      <c r="V6" s="41"/>
      <c r="W6" s="41" t="str">
        <f t="shared" si="3"/>
        <v>HNG H23-IUS</v>
      </c>
      <c r="X6" s="44">
        <v>5.6020000000000003</v>
      </c>
      <c r="Z6" s="33">
        <f t="shared" ref="Z6:Z69" si="13">EOMONTH(Z5,0)+1</f>
        <v>44986</v>
      </c>
      <c r="AA6" s="36"/>
      <c r="AB6" s="35"/>
      <c r="AC6" s="41"/>
      <c r="AD6" s="41"/>
      <c r="AE6" s="41" t="str">
        <f t="shared" si="4"/>
        <v>DOM H23-IUS</v>
      </c>
      <c r="AF6" s="44">
        <v>-0.67500000000000004</v>
      </c>
      <c r="AH6" s="33">
        <f t="shared" ref="AH6:AH69" si="14">EOMONTH(AH5,0)+1</f>
        <v>44986</v>
      </c>
      <c r="AI6" s="36"/>
      <c r="AJ6" s="35"/>
      <c r="AK6" s="41"/>
      <c r="AL6" s="41"/>
      <c r="AM6" s="41" t="str">
        <f t="shared" si="5"/>
        <v>TNC H23-IUS</v>
      </c>
      <c r="AN6" s="44">
        <v>-0.41749999999999998</v>
      </c>
      <c r="AQ6" s="38" t="s">
        <v>23</v>
      </c>
      <c r="AR6" s="55">
        <v>4</v>
      </c>
      <c r="AT6" s="56">
        <f t="shared" si="6"/>
        <v>2023</v>
      </c>
      <c r="AU6" s="57" t="str">
        <f t="shared" si="7"/>
        <v>23</v>
      </c>
      <c r="AV6" s="58">
        <f t="shared" si="8"/>
        <v>3</v>
      </c>
      <c r="AW6" s="58" t="str" cm="1">
        <f t="array" ref="AW6">_xlfn.IFS(AV6=$AR$3,$AQ$3,AV6=$AR$4,$AQ$4,AV6=$AR$5,$AQ$5,AV6=$AR$6,$AQ$6,AV6=$AR$7,$AQ$7,AV6=$AR$8,$AQ$8,AV6=$AR$9,$AQ$9,AV6=$AR$10,$AQ$10,AV6=$AR$11,$AQ$11,AV6=$AR$12,$AQ$12,AV6=$AR$13,$AQ$13,AV6=$AR$14,$AQ$14)</f>
        <v>H</v>
      </c>
      <c r="AY6" s="41" t="str">
        <f t="shared" si="9"/>
        <v>ADB H23-IUS</v>
      </c>
      <c r="AZ6" s="41" t="str">
        <f t="shared" si="0"/>
        <v>ADD H23-IUS</v>
      </c>
      <c r="BA6" s="41" t="str">
        <f t="shared" si="0"/>
        <v>HNG H23-IUS</v>
      </c>
      <c r="BB6" s="41" t="str">
        <f t="shared" si="0"/>
        <v>DOM H23-IUS</v>
      </c>
      <c r="BC6" s="41" t="str">
        <f t="shared" si="0"/>
        <v>TNC H23-IUS</v>
      </c>
    </row>
    <row r="7" spans="1:134">
      <c r="B7" s="33">
        <f t="shared" si="10"/>
        <v>45017</v>
      </c>
      <c r="D7" s="35"/>
      <c r="E7" s="41"/>
      <c r="F7" s="41"/>
      <c r="G7" s="41" t="str">
        <f t="shared" si="1"/>
        <v>ADB J23-IUS</v>
      </c>
      <c r="H7" s="42">
        <v>55.55</v>
      </c>
      <c r="J7" s="33">
        <f t="shared" si="11"/>
        <v>45017</v>
      </c>
      <c r="K7" s="36"/>
      <c r="L7" s="35"/>
      <c r="M7" s="41"/>
      <c r="N7" s="41"/>
      <c r="O7" s="41" t="str">
        <f t="shared" si="2"/>
        <v>ADD J23-IUS</v>
      </c>
      <c r="P7" s="42">
        <v>39.299999999999997</v>
      </c>
      <c r="R7" s="33">
        <f t="shared" si="12"/>
        <v>45017</v>
      </c>
      <c r="S7" s="36"/>
      <c r="T7" s="35"/>
      <c r="U7" s="41"/>
      <c r="V7" s="41"/>
      <c r="W7" s="41" t="str">
        <f t="shared" si="3"/>
        <v>HNG J23-IUS</v>
      </c>
      <c r="X7" s="44">
        <v>5.1529999999999996</v>
      </c>
      <c r="Z7" s="33">
        <f t="shared" si="13"/>
        <v>45017</v>
      </c>
      <c r="AA7" s="36"/>
      <c r="AB7" s="35"/>
      <c r="AC7" s="41"/>
      <c r="AD7" s="41"/>
      <c r="AE7" s="41" t="str">
        <f t="shared" si="4"/>
        <v>DOM J23-IUS</v>
      </c>
      <c r="AF7" s="44">
        <v>-0.63249999999999995</v>
      </c>
      <c r="AH7" s="33">
        <f t="shared" si="14"/>
        <v>45017</v>
      </c>
      <c r="AI7" s="36"/>
      <c r="AJ7" s="35"/>
      <c r="AK7" s="41"/>
      <c r="AL7" s="41"/>
      <c r="AM7" s="41" t="str">
        <f t="shared" si="5"/>
        <v>TNC J23-IUS</v>
      </c>
      <c r="AN7" s="44">
        <v>-0.53249999999999997</v>
      </c>
      <c r="AQ7" s="38" t="s">
        <v>34</v>
      </c>
      <c r="AR7" s="55">
        <v>5</v>
      </c>
      <c r="AT7" s="56">
        <f t="shared" si="6"/>
        <v>2023</v>
      </c>
      <c r="AU7" s="57" t="str">
        <f t="shared" si="7"/>
        <v>23</v>
      </c>
      <c r="AV7" s="58">
        <f t="shared" si="8"/>
        <v>4</v>
      </c>
      <c r="AW7" s="58" t="str" cm="1">
        <f t="array" ref="AW7">_xlfn.IFS(AV7=$AR$3,$AQ$3,AV7=$AR$4,$AQ$4,AV7=$AR$5,$AQ$5,AV7=$AR$6,$AQ$6,AV7=$AR$7,$AQ$7,AV7=$AR$8,$AQ$8,AV7=$AR$9,$AQ$9,AV7=$AR$10,$AQ$10,AV7=$AR$11,$AQ$11,AV7=$AR$12,$AQ$12,AV7=$AR$13,$AQ$13,AV7=$AR$14,$AQ$14)</f>
        <v>J</v>
      </c>
      <c r="AY7" s="41" t="str">
        <f t="shared" si="9"/>
        <v>ADB J23-IUS</v>
      </c>
      <c r="AZ7" s="41" t="str">
        <f t="shared" si="0"/>
        <v>ADD J23-IUS</v>
      </c>
      <c r="BA7" s="41" t="str">
        <f t="shared" si="0"/>
        <v>HNG J23-IUS</v>
      </c>
      <c r="BB7" s="41" t="str">
        <f t="shared" si="0"/>
        <v>DOM J23-IUS</v>
      </c>
      <c r="BC7" s="41" t="str">
        <f t="shared" si="0"/>
        <v>TNC J23-IUS</v>
      </c>
    </row>
    <row r="8" spans="1:134">
      <c r="B8" s="33">
        <f t="shared" si="10"/>
        <v>45047</v>
      </c>
      <c r="D8" s="35"/>
      <c r="E8" s="41"/>
      <c r="F8" s="41"/>
      <c r="G8" s="41" t="str">
        <f t="shared" si="1"/>
        <v>ADB K23-IUS</v>
      </c>
      <c r="H8" s="42">
        <v>89.95</v>
      </c>
      <c r="J8" s="33">
        <f t="shared" si="11"/>
        <v>45047</v>
      </c>
      <c r="K8" s="36"/>
      <c r="L8" s="35"/>
      <c r="M8" s="41"/>
      <c r="N8" s="41"/>
      <c r="O8" s="41" t="str">
        <f t="shared" si="2"/>
        <v>ADD K23-IUS</v>
      </c>
      <c r="P8" s="42">
        <v>55.6</v>
      </c>
      <c r="R8" s="33">
        <f t="shared" si="12"/>
        <v>45047</v>
      </c>
      <c r="S8" s="36"/>
      <c r="T8" s="35"/>
      <c r="U8" s="41"/>
      <c r="V8" s="41"/>
      <c r="W8" s="41" t="str">
        <f t="shared" si="3"/>
        <v>HNG K23-IUS</v>
      </c>
      <c r="X8" s="44">
        <v>5.12</v>
      </c>
      <c r="Z8" s="33">
        <f t="shared" si="13"/>
        <v>45047</v>
      </c>
      <c r="AA8" s="36"/>
      <c r="AB8" s="35"/>
      <c r="AC8" s="41"/>
      <c r="AD8" s="41"/>
      <c r="AE8" s="41" t="str">
        <f t="shared" si="4"/>
        <v>DOM K23-IUS</v>
      </c>
      <c r="AF8" s="44">
        <v>-0.84499999999999997</v>
      </c>
      <c r="AH8" s="33">
        <f t="shared" si="14"/>
        <v>45047</v>
      </c>
      <c r="AI8" s="36"/>
      <c r="AJ8" s="35"/>
      <c r="AK8" s="41"/>
      <c r="AL8" s="41"/>
      <c r="AM8" s="41" t="str">
        <f t="shared" si="5"/>
        <v>TNC K23-IUS</v>
      </c>
      <c r="AN8" s="44">
        <v>-0.51249999999999996</v>
      </c>
      <c r="AQ8" s="38" t="s">
        <v>35</v>
      </c>
      <c r="AR8" s="55">
        <v>6</v>
      </c>
      <c r="AT8" s="56">
        <f t="shared" si="6"/>
        <v>2023</v>
      </c>
      <c r="AU8" s="57" t="str">
        <f t="shared" si="7"/>
        <v>23</v>
      </c>
      <c r="AV8" s="58">
        <f t="shared" si="8"/>
        <v>5</v>
      </c>
      <c r="AW8" s="58" t="str" cm="1">
        <f t="array" ref="AW8">_xlfn.IFS(AV8=$AR$3,$AQ$3,AV8=$AR$4,$AQ$4,AV8=$AR$5,$AQ$5,AV8=$AR$6,$AQ$6,AV8=$AR$7,$AQ$7,AV8=$AR$8,$AQ$8,AV8=$AR$9,$AQ$9,AV8=$AR$10,$AQ$10,AV8=$AR$11,$AQ$11,AV8=$AR$12,$AQ$12,AV8=$AR$13,$AQ$13,AV8=$AR$14,$AQ$14)</f>
        <v>K</v>
      </c>
      <c r="AY8" s="41" t="str">
        <f t="shared" si="9"/>
        <v>ADB K23-IUS</v>
      </c>
      <c r="AZ8" s="41" t="str">
        <f t="shared" si="0"/>
        <v>ADD K23-IUS</v>
      </c>
      <c r="BA8" s="41" t="str">
        <f t="shared" si="0"/>
        <v>HNG K23-IUS</v>
      </c>
      <c r="BB8" s="41" t="str">
        <f t="shared" si="0"/>
        <v>DOM K23-IUS</v>
      </c>
      <c r="BC8" s="41" t="str">
        <f t="shared" si="0"/>
        <v>TNC K23-IUS</v>
      </c>
    </row>
    <row r="9" spans="1:134">
      <c r="B9" s="33">
        <f t="shared" si="10"/>
        <v>45078</v>
      </c>
      <c r="D9" s="35"/>
      <c r="E9" s="41"/>
      <c r="F9" s="41"/>
      <c r="G9" s="41" t="str">
        <f t="shared" si="1"/>
        <v>ADB M23-IUS</v>
      </c>
      <c r="H9" s="42">
        <v>63.75</v>
      </c>
      <c r="I9" s="46"/>
      <c r="J9" s="33">
        <f t="shared" si="11"/>
        <v>45078</v>
      </c>
      <c r="K9" s="36"/>
      <c r="L9" s="35"/>
      <c r="M9" s="41"/>
      <c r="N9" s="41"/>
      <c r="O9" s="41" t="str">
        <f t="shared" si="2"/>
        <v>ADD M23-IUS</v>
      </c>
      <c r="P9" s="42">
        <v>35.65</v>
      </c>
      <c r="Q9" s="46"/>
      <c r="R9" s="33">
        <f t="shared" si="12"/>
        <v>45078</v>
      </c>
      <c r="S9" s="36"/>
      <c r="T9" s="35"/>
      <c r="U9" s="41"/>
      <c r="V9" s="41"/>
      <c r="W9" s="41" t="str">
        <f t="shared" si="3"/>
        <v>HNG M23-IUS</v>
      </c>
      <c r="X9" s="44">
        <v>5.2240000000000002</v>
      </c>
      <c r="Y9" s="46"/>
      <c r="Z9" s="33">
        <f t="shared" si="13"/>
        <v>45078</v>
      </c>
      <c r="AA9" s="36"/>
      <c r="AB9" s="35"/>
      <c r="AC9" s="41"/>
      <c r="AD9" s="41"/>
      <c r="AE9" s="41" t="str">
        <f t="shared" si="4"/>
        <v>DOM M23-IUS</v>
      </c>
      <c r="AF9" s="44">
        <v>-0.87</v>
      </c>
      <c r="AG9" s="46"/>
      <c r="AH9" s="33">
        <f t="shared" si="14"/>
        <v>45078</v>
      </c>
      <c r="AI9" s="36"/>
      <c r="AJ9" s="35"/>
      <c r="AK9" s="41"/>
      <c r="AL9" s="41"/>
      <c r="AM9" s="41" t="str">
        <f t="shared" si="5"/>
        <v>TNC M23-IUS</v>
      </c>
      <c r="AN9" s="44">
        <v>-0.56999999999999995</v>
      </c>
      <c r="AO9" s="41"/>
      <c r="AP9" s="41"/>
      <c r="AQ9" s="54" t="s">
        <v>24</v>
      </c>
      <c r="AR9" s="55">
        <v>7</v>
      </c>
      <c r="AT9" s="56">
        <f t="shared" si="6"/>
        <v>2023</v>
      </c>
      <c r="AU9" s="57" t="str">
        <f t="shared" si="7"/>
        <v>23</v>
      </c>
      <c r="AV9" s="58">
        <f t="shared" si="8"/>
        <v>6</v>
      </c>
      <c r="AW9" s="58" t="str" cm="1">
        <f t="array" ref="AW9">_xlfn.IFS(AV9=$AR$3,$AQ$3,AV9=$AR$4,$AQ$4,AV9=$AR$5,$AQ$5,AV9=$AR$6,$AQ$6,AV9=$AR$7,$AQ$7,AV9=$AR$8,$AQ$8,AV9=$AR$9,$AQ$9,AV9=$AR$10,$AQ$10,AV9=$AR$11,$AQ$11,AV9=$AR$12,$AQ$12,AV9=$AR$13,$AQ$13,AV9=$AR$14,$AQ$14)</f>
        <v>M</v>
      </c>
      <c r="AY9" s="41" t="str">
        <f t="shared" si="9"/>
        <v>ADB M23-IUS</v>
      </c>
      <c r="AZ9" s="41" t="str">
        <f t="shared" si="0"/>
        <v>ADD M23-IUS</v>
      </c>
      <c r="BA9" s="41" t="str">
        <f t="shared" si="0"/>
        <v>HNG M23-IUS</v>
      </c>
      <c r="BB9" s="41" t="str">
        <f t="shared" si="0"/>
        <v>DOM M23-IUS</v>
      </c>
      <c r="BC9" s="41" t="str">
        <f t="shared" si="0"/>
        <v>TNC M23-IUS</v>
      </c>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1"/>
      <c r="CR9" s="41"/>
      <c r="CS9" s="41"/>
      <c r="CT9" s="41"/>
      <c r="CU9" s="41"/>
      <c r="CV9" s="41"/>
      <c r="CW9" s="41"/>
      <c r="CX9" s="41"/>
      <c r="CY9" s="41"/>
      <c r="CZ9" s="41"/>
      <c r="DA9" s="41"/>
      <c r="DB9" s="41"/>
      <c r="DC9" s="41"/>
      <c r="DD9" s="41"/>
      <c r="DE9" s="41"/>
      <c r="DF9" s="41"/>
      <c r="DG9" s="41"/>
      <c r="DH9" s="41"/>
      <c r="DI9" s="41"/>
      <c r="DJ9" s="41"/>
      <c r="DK9" s="41"/>
      <c r="DL9" s="41"/>
      <c r="DM9" s="41"/>
      <c r="DN9" s="41"/>
      <c r="DO9" s="41"/>
      <c r="DP9" s="41"/>
      <c r="DQ9" s="41"/>
      <c r="DR9" s="41"/>
      <c r="DS9" s="41"/>
      <c r="DT9" s="41"/>
      <c r="DU9" s="41"/>
      <c r="DV9" s="41"/>
      <c r="DW9" s="41"/>
      <c r="DX9" s="41"/>
      <c r="DY9" s="41"/>
      <c r="DZ9" s="41"/>
      <c r="EA9" s="41"/>
      <c r="EB9" s="41"/>
      <c r="EC9" s="41"/>
      <c r="ED9" s="41"/>
    </row>
    <row r="10" spans="1:134">
      <c r="B10" s="33">
        <f t="shared" si="10"/>
        <v>45108</v>
      </c>
      <c r="D10" s="35"/>
      <c r="E10" s="41"/>
      <c r="F10" s="41"/>
      <c r="G10" s="41" t="str">
        <f t="shared" si="1"/>
        <v>ADB N23-IUS</v>
      </c>
      <c r="H10" s="42">
        <v>55.75</v>
      </c>
      <c r="I10" s="46"/>
      <c r="J10" s="33">
        <f t="shared" si="11"/>
        <v>45108</v>
      </c>
      <c r="K10" s="36"/>
      <c r="L10" s="35"/>
      <c r="M10" s="41"/>
      <c r="N10" s="41"/>
      <c r="O10" s="41" t="str">
        <f t="shared" si="2"/>
        <v>ADD N23-IUS</v>
      </c>
      <c r="P10" s="42">
        <v>39.25</v>
      </c>
      <c r="Q10" s="46"/>
      <c r="R10" s="33">
        <f t="shared" si="12"/>
        <v>45108</v>
      </c>
      <c r="S10" s="36"/>
      <c r="T10" s="35"/>
      <c r="U10" s="41"/>
      <c r="V10" s="41"/>
      <c r="W10" s="41" t="str">
        <f t="shared" si="3"/>
        <v>HNG N23-IUS</v>
      </c>
      <c r="X10" s="44">
        <v>5.32</v>
      </c>
      <c r="Y10" s="46"/>
      <c r="Z10" s="33">
        <f t="shared" si="13"/>
        <v>45108</v>
      </c>
      <c r="AA10" s="36"/>
      <c r="AB10" s="35"/>
      <c r="AC10" s="41"/>
      <c r="AD10" s="41"/>
      <c r="AE10" s="41" t="str">
        <f t="shared" si="4"/>
        <v>DOM N23-IUS</v>
      </c>
      <c r="AF10" s="44">
        <v>-0.89</v>
      </c>
      <c r="AG10" s="46"/>
      <c r="AH10" s="33">
        <f t="shared" si="14"/>
        <v>45108</v>
      </c>
      <c r="AI10" s="36"/>
      <c r="AJ10" s="35"/>
      <c r="AK10" s="41"/>
      <c r="AL10" s="41"/>
      <c r="AM10" s="41" t="str">
        <f t="shared" si="5"/>
        <v>TNC N23-IUS</v>
      </c>
      <c r="AN10" s="44">
        <v>-0.54749999999999999</v>
      </c>
      <c r="AO10" s="41"/>
      <c r="AP10" s="41"/>
      <c r="AQ10" s="54" t="s">
        <v>36</v>
      </c>
      <c r="AR10" s="55">
        <v>8</v>
      </c>
      <c r="AT10" s="56">
        <f t="shared" si="6"/>
        <v>2023</v>
      </c>
      <c r="AU10" s="57" t="str">
        <f t="shared" si="7"/>
        <v>23</v>
      </c>
      <c r="AV10" s="58">
        <f t="shared" si="8"/>
        <v>7</v>
      </c>
      <c r="AW10" s="58" t="str" cm="1">
        <f t="array" ref="AW10">_xlfn.IFS(AV10=$AR$3,$AQ$3,AV10=$AR$4,$AQ$4,AV10=$AR$5,$AQ$5,AV10=$AR$6,$AQ$6,AV10=$AR$7,$AQ$7,AV10=$AR$8,$AQ$8,AV10=$AR$9,$AQ$9,AV10=$AR$10,$AQ$10,AV10=$AR$11,$AQ$11,AV10=$AR$12,$AQ$12,AV10=$AR$13,$AQ$13,AV10=$AR$14,$AQ$14)</f>
        <v>N</v>
      </c>
      <c r="AY10" s="41" t="str">
        <f t="shared" si="9"/>
        <v>ADB N23-IUS</v>
      </c>
      <c r="AZ10" s="41" t="str">
        <f t="shared" si="0"/>
        <v>ADD N23-IUS</v>
      </c>
      <c r="BA10" s="41" t="str">
        <f t="shared" si="0"/>
        <v>HNG N23-IUS</v>
      </c>
      <c r="BB10" s="41" t="str">
        <f t="shared" si="0"/>
        <v>DOM N23-IUS</v>
      </c>
      <c r="BC10" s="41" t="str">
        <f t="shared" si="0"/>
        <v>TNC N23-IUS</v>
      </c>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c r="CX10" s="41"/>
      <c r="CY10" s="41"/>
      <c r="CZ10" s="41"/>
      <c r="DA10" s="41"/>
      <c r="DB10" s="41"/>
      <c r="DC10" s="41"/>
      <c r="DD10" s="41"/>
      <c r="DE10" s="41"/>
      <c r="DF10" s="41"/>
      <c r="DG10" s="41"/>
      <c r="DH10" s="41"/>
      <c r="DI10" s="41"/>
      <c r="DJ10" s="41"/>
      <c r="DK10" s="41"/>
      <c r="DL10" s="41"/>
      <c r="DM10" s="41"/>
      <c r="DN10" s="41"/>
      <c r="DO10" s="41"/>
      <c r="DP10" s="41"/>
      <c r="DQ10" s="41"/>
      <c r="DR10" s="41"/>
      <c r="DS10" s="41"/>
      <c r="DT10" s="41"/>
      <c r="DU10" s="41"/>
      <c r="DV10" s="41"/>
      <c r="DW10" s="41"/>
      <c r="DX10" s="41"/>
      <c r="DY10" s="41"/>
      <c r="DZ10" s="41"/>
      <c r="EA10" s="41"/>
      <c r="EB10" s="41"/>
      <c r="EC10" s="41"/>
      <c r="ED10" s="41"/>
    </row>
    <row r="11" spans="1:134">
      <c r="B11" s="33">
        <f t="shared" si="10"/>
        <v>45139</v>
      </c>
      <c r="D11" s="35"/>
      <c r="E11" s="41"/>
      <c r="F11" s="41"/>
      <c r="G11" s="41" t="str">
        <f t="shared" si="1"/>
        <v>ADB Q23-IUS</v>
      </c>
      <c r="H11" s="42">
        <v>51.85</v>
      </c>
      <c r="J11" s="33">
        <f t="shared" si="11"/>
        <v>45139</v>
      </c>
      <c r="K11" s="36"/>
      <c r="L11" s="35"/>
      <c r="M11" s="41"/>
      <c r="N11" s="41"/>
      <c r="O11" s="41" t="str">
        <f t="shared" si="2"/>
        <v>ADD Q23-IUS</v>
      </c>
      <c r="P11" s="42">
        <v>35</v>
      </c>
      <c r="R11" s="33">
        <f t="shared" si="12"/>
        <v>45139</v>
      </c>
      <c r="S11" s="36"/>
      <c r="T11" s="35"/>
      <c r="U11" s="41"/>
      <c r="V11" s="41"/>
      <c r="W11" s="41" t="str">
        <f t="shared" si="3"/>
        <v>HNG Q23-IUS</v>
      </c>
      <c r="X11" s="44">
        <v>5.3079999999999998</v>
      </c>
      <c r="Z11" s="33">
        <f t="shared" si="13"/>
        <v>45139</v>
      </c>
      <c r="AA11" s="36"/>
      <c r="AB11" s="35"/>
      <c r="AC11" s="41"/>
      <c r="AD11" s="41"/>
      <c r="AE11" s="41" t="str">
        <f t="shared" si="4"/>
        <v>DOM Q23-IUS</v>
      </c>
      <c r="AF11" s="44">
        <v>-0.95499999999999996</v>
      </c>
      <c r="AH11" s="33">
        <f t="shared" si="14"/>
        <v>45139</v>
      </c>
      <c r="AI11" s="36"/>
      <c r="AJ11" s="35"/>
      <c r="AK11" s="41"/>
      <c r="AL11" s="41"/>
      <c r="AM11" s="41" t="str">
        <f t="shared" si="5"/>
        <v>TNC Q23-IUS</v>
      </c>
      <c r="AN11" s="44">
        <v>-0.57250000000000001</v>
      </c>
      <c r="AQ11" s="38" t="s">
        <v>37</v>
      </c>
      <c r="AR11" s="55">
        <v>9</v>
      </c>
      <c r="AT11" s="56">
        <f t="shared" si="6"/>
        <v>2023</v>
      </c>
      <c r="AU11" s="57" t="str">
        <f t="shared" si="7"/>
        <v>23</v>
      </c>
      <c r="AV11" s="58">
        <f t="shared" si="8"/>
        <v>8</v>
      </c>
      <c r="AW11" s="58" t="str" cm="1">
        <f t="array" ref="AW11">_xlfn.IFS(AV11=$AR$3,$AQ$3,AV11=$AR$4,$AQ$4,AV11=$AR$5,$AQ$5,AV11=$AR$6,$AQ$6,AV11=$AR$7,$AQ$7,AV11=$AR$8,$AQ$8,AV11=$AR$9,$AQ$9,AV11=$AR$10,$AQ$10,AV11=$AR$11,$AQ$11,AV11=$AR$12,$AQ$12,AV11=$AR$13,$AQ$13,AV11=$AR$14,$AQ$14)</f>
        <v>Q</v>
      </c>
      <c r="AY11" s="41" t="str">
        <f t="shared" si="9"/>
        <v>ADB Q23-IUS</v>
      </c>
      <c r="AZ11" s="41" t="str">
        <f t="shared" si="0"/>
        <v>ADD Q23-IUS</v>
      </c>
      <c r="BA11" s="41" t="str">
        <f t="shared" si="0"/>
        <v>HNG Q23-IUS</v>
      </c>
      <c r="BB11" s="41" t="str">
        <f t="shared" si="0"/>
        <v>DOM Q23-IUS</v>
      </c>
      <c r="BC11" s="41" t="str">
        <f t="shared" si="0"/>
        <v>TNC Q23-IUS</v>
      </c>
    </row>
    <row r="12" spans="1:134">
      <c r="B12" s="33">
        <f t="shared" si="10"/>
        <v>45170</v>
      </c>
      <c r="D12" s="35"/>
      <c r="E12" s="41"/>
      <c r="F12" s="41"/>
      <c r="G12" s="41" t="str">
        <f t="shared" si="1"/>
        <v>ADB U23-IUS</v>
      </c>
      <c r="H12" s="42">
        <v>54.55</v>
      </c>
      <c r="J12" s="33">
        <f t="shared" si="11"/>
        <v>45170</v>
      </c>
      <c r="K12" s="36"/>
      <c r="L12" s="35"/>
      <c r="M12" s="41"/>
      <c r="N12" s="41"/>
      <c r="O12" s="41" t="str">
        <f t="shared" si="2"/>
        <v>ADD U23-IUS</v>
      </c>
      <c r="P12" s="42">
        <v>41</v>
      </c>
      <c r="R12" s="33">
        <f t="shared" si="12"/>
        <v>45170</v>
      </c>
      <c r="S12" s="36"/>
      <c r="T12" s="35"/>
      <c r="U12" s="41"/>
      <c r="V12" s="41"/>
      <c r="W12" s="41" t="str">
        <f t="shared" si="3"/>
        <v>HNG U23-IUS</v>
      </c>
      <c r="X12" s="44">
        <v>5.2320000000000002</v>
      </c>
      <c r="Z12" s="33">
        <f t="shared" si="13"/>
        <v>45170</v>
      </c>
      <c r="AA12" s="36"/>
      <c r="AB12" s="35"/>
      <c r="AC12" s="41"/>
      <c r="AD12" s="41"/>
      <c r="AE12" s="41" t="str">
        <f t="shared" si="4"/>
        <v>DOM U23-IUS</v>
      </c>
      <c r="AF12" s="44">
        <v>-1.5375000000000001</v>
      </c>
      <c r="AH12" s="33">
        <f t="shared" si="14"/>
        <v>45170</v>
      </c>
      <c r="AI12" s="36"/>
      <c r="AJ12" s="35"/>
      <c r="AK12" s="41"/>
      <c r="AL12" s="41"/>
      <c r="AM12" s="41" t="str">
        <f t="shared" si="5"/>
        <v>TNC U23-IUS</v>
      </c>
      <c r="AN12" s="44">
        <v>-1.24</v>
      </c>
      <c r="AQ12" s="38" t="s">
        <v>38</v>
      </c>
      <c r="AR12" s="55">
        <v>10</v>
      </c>
      <c r="AT12" s="56">
        <f t="shared" si="6"/>
        <v>2023</v>
      </c>
      <c r="AU12" s="57" t="str">
        <f t="shared" si="7"/>
        <v>23</v>
      </c>
      <c r="AV12" s="58">
        <f t="shared" si="8"/>
        <v>9</v>
      </c>
      <c r="AW12" s="58" t="str" cm="1">
        <f t="array" ref="AW12">_xlfn.IFS(AV12=$AR$3,$AQ$3,AV12=$AR$4,$AQ$4,AV12=$AR$5,$AQ$5,AV12=$AR$6,$AQ$6,AV12=$AR$7,$AQ$7,AV12=$AR$8,$AQ$8,AV12=$AR$9,$AQ$9,AV12=$AR$10,$AQ$10,AV12=$AR$11,$AQ$11,AV12=$AR$12,$AQ$12,AV12=$AR$13,$AQ$13,AV12=$AR$14,$AQ$14)</f>
        <v>U</v>
      </c>
      <c r="AY12" s="41" t="str">
        <f t="shared" si="9"/>
        <v>ADB U23-IUS</v>
      </c>
      <c r="AZ12" s="41" t="str">
        <f t="shared" si="0"/>
        <v>ADD U23-IUS</v>
      </c>
      <c r="BA12" s="41" t="str">
        <f t="shared" si="0"/>
        <v>HNG U23-IUS</v>
      </c>
      <c r="BB12" s="41" t="str">
        <f t="shared" si="0"/>
        <v>DOM U23-IUS</v>
      </c>
      <c r="BC12" s="41" t="str">
        <f t="shared" si="0"/>
        <v>TNC U23-IUS</v>
      </c>
    </row>
    <row r="13" spans="1:134">
      <c r="B13" s="33">
        <f t="shared" si="10"/>
        <v>45200</v>
      </c>
      <c r="D13" s="35"/>
      <c r="E13" s="41"/>
      <c r="F13" s="41"/>
      <c r="G13" s="41" t="str">
        <f t="shared" si="1"/>
        <v>ADB V23-IUS</v>
      </c>
      <c r="H13" s="42">
        <v>61.05</v>
      </c>
      <c r="J13" s="33">
        <f t="shared" si="11"/>
        <v>45200</v>
      </c>
      <c r="K13" s="36"/>
      <c r="L13" s="35"/>
      <c r="M13" s="41"/>
      <c r="N13" s="41"/>
      <c r="O13" s="41" t="str">
        <f t="shared" si="2"/>
        <v>ADD V23-IUS</v>
      </c>
      <c r="P13" s="42">
        <v>46.5</v>
      </c>
      <c r="R13" s="33">
        <f t="shared" si="12"/>
        <v>45200</v>
      </c>
      <c r="S13" s="36"/>
      <c r="T13" s="35"/>
      <c r="U13" s="41"/>
      <c r="V13" s="41"/>
      <c r="W13" s="41" t="str">
        <f t="shared" si="3"/>
        <v>HNG V23-IUS</v>
      </c>
      <c r="X13" s="44">
        <v>5.2839999999999998</v>
      </c>
      <c r="Z13" s="33">
        <f t="shared" si="13"/>
        <v>45200</v>
      </c>
      <c r="AA13" s="36"/>
      <c r="AB13" s="35"/>
      <c r="AC13" s="41"/>
      <c r="AD13" s="41"/>
      <c r="AE13" s="41" t="str">
        <f t="shared" si="4"/>
        <v>DOM V23-IUS</v>
      </c>
      <c r="AF13" s="44">
        <v>-1.72</v>
      </c>
      <c r="AH13" s="33">
        <f t="shared" si="14"/>
        <v>45200</v>
      </c>
      <c r="AI13" s="36"/>
      <c r="AJ13" s="35"/>
      <c r="AK13" s="41"/>
      <c r="AL13" s="41"/>
      <c r="AM13" s="41" t="str">
        <f t="shared" si="5"/>
        <v>TNC V23-IUS</v>
      </c>
      <c r="AN13" s="44">
        <v>-1.395</v>
      </c>
      <c r="AQ13" s="38" t="s">
        <v>39</v>
      </c>
      <c r="AR13" s="55">
        <v>11</v>
      </c>
      <c r="AT13" s="56">
        <f t="shared" si="6"/>
        <v>2023</v>
      </c>
      <c r="AU13" s="57" t="str">
        <f t="shared" si="7"/>
        <v>23</v>
      </c>
      <c r="AV13" s="58">
        <f t="shared" si="8"/>
        <v>10</v>
      </c>
      <c r="AW13" s="58" t="str" cm="1">
        <f t="array" ref="AW13">_xlfn.IFS(AV13=$AR$3,$AQ$3,AV13=$AR$4,$AQ$4,AV13=$AR$5,$AQ$5,AV13=$AR$6,$AQ$6,AV13=$AR$7,$AQ$7,AV13=$AR$8,$AQ$8,AV13=$AR$9,$AQ$9,AV13=$AR$10,$AQ$10,AV13=$AR$11,$AQ$11,AV13=$AR$12,$AQ$12,AV13=$AR$13,$AQ$13,AV13=$AR$14,$AQ$14)</f>
        <v>V</v>
      </c>
      <c r="AY13" s="41" t="str">
        <f t="shared" si="9"/>
        <v>ADB V23-IUS</v>
      </c>
      <c r="AZ13" s="41" t="str">
        <f t="shared" si="0"/>
        <v>ADD V23-IUS</v>
      </c>
      <c r="BA13" s="41" t="str">
        <f t="shared" si="0"/>
        <v>HNG V23-IUS</v>
      </c>
      <c r="BB13" s="41" t="str">
        <f t="shared" si="0"/>
        <v>DOM V23-IUS</v>
      </c>
      <c r="BC13" s="41" t="str">
        <f t="shared" si="0"/>
        <v>TNC V23-IUS</v>
      </c>
    </row>
    <row r="14" spans="1:134">
      <c r="B14" s="33">
        <f t="shared" si="10"/>
        <v>45231</v>
      </c>
      <c r="D14" s="35"/>
      <c r="E14" s="41"/>
      <c r="F14" s="41"/>
      <c r="G14" s="41" t="str">
        <f t="shared" si="1"/>
        <v>ADB X23-IUS</v>
      </c>
      <c r="H14" s="42">
        <v>95.25</v>
      </c>
      <c r="J14" s="33">
        <f t="shared" si="11"/>
        <v>45231</v>
      </c>
      <c r="K14" s="36"/>
      <c r="L14" s="35"/>
      <c r="M14" s="41"/>
      <c r="N14" s="41"/>
      <c r="O14" s="41" t="str">
        <f t="shared" si="2"/>
        <v>ADD X23-IUS</v>
      </c>
      <c r="P14" s="42">
        <v>80.849999999999994</v>
      </c>
      <c r="R14" s="33">
        <f t="shared" si="12"/>
        <v>45231</v>
      </c>
      <c r="S14" s="36"/>
      <c r="T14" s="35"/>
      <c r="U14" s="41"/>
      <c r="V14" s="41"/>
      <c r="W14" s="41" t="str">
        <f t="shared" si="3"/>
        <v>HNG X23-IUS</v>
      </c>
      <c r="X14" s="44">
        <v>5.5060000000000002</v>
      </c>
      <c r="Z14" s="33">
        <f t="shared" si="13"/>
        <v>45231</v>
      </c>
      <c r="AA14" s="36"/>
      <c r="AB14" s="35"/>
      <c r="AC14" s="41"/>
      <c r="AD14" s="41"/>
      <c r="AE14" s="41" t="str">
        <f t="shared" si="4"/>
        <v>DOM X23-IUS</v>
      </c>
      <c r="AF14" s="44">
        <v>-1.0575000000000001</v>
      </c>
      <c r="AH14" s="33">
        <f t="shared" si="14"/>
        <v>45231</v>
      </c>
      <c r="AI14" s="36"/>
      <c r="AJ14" s="35"/>
      <c r="AK14" s="41"/>
      <c r="AL14" s="41"/>
      <c r="AM14" s="41" t="str">
        <f t="shared" si="5"/>
        <v>TNC X23-IUS</v>
      </c>
      <c r="AN14" s="44">
        <v>-0.75749999999999995</v>
      </c>
      <c r="AQ14" s="38" t="s">
        <v>40</v>
      </c>
      <c r="AR14" s="55">
        <v>12</v>
      </c>
      <c r="AT14" s="56">
        <f t="shared" si="6"/>
        <v>2023</v>
      </c>
      <c r="AU14" s="57" t="str">
        <f t="shared" si="7"/>
        <v>23</v>
      </c>
      <c r="AV14" s="58">
        <f t="shared" si="8"/>
        <v>11</v>
      </c>
      <c r="AW14" s="58" t="str" cm="1">
        <f t="array" ref="AW14">_xlfn.IFS(AV14=$AR$3,$AQ$3,AV14=$AR$4,$AQ$4,AV14=$AR$5,$AQ$5,AV14=$AR$6,$AQ$6,AV14=$AR$7,$AQ$7,AV14=$AR$8,$AQ$8,AV14=$AR$9,$AQ$9,AV14=$AR$10,$AQ$10,AV14=$AR$11,$AQ$11,AV14=$AR$12,$AQ$12,AV14=$AR$13,$AQ$13,AV14=$AR$14,$AQ$14)</f>
        <v>X</v>
      </c>
      <c r="AY14" s="41" t="str">
        <f t="shared" si="9"/>
        <v>ADB X23-IUS</v>
      </c>
      <c r="AZ14" s="41" t="str">
        <f t="shared" si="0"/>
        <v>ADD X23-IUS</v>
      </c>
      <c r="BA14" s="41" t="str">
        <f t="shared" si="0"/>
        <v>HNG X23-IUS</v>
      </c>
      <c r="BB14" s="41" t="str">
        <f t="shared" si="0"/>
        <v>DOM X23-IUS</v>
      </c>
      <c r="BC14" s="41" t="str">
        <f t="shared" si="0"/>
        <v>TNC X23-IUS</v>
      </c>
    </row>
    <row r="15" spans="1:134">
      <c r="B15" s="33">
        <f t="shared" si="10"/>
        <v>45261</v>
      </c>
      <c r="D15" s="35"/>
      <c r="E15" s="41"/>
      <c r="F15" s="41"/>
      <c r="G15" s="41" t="str">
        <f t="shared" si="1"/>
        <v>ADB Z23-IUS</v>
      </c>
      <c r="H15" s="42">
        <v>56.8</v>
      </c>
      <c r="J15" s="33">
        <f t="shared" si="11"/>
        <v>45261</v>
      </c>
      <c r="K15" s="36"/>
      <c r="L15" s="35"/>
      <c r="M15" s="41"/>
      <c r="N15" s="41"/>
      <c r="O15" s="41" t="str">
        <f t="shared" si="2"/>
        <v>ADD Z23-IUS</v>
      </c>
      <c r="P15" s="42">
        <v>39.950000000000003</v>
      </c>
      <c r="R15" s="33">
        <f t="shared" si="12"/>
        <v>45261</v>
      </c>
      <c r="S15" s="36"/>
      <c r="T15" s="35"/>
      <c r="U15" s="41"/>
      <c r="V15" s="41"/>
      <c r="W15" s="41" t="str">
        <f t="shared" si="3"/>
        <v>HNG Z23-IUS</v>
      </c>
      <c r="X15" s="44">
        <v>5.8579999999999997</v>
      </c>
      <c r="Z15" s="33">
        <f t="shared" si="13"/>
        <v>45261</v>
      </c>
      <c r="AA15" s="36"/>
      <c r="AB15" s="35"/>
      <c r="AC15" s="41"/>
      <c r="AD15" s="41"/>
      <c r="AE15" s="41" t="str">
        <f t="shared" si="4"/>
        <v>DOM Z23-IUS</v>
      </c>
      <c r="AF15" s="44">
        <v>-0.91249999999999998</v>
      </c>
      <c r="AH15" s="33">
        <f t="shared" si="14"/>
        <v>45261</v>
      </c>
      <c r="AI15" s="36"/>
      <c r="AJ15" s="35"/>
      <c r="AK15" s="41"/>
      <c r="AL15" s="41"/>
      <c r="AM15" s="41" t="str">
        <f t="shared" si="5"/>
        <v>TNC Z23-IUS</v>
      </c>
      <c r="AN15" s="44">
        <v>-0.59499999999999997</v>
      </c>
      <c r="AT15" s="56">
        <f t="shared" si="6"/>
        <v>2023</v>
      </c>
      <c r="AU15" s="57" t="str">
        <f t="shared" si="7"/>
        <v>23</v>
      </c>
      <c r="AV15" s="58">
        <f t="shared" si="8"/>
        <v>12</v>
      </c>
      <c r="AW15" s="58" t="str" cm="1">
        <f t="array" ref="AW15">_xlfn.IFS(AV15=$AR$3,$AQ$3,AV15=$AR$4,$AQ$4,AV15=$AR$5,$AQ$5,AV15=$AR$6,$AQ$6,AV15=$AR$7,$AQ$7,AV15=$AR$8,$AQ$8,AV15=$AR$9,$AQ$9,AV15=$AR$10,$AQ$10,AV15=$AR$11,$AQ$11,AV15=$AR$12,$AQ$12,AV15=$AR$13,$AQ$13,AV15=$AR$14,$AQ$14)</f>
        <v>Z</v>
      </c>
      <c r="AY15" s="41" t="str">
        <f t="shared" si="9"/>
        <v>ADB Z23-IUS</v>
      </c>
      <c r="AZ15" s="41" t="str">
        <f t="shared" si="0"/>
        <v>ADD Z23-IUS</v>
      </c>
      <c r="BA15" s="41" t="str">
        <f t="shared" si="0"/>
        <v>HNG Z23-IUS</v>
      </c>
      <c r="BB15" s="41" t="str">
        <f t="shared" si="0"/>
        <v>DOM Z23-IUS</v>
      </c>
      <c r="BC15" s="41" t="str">
        <f t="shared" si="0"/>
        <v>TNC Z23-IUS</v>
      </c>
    </row>
    <row r="16" spans="1:134">
      <c r="B16" s="33">
        <f t="shared" si="10"/>
        <v>45292</v>
      </c>
      <c r="D16" s="35"/>
      <c r="E16" s="41"/>
      <c r="F16" s="41"/>
      <c r="G16" s="41" t="str">
        <f t="shared" si="1"/>
        <v>ADB F24-IUS</v>
      </c>
      <c r="H16" s="42">
        <v>52.95</v>
      </c>
      <c r="J16" s="33">
        <f t="shared" si="11"/>
        <v>45292</v>
      </c>
      <c r="K16" s="36"/>
      <c r="L16" s="35"/>
      <c r="M16" s="41"/>
      <c r="N16" s="41"/>
      <c r="O16" s="41" t="str">
        <f t="shared" si="2"/>
        <v>ADD F24-IUS</v>
      </c>
      <c r="P16" s="42">
        <v>40.75</v>
      </c>
      <c r="R16" s="33">
        <f t="shared" si="12"/>
        <v>45292</v>
      </c>
      <c r="S16" s="36"/>
      <c r="T16" s="35"/>
      <c r="U16" s="41"/>
      <c r="V16" s="41"/>
      <c r="W16" s="41" t="str">
        <f t="shared" si="3"/>
        <v>HNG F24-IUS</v>
      </c>
      <c r="X16" s="44">
        <v>6.1139999999999999</v>
      </c>
      <c r="Z16" s="33">
        <f t="shared" si="13"/>
        <v>45292</v>
      </c>
      <c r="AA16" s="36"/>
      <c r="AB16" s="35"/>
      <c r="AC16" s="41"/>
      <c r="AD16" s="41"/>
      <c r="AE16" s="41" t="str">
        <f t="shared" si="4"/>
        <v>DOM F24-IUS</v>
      </c>
      <c r="AF16" s="44">
        <v>-0.71499999999999997</v>
      </c>
      <c r="AH16" s="33">
        <f t="shared" si="14"/>
        <v>45292</v>
      </c>
      <c r="AI16" s="36"/>
      <c r="AJ16" s="35"/>
      <c r="AK16" s="41"/>
      <c r="AL16" s="41"/>
      <c r="AM16" s="41" t="str">
        <f t="shared" si="5"/>
        <v>TNC F24-IUS</v>
      </c>
      <c r="AN16" s="44">
        <v>-0.42</v>
      </c>
      <c r="AT16" s="56">
        <f t="shared" si="6"/>
        <v>2024</v>
      </c>
      <c r="AU16" s="57" t="str">
        <f t="shared" si="7"/>
        <v>24</v>
      </c>
      <c r="AV16" s="58">
        <f t="shared" si="8"/>
        <v>1</v>
      </c>
      <c r="AW16" s="58" t="str" cm="1">
        <f t="array" ref="AW16">_xlfn.IFS(AV16=$AR$3,$AQ$3,AV16=$AR$4,$AQ$4,AV16=$AR$5,$AQ$5,AV16=$AR$6,$AQ$6,AV16=$AR$7,$AQ$7,AV16=$AR$8,$AQ$8,AV16=$AR$9,$AQ$9,AV16=$AR$10,$AQ$10,AV16=$AR$11,$AQ$11,AV16=$AR$12,$AQ$12,AV16=$AR$13,$AQ$13,AV16=$AR$14,$AQ$14)</f>
        <v>F</v>
      </c>
      <c r="AY16" s="41" t="str">
        <f t="shared" si="9"/>
        <v>ADB F24-IUS</v>
      </c>
      <c r="AZ16" s="41" t="str">
        <f t="shared" si="0"/>
        <v>ADD F24-IUS</v>
      </c>
      <c r="BA16" s="41" t="str">
        <f t="shared" si="0"/>
        <v>HNG F24-IUS</v>
      </c>
      <c r="BB16" s="41" t="str">
        <f t="shared" si="0"/>
        <v>DOM F24-IUS</v>
      </c>
      <c r="BC16" s="41" t="str">
        <f t="shared" si="0"/>
        <v>TNC F24-IUS</v>
      </c>
    </row>
    <row r="17" spans="2:55">
      <c r="B17" s="33">
        <f t="shared" si="10"/>
        <v>45323</v>
      </c>
      <c r="D17" s="35"/>
      <c r="E17" s="41"/>
      <c r="F17" s="41"/>
      <c r="G17" s="41" t="str">
        <f t="shared" si="1"/>
        <v>ADB G24-IUS</v>
      </c>
      <c r="H17" s="42">
        <v>56.05</v>
      </c>
      <c r="J17" s="33">
        <f t="shared" si="11"/>
        <v>45323</v>
      </c>
      <c r="K17" s="36"/>
      <c r="L17" s="35"/>
      <c r="M17" s="41"/>
      <c r="N17" s="41"/>
      <c r="O17" s="41" t="str">
        <f t="shared" si="2"/>
        <v>ADD G24-IUS</v>
      </c>
      <c r="P17" s="42">
        <v>39.4</v>
      </c>
      <c r="R17" s="33">
        <f t="shared" si="12"/>
        <v>45323</v>
      </c>
      <c r="S17" s="36"/>
      <c r="T17" s="35"/>
      <c r="U17" s="41"/>
      <c r="V17" s="41"/>
      <c r="W17" s="41" t="str">
        <f t="shared" si="3"/>
        <v>HNG G24-IUS</v>
      </c>
      <c r="X17" s="44">
        <v>5.7969999999999997</v>
      </c>
      <c r="Z17" s="33">
        <f t="shared" si="13"/>
        <v>45323</v>
      </c>
      <c r="AA17" s="36"/>
      <c r="AB17" s="35"/>
      <c r="AC17" s="41"/>
      <c r="AD17" s="41"/>
      <c r="AE17" s="41" t="str">
        <f t="shared" si="4"/>
        <v>DOM G24-IUS</v>
      </c>
      <c r="AF17" s="44">
        <v>-0.63500000000000001</v>
      </c>
      <c r="AH17" s="33">
        <f t="shared" si="14"/>
        <v>45323</v>
      </c>
      <c r="AI17" s="36"/>
      <c r="AJ17" s="35"/>
      <c r="AK17" s="41"/>
      <c r="AL17" s="41"/>
      <c r="AM17" s="41" t="str">
        <f t="shared" si="5"/>
        <v>TNC G24-IUS</v>
      </c>
      <c r="AN17" s="44">
        <v>-0.37</v>
      </c>
      <c r="AT17" s="56">
        <f t="shared" si="6"/>
        <v>2024</v>
      </c>
      <c r="AU17" s="57" t="str">
        <f t="shared" si="7"/>
        <v>24</v>
      </c>
      <c r="AV17" s="58">
        <f t="shared" si="8"/>
        <v>2</v>
      </c>
      <c r="AW17" s="58" t="str" cm="1">
        <f t="array" ref="AW17">_xlfn.IFS(AV17=$AR$3,$AQ$3,AV17=$AR$4,$AQ$4,AV17=$AR$5,$AQ$5,AV17=$AR$6,$AQ$6,AV17=$AR$7,$AQ$7,AV17=$AR$8,$AQ$8,AV17=$AR$9,$AQ$9,AV17=$AR$10,$AQ$10,AV17=$AR$11,$AQ$11,AV17=$AR$12,$AQ$12,AV17=$AR$13,$AQ$13,AV17=$AR$14,$AQ$14)</f>
        <v>G</v>
      </c>
      <c r="AY17" s="41" t="str">
        <f t="shared" si="9"/>
        <v>ADB G24-IUS</v>
      </c>
      <c r="AZ17" s="41" t="str">
        <f t="shared" si="0"/>
        <v>ADD G24-IUS</v>
      </c>
      <c r="BA17" s="41" t="str">
        <f t="shared" si="0"/>
        <v>HNG G24-IUS</v>
      </c>
      <c r="BB17" s="41" t="str">
        <f t="shared" si="0"/>
        <v>DOM G24-IUS</v>
      </c>
      <c r="BC17" s="41" t="str">
        <f t="shared" si="0"/>
        <v>TNC G24-IUS</v>
      </c>
    </row>
    <row r="18" spans="2:55">
      <c r="B18" s="33">
        <f t="shared" si="10"/>
        <v>45352</v>
      </c>
      <c r="D18" s="35"/>
      <c r="E18" s="41"/>
      <c r="F18" s="41"/>
      <c r="G18" s="41" t="str">
        <f t="shared" si="1"/>
        <v>ADB H24-IUS</v>
      </c>
      <c r="H18" s="42">
        <v>74.55</v>
      </c>
      <c r="J18" s="33">
        <f t="shared" si="11"/>
        <v>45352</v>
      </c>
      <c r="K18" s="36"/>
      <c r="L18" s="35"/>
      <c r="M18" s="41"/>
      <c r="N18" s="41"/>
      <c r="O18" s="41" t="str">
        <f t="shared" si="2"/>
        <v>ADD H24-IUS</v>
      </c>
      <c r="P18" s="42">
        <v>45.7</v>
      </c>
      <c r="R18" s="33">
        <f t="shared" si="12"/>
        <v>45352</v>
      </c>
      <c r="S18" s="36"/>
      <c r="T18" s="35"/>
      <c r="U18" s="41"/>
      <c r="V18" s="41"/>
      <c r="W18" s="41" t="str">
        <f t="shared" si="3"/>
        <v>HNG H24-IUS</v>
      </c>
      <c r="X18" s="44">
        <v>5.0780000000000003</v>
      </c>
      <c r="Z18" s="33">
        <f t="shared" si="13"/>
        <v>45352</v>
      </c>
      <c r="AA18" s="36"/>
      <c r="AB18" s="35"/>
      <c r="AC18" s="41"/>
      <c r="AD18" s="41"/>
      <c r="AE18" s="41" t="str">
        <f t="shared" si="4"/>
        <v>DOM H24-IUS</v>
      </c>
      <c r="AF18" s="44">
        <v>-0.64500000000000002</v>
      </c>
      <c r="AH18" s="33">
        <f t="shared" si="14"/>
        <v>45352</v>
      </c>
      <c r="AI18" s="36"/>
      <c r="AJ18" s="35"/>
      <c r="AK18" s="41"/>
      <c r="AL18" s="41"/>
      <c r="AM18" s="41" t="str">
        <f t="shared" si="5"/>
        <v>TNC H24-IUS</v>
      </c>
      <c r="AN18" s="44">
        <v>-0.32250000000000001</v>
      </c>
      <c r="AT18" s="56">
        <f t="shared" si="6"/>
        <v>2024</v>
      </c>
      <c r="AU18" s="57" t="str">
        <f t="shared" si="7"/>
        <v>24</v>
      </c>
      <c r="AV18" s="58">
        <f t="shared" si="8"/>
        <v>3</v>
      </c>
      <c r="AW18" s="58" t="str" cm="1">
        <f t="array" ref="AW18">_xlfn.IFS(AV18=$AR$3,$AQ$3,AV18=$AR$4,$AQ$4,AV18=$AR$5,$AQ$5,AV18=$AR$6,$AQ$6,AV18=$AR$7,$AQ$7,AV18=$AR$8,$AQ$8,AV18=$AR$9,$AQ$9,AV18=$AR$10,$AQ$10,AV18=$AR$11,$AQ$11,AV18=$AR$12,$AQ$12,AV18=$AR$13,$AQ$13,AV18=$AR$14,$AQ$14)</f>
        <v>H</v>
      </c>
      <c r="AY18" s="41" t="str">
        <f t="shared" si="9"/>
        <v>ADB H24-IUS</v>
      </c>
      <c r="AZ18" s="41" t="str">
        <f t="shared" si="0"/>
        <v>ADD H24-IUS</v>
      </c>
      <c r="BA18" s="41" t="str">
        <f t="shared" si="0"/>
        <v>HNG H24-IUS</v>
      </c>
      <c r="BB18" s="41" t="str">
        <f t="shared" si="0"/>
        <v>DOM H24-IUS</v>
      </c>
      <c r="BC18" s="41" t="str">
        <f t="shared" si="0"/>
        <v>TNC H24-IUS</v>
      </c>
    </row>
    <row r="19" spans="2:55">
      <c r="B19" s="33">
        <f t="shared" si="10"/>
        <v>45383</v>
      </c>
      <c r="D19" s="35"/>
      <c r="E19" s="41"/>
      <c r="F19" s="41"/>
      <c r="G19" s="41" t="str">
        <f t="shared" si="1"/>
        <v>ADB J24-IUS</v>
      </c>
      <c r="H19" s="42">
        <v>59.95</v>
      </c>
      <c r="J19" s="33">
        <f t="shared" si="11"/>
        <v>45383</v>
      </c>
      <c r="K19" s="36"/>
      <c r="L19" s="35"/>
      <c r="M19" s="41"/>
      <c r="N19" s="41"/>
      <c r="O19" s="41" t="str">
        <f t="shared" si="2"/>
        <v>ADD J24-IUS</v>
      </c>
      <c r="P19" s="42">
        <v>36.9</v>
      </c>
      <c r="R19" s="33">
        <f t="shared" si="12"/>
        <v>45383</v>
      </c>
      <c r="S19" s="36"/>
      <c r="T19" s="35"/>
      <c r="U19" s="41"/>
      <c r="V19" s="41"/>
      <c r="W19" s="41" t="str">
        <f t="shared" si="3"/>
        <v>HNG J24-IUS</v>
      </c>
      <c r="X19" s="44">
        <v>4.2699999999999996</v>
      </c>
      <c r="Z19" s="33">
        <f t="shared" si="13"/>
        <v>45383</v>
      </c>
      <c r="AA19" s="36"/>
      <c r="AB19" s="35"/>
      <c r="AC19" s="41"/>
      <c r="AD19" s="41"/>
      <c r="AE19" s="41" t="str">
        <f t="shared" si="4"/>
        <v>DOM J24-IUS</v>
      </c>
      <c r="AF19" s="44">
        <v>-0.70750000000000002</v>
      </c>
      <c r="AH19" s="33">
        <f t="shared" si="14"/>
        <v>45383</v>
      </c>
      <c r="AI19" s="36"/>
      <c r="AJ19" s="35"/>
      <c r="AK19" s="41"/>
      <c r="AL19" s="41"/>
      <c r="AM19" s="41" t="str">
        <f t="shared" si="5"/>
        <v>TNC J24-IUS</v>
      </c>
      <c r="AN19" s="44">
        <v>-0.39</v>
      </c>
      <c r="AT19" s="56">
        <f t="shared" si="6"/>
        <v>2024</v>
      </c>
      <c r="AU19" s="57" t="str">
        <f t="shared" si="7"/>
        <v>24</v>
      </c>
      <c r="AV19" s="58">
        <f t="shared" si="8"/>
        <v>4</v>
      </c>
      <c r="AW19" s="58" t="str" cm="1">
        <f t="array" ref="AW19">_xlfn.IFS(AV19=$AR$3,$AQ$3,AV19=$AR$4,$AQ$4,AV19=$AR$5,$AQ$5,AV19=$AR$6,$AQ$6,AV19=$AR$7,$AQ$7,AV19=$AR$8,$AQ$8,AV19=$AR$9,$AQ$9,AV19=$AR$10,$AQ$10,AV19=$AR$11,$AQ$11,AV19=$AR$12,$AQ$12,AV19=$AR$13,$AQ$13,AV19=$AR$14,$AQ$14)</f>
        <v>J</v>
      </c>
      <c r="AY19" s="41" t="str">
        <f t="shared" si="9"/>
        <v>ADB J24-IUS</v>
      </c>
      <c r="AZ19" s="41" t="str">
        <f t="shared" si="0"/>
        <v>ADD J24-IUS</v>
      </c>
      <c r="BA19" s="41" t="str">
        <f t="shared" si="0"/>
        <v>HNG J24-IUS</v>
      </c>
      <c r="BB19" s="41" t="str">
        <f t="shared" si="0"/>
        <v>DOM J24-IUS</v>
      </c>
      <c r="BC19" s="41" t="str">
        <f t="shared" si="0"/>
        <v>TNC J24-IUS</v>
      </c>
    </row>
    <row r="20" spans="2:55">
      <c r="B20" s="33">
        <f t="shared" si="10"/>
        <v>45413</v>
      </c>
      <c r="D20" s="35"/>
      <c r="E20" s="41"/>
      <c r="F20" s="41"/>
      <c r="G20" s="41" t="str">
        <f t="shared" si="1"/>
        <v>ADB K24-IUS</v>
      </c>
      <c r="H20" s="42">
        <v>57.7</v>
      </c>
      <c r="J20" s="33">
        <f t="shared" si="11"/>
        <v>45413</v>
      </c>
      <c r="K20" s="36"/>
      <c r="L20" s="35"/>
      <c r="M20" s="41"/>
      <c r="N20" s="41"/>
      <c r="O20" s="41" t="str">
        <f t="shared" si="2"/>
        <v>ADD K24-IUS</v>
      </c>
      <c r="P20" s="42">
        <v>39.25</v>
      </c>
      <c r="R20" s="33">
        <f t="shared" si="12"/>
        <v>45413</v>
      </c>
      <c r="S20" s="36"/>
      <c r="T20" s="35"/>
      <c r="U20" s="41"/>
      <c r="V20" s="41"/>
      <c r="W20" s="41" t="str">
        <f t="shared" si="3"/>
        <v>HNG K24-IUS</v>
      </c>
      <c r="X20" s="44">
        <v>4.1959999999999997</v>
      </c>
      <c r="Z20" s="33">
        <f t="shared" si="13"/>
        <v>45413</v>
      </c>
      <c r="AA20" s="36"/>
      <c r="AB20" s="35"/>
      <c r="AC20" s="41"/>
      <c r="AD20" s="41"/>
      <c r="AE20" s="41" t="str">
        <f t="shared" si="4"/>
        <v>DOM K24-IUS</v>
      </c>
      <c r="AF20" s="44">
        <v>-1.1025</v>
      </c>
      <c r="AH20" s="33">
        <f t="shared" si="14"/>
        <v>45413</v>
      </c>
      <c r="AI20" s="36"/>
      <c r="AJ20" s="35"/>
      <c r="AK20" s="41"/>
      <c r="AL20" s="41"/>
      <c r="AM20" s="41" t="str">
        <f t="shared" si="5"/>
        <v>TNC K24-IUS</v>
      </c>
      <c r="AN20" s="44">
        <v>-0.61</v>
      </c>
      <c r="AQ20" s="34"/>
      <c r="AT20" s="56">
        <f t="shared" si="6"/>
        <v>2024</v>
      </c>
      <c r="AU20" s="57" t="str">
        <f t="shared" si="7"/>
        <v>24</v>
      </c>
      <c r="AV20" s="58">
        <f t="shared" si="8"/>
        <v>5</v>
      </c>
      <c r="AW20" s="58" t="str" cm="1">
        <f t="array" ref="AW20">_xlfn.IFS(AV20=$AR$3,$AQ$3,AV20=$AR$4,$AQ$4,AV20=$AR$5,$AQ$5,AV20=$AR$6,$AQ$6,AV20=$AR$7,$AQ$7,AV20=$AR$8,$AQ$8,AV20=$AR$9,$AQ$9,AV20=$AR$10,$AQ$10,AV20=$AR$11,$AQ$11,AV20=$AR$12,$AQ$12,AV20=$AR$13,$AQ$13,AV20=$AR$14,$AQ$14)</f>
        <v>K</v>
      </c>
      <c r="AY20" s="41" t="str">
        <f t="shared" si="9"/>
        <v>ADB K24-IUS</v>
      </c>
      <c r="AZ20" s="41" t="str">
        <f t="shared" si="9"/>
        <v>ADD K24-IUS</v>
      </c>
      <c r="BA20" s="41" t="str">
        <f t="shared" si="9"/>
        <v>HNG K24-IUS</v>
      </c>
      <c r="BB20" s="41" t="str">
        <f t="shared" si="9"/>
        <v>DOM K24-IUS</v>
      </c>
      <c r="BC20" s="41" t="str">
        <f t="shared" si="9"/>
        <v>TNC K24-IUS</v>
      </c>
    </row>
    <row r="21" spans="2:55">
      <c r="B21" s="33">
        <f t="shared" si="10"/>
        <v>45444</v>
      </c>
      <c r="D21" s="35"/>
      <c r="E21" s="41"/>
      <c r="F21" s="41"/>
      <c r="G21" s="41" t="str">
        <f t="shared" si="1"/>
        <v>ADB M24-IUS</v>
      </c>
      <c r="H21" s="42">
        <v>52.05</v>
      </c>
      <c r="J21" s="33">
        <f t="shared" si="11"/>
        <v>45444</v>
      </c>
      <c r="K21" s="36"/>
      <c r="L21" s="35"/>
      <c r="M21" s="41"/>
      <c r="N21" s="41"/>
      <c r="O21" s="41" t="str">
        <f t="shared" si="2"/>
        <v>ADD M24-IUS</v>
      </c>
      <c r="P21" s="42">
        <v>36.35</v>
      </c>
      <c r="R21" s="33">
        <f t="shared" si="12"/>
        <v>45444</v>
      </c>
      <c r="S21" s="36"/>
      <c r="T21" s="35"/>
      <c r="U21" s="41"/>
      <c r="V21" s="41"/>
      <c r="W21" s="41" t="str">
        <f t="shared" si="3"/>
        <v>HNG M24-IUS</v>
      </c>
      <c r="X21" s="44">
        <v>4.2670000000000003</v>
      </c>
      <c r="Z21" s="33">
        <f t="shared" si="13"/>
        <v>45444</v>
      </c>
      <c r="AA21" s="36"/>
      <c r="AB21" s="35"/>
      <c r="AC21" s="41"/>
      <c r="AD21" s="41"/>
      <c r="AE21" s="41" t="str">
        <f t="shared" si="4"/>
        <v>DOM M24-IUS</v>
      </c>
      <c r="AF21" s="44">
        <v>-1.0149999999999999</v>
      </c>
      <c r="AH21" s="33">
        <f t="shared" si="14"/>
        <v>45444</v>
      </c>
      <c r="AI21" s="36"/>
      <c r="AJ21" s="35"/>
      <c r="AK21" s="41"/>
      <c r="AL21" s="41"/>
      <c r="AM21" s="41" t="str">
        <f t="shared" si="5"/>
        <v>TNC M24-IUS</v>
      </c>
      <c r="AN21" s="44">
        <v>-0.74</v>
      </c>
      <c r="AQ21" s="34"/>
      <c r="AT21" s="56">
        <f t="shared" si="6"/>
        <v>2024</v>
      </c>
      <c r="AU21" s="57" t="str">
        <f t="shared" si="7"/>
        <v>24</v>
      </c>
      <c r="AV21" s="58">
        <f t="shared" si="8"/>
        <v>6</v>
      </c>
      <c r="AW21" s="58" t="str" cm="1">
        <f t="array" ref="AW21">_xlfn.IFS(AV21=$AR$3,$AQ$3,AV21=$AR$4,$AQ$4,AV21=$AR$5,$AQ$5,AV21=$AR$6,$AQ$6,AV21=$AR$7,$AQ$7,AV21=$AR$8,$AQ$8,AV21=$AR$9,$AQ$9,AV21=$AR$10,$AQ$10,AV21=$AR$11,$AQ$11,AV21=$AR$12,$AQ$12,AV21=$AR$13,$AQ$13,AV21=$AR$14,$AQ$14)</f>
        <v>M</v>
      </c>
      <c r="AY21" s="41" t="str">
        <f t="shared" si="9"/>
        <v>ADB M24-IUS</v>
      </c>
      <c r="AZ21" s="41" t="str">
        <f t="shared" si="9"/>
        <v>ADD M24-IUS</v>
      </c>
      <c r="BA21" s="41" t="str">
        <f t="shared" si="9"/>
        <v>HNG M24-IUS</v>
      </c>
      <c r="BB21" s="41" t="str">
        <f t="shared" si="9"/>
        <v>DOM M24-IUS</v>
      </c>
      <c r="BC21" s="41" t="str">
        <f t="shared" si="9"/>
        <v>TNC M24-IUS</v>
      </c>
    </row>
    <row r="22" spans="2:55">
      <c r="B22" s="33">
        <f t="shared" si="10"/>
        <v>45474</v>
      </c>
      <c r="D22" s="35"/>
      <c r="E22" s="41"/>
      <c r="F22" s="41"/>
      <c r="G22" s="41" t="str">
        <f t="shared" si="1"/>
        <v>ADB N24-IUS</v>
      </c>
      <c r="H22" s="42">
        <v>56.75</v>
      </c>
      <c r="J22" s="33">
        <f t="shared" si="11"/>
        <v>45474</v>
      </c>
      <c r="K22" s="36"/>
      <c r="L22" s="35"/>
      <c r="M22" s="41"/>
      <c r="N22" s="41"/>
      <c r="O22" s="41" t="str">
        <f t="shared" si="2"/>
        <v>ADD N24-IUS</v>
      </c>
      <c r="P22" s="42">
        <v>40.950000000000003</v>
      </c>
      <c r="R22" s="33">
        <f t="shared" si="12"/>
        <v>45474</v>
      </c>
      <c r="S22" s="36"/>
      <c r="T22" s="35"/>
      <c r="U22" s="41"/>
      <c r="V22" s="41"/>
      <c r="W22" s="41" t="str">
        <f t="shared" si="3"/>
        <v>HNG N24-IUS</v>
      </c>
      <c r="X22" s="44">
        <v>4.343</v>
      </c>
      <c r="Z22" s="33">
        <f t="shared" si="13"/>
        <v>45474</v>
      </c>
      <c r="AA22" s="36"/>
      <c r="AB22" s="35"/>
      <c r="AC22" s="41"/>
      <c r="AD22" s="41"/>
      <c r="AE22" s="41" t="str">
        <f t="shared" si="4"/>
        <v>DOM N24-IUS</v>
      </c>
      <c r="AF22" s="44">
        <v>-1.0449999999999999</v>
      </c>
      <c r="AH22" s="33">
        <f t="shared" si="14"/>
        <v>45474</v>
      </c>
      <c r="AI22" s="36"/>
      <c r="AJ22" s="35"/>
      <c r="AK22" s="41"/>
      <c r="AL22" s="41"/>
      <c r="AM22" s="41" t="str">
        <f t="shared" si="5"/>
        <v>TNC N24-IUS</v>
      </c>
      <c r="AN22" s="44">
        <v>-0.74250000000000005</v>
      </c>
      <c r="AT22" s="56">
        <f t="shared" si="6"/>
        <v>2024</v>
      </c>
      <c r="AU22" s="57" t="str">
        <f t="shared" si="7"/>
        <v>24</v>
      </c>
      <c r="AV22" s="58">
        <f t="shared" si="8"/>
        <v>7</v>
      </c>
      <c r="AW22" s="58" t="str" cm="1">
        <f t="array" ref="AW22">_xlfn.IFS(AV22=$AR$3,$AQ$3,AV22=$AR$4,$AQ$4,AV22=$AR$5,$AQ$5,AV22=$AR$6,$AQ$6,AV22=$AR$7,$AQ$7,AV22=$AR$8,$AQ$8,AV22=$AR$9,$AQ$9,AV22=$AR$10,$AQ$10,AV22=$AR$11,$AQ$11,AV22=$AR$12,$AQ$12,AV22=$AR$13,$AQ$13,AV22=$AR$14,$AQ$14)</f>
        <v>N</v>
      </c>
      <c r="AY22" s="41" t="str">
        <f t="shared" si="9"/>
        <v>ADB N24-IUS</v>
      </c>
      <c r="AZ22" s="41" t="str">
        <f t="shared" si="9"/>
        <v>ADD N24-IUS</v>
      </c>
      <c r="BA22" s="41" t="str">
        <f t="shared" si="9"/>
        <v>HNG N24-IUS</v>
      </c>
      <c r="BB22" s="41" t="str">
        <f t="shared" si="9"/>
        <v>DOM N24-IUS</v>
      </c>
      <c r="BC22" s="41" t="str">
        <f t="shared" si="9"/>
        <v>TNC N24-IUS</v>
      </c>
    </row>
    <row r="23" spans="2:55">
      <c r="B23" s="33">
        <f t="shared" si="10"/>
        <v>45505</v>
      </c>
      <c r="D23" s="35"/>
      <c r="E23" s="41"/>
      <c r="F23" s="41"/>
      <c r="G23" s="41" t="str">
        <f t="shared" si="1"/>
        <v>ADB Q24-IUS</v>
      </c>
      <c r="H23" s="42">
        <v>61.45</v>
      </c>
      <c r="J23" s="33">
        <f t="shared" si="11"/>
        <v>45505</v>
      </c>
      <c r="K23" s="36"/>
      <c r="L23" s="35"/>
      <c r="M23" s="41"/>
      <c r="N23" s="41"/>
      <c r="O23" s="41" t="str">
        <f t="shared" si="2"/>
        <v>ADD Q24-IUS</v>
      </c>
      <c r="P23" s="42">
        <v>46.55</v>
      </c>
      <c r="R23" s="33">
        <f t="shared" si="12"/>
        <v>45505</v>
      </c>
      <c r="S23" s="36"/>
      <c r="T23" s="35"/>
      <c r="U23" s="41"/>
      <c r="V23" s="41"/>
      <c r="W23" s="41" t="str">
        <f t="shared" si="3"/>
        <v>HNG Q24-IUS</v>
      </c>
      <c r="X23" s="44">
        <v>4.3680000000000003</v>
      </c>
      <c r="Z23" s="33">
        <f t="shared" si="13"/>
        <v>45505</v>
      </c>
      <c r="AA23" s="36"/>
      <c r="AB23" s="35"/>
      <c r="AC23" s="41"/>
      <c r="AD23" s="41"/>
      <c r="AE23" s="41" t="str">
        <f t="shared" si="4"/>
        <v>DOM Q24-IUS</v>
      </c>
      <c r="AF23" s="44">
        <v>-1.1375</v>
      </c>
      <c r="AH23" s="33">
        <f t="shared" si="14"/>
        <v>45505</v>
      </c>
      <c r="AI23" s="36"/>
      <c r="AJ23" s="35"/>
      <c r="AK23" s="41"/>
      <c r="AL23" s="41"/>
      <c r="AM23" s="41" t="str">
        <f t="shared" si="5"/>
        <v>TNC Q24-IUS</v>
      </c>
      <c r="AN23" s="44">
        <v>-0.80500000000000005</v>
      </c>
      <c r="AT23" s="56">
        <f t="shared" si="6"/>
        <v>2024</v>
      </c>
      <c r="AU23" s="57" t="str">
        <f t="shared" si="7"/>
        <v>24</v>
      </c>
      <c r="AV23" s="58">
        <f t="shared" si="8"/>
        <v>8</v>
      </c>
      <c r="AW23" s="58" t="str" cm="1">
        <f t="array" ref="AW23">_xlfn.IFS(AV23=$AR$3,$AQ$3,AV23=$AR$4,$AQ$4,AV23=$AR$5,$AQ$5,AV23=$AR$6,$AQ$6,AV23=$AR$7,$AQ$7,AV23=$AR$8,$AQ$8,AV23=$AR$9,$AQ$9,AV23=$AR$10,$AQ$10,AV23=$AR$11,$AQ$11,AV23=$AR$12,$AQ$12,AV23=$AR$13,$AQ$13,AV23=$AR$14,$AQ$14)</f>
        <v>Q</v>
      </c>
      <c r="AY23" s="41" t="str">
        <f t="shared" si="9"/>
        <v>ADB Q24-IUS</v>
      </c>
      <c r="AZ23" s="41" t="str">
        <f t="shared" si="9"/>
        <v>ADD Q24-IUS</v>
      </c>
      <c r="BA23" s="41" t="str">
        <f t="shared" si="9"/>
        <v>HNG Q24-IUS</v>
      </c>
      <c r="BB23" s="41" t="str">
        <f t="shared" si="9"/>
        <v>DOM Q24-IUS</v>
      </c>
      <c r="BC23" s="41" t="str">
        <f t="shared" si="9"/>
        <v>TNC Q24-IUS</v>
      </c>
    </row>
    <row r="24" spans="2:55">
      <c r="B24" s="33">
        <f t="shared" si="10"/>
        <v>45536</v>
      </c>
      <c r="D24" s="35"/>
      <c r="E24" s="41"/>
      <c r="F24" s="41"/>
      <c r="G24" s="41" t="str">
        <f t="shared" si="1"/>
        <v>ADB U24-IUS</v>
      </c>
      <c r="H24" s="42">
        <v>81.2</v>
      </c>
      <c r="J24" s="33">
        <f t="shared" si="11"/>
        <v>45536</v>
      </c>
      <c r="K24" s="36"/>
      <c r="L24" s="35"/>
      <c r="M24" s="41"/>
      <c r="N24" s="41"/>
      <c r="O24" s="41" t="str">
        <f t="shared" si="2"/>
        <v>ADD U24-IUS</v>
      </c>
      <c r="P24" s="42">
        <v>71.599999999999994</v>
      </c>
      <c r="R24" s="33">
        <f t="shared" si="12"/>
        <v>45536</v>
      </c>
      <c r="S24" s="36"/>
      <c r="T24" s="35"/>
      <c r="U24" s="41"/>
      <c r="V24" s="41"/>
      <c r="W24" s="41" t="str">
        <f t="shared" si="3"/>
        <v>HNG U24-IUS</v>
      </c>
      <c r="X24" s="44">
        <v>4.3220000000000001</v>
      </c>
      <c r="Z24" s="33">
        <f t="shared" si="13"/>
        <v>45536</v>
      </c>
      <c r="AA24" s="36"/>
      <c r="AB24" s="35"/>
      <c r="AC24" s="41"/>
      <c r="AD24" s="41"/>
      <c r="AE24" s="41" t="str">
        <f t="shared" si="4"/>
        <v>DOM U24-IUS</v>
      </c>
      <c r="AF24" s="44">
        <v>-1.595</v>
      </c>
      <c r="AH24" s="33">
        <f t="shared" si="14"/>
        <v>45536</v>
      </c>
      <c r="AI24" s="36"/>
      <c r="AJ24" s="35"/>
      <c r="AK24" s="41"/>
      <c r="AL24" s="41"/>
      <c r="AM24" s="41" t="str">
        <f t="shared" si="5"/>
        <v>TNC U24-IUS</v>
      </c>
      <c r="AN24" s="44">
        <v>-1.21</v>
      </c>
      <c r="AT24" s="56">
        <f t="shared" si="6"/>
        <v>2024</v>
      </c>
      <c r="AU24" s="57" t="str">
        <f t="shared" si="7"/>
        <v>24</v>
      </c>
      <c r="AV24" s="58">
        <f t="shared" si="8"/>
        <v>9</v>
      </c>
      <c r="AW24" s="58" t="str" cm="1">
        <f t="array" ref="AW24">_xlfn.IFS(AV24=$AR$3,$AQ$3,AV24=$AR$4,$AQ$4,AV24=$AR$5,$AQ$5,AV24=$AR$6,$AQ$6,AV24=$AR$7,$AQ$7,AV24=$AR$8,$AQ$8,AV24=$AR$9,$AQ$9,AV24=$AR$10,$AQ$10,AV24=$AR$11,$AQ$11,AV24=$AR$12,$AQ$12,AV24=$AR$13,$AQ$13,AV24=$AR$14,$AQ$14)</f>
        <v>U</v>
      </c>
      <c r="AY24" s="41" t="str">
        <f t="shared" si="9"/>
        <v>ADB U24-IUS</v>
      </c>
      <c r="AZ24" s="41" t="str">
        <f t="shared" si="9"/>
        <v>ADD U24-IUS</v>
      </c>
      <c r="BA24" s="41" t="str">
        <f t="shared" si="9"/>
        <v>HNG U24-IUS</v>
      </c>
      <c r="BB24" s="41" t="str">
        <f t="shared" si="9"/>
        <v>DOM U24-IUS</v>
      </c>
      <c r="BC24" s="41" t="str">
        <f t="shared" si="9"/>
        <v>TNC U24-IUS</v>
      </c>
    </row>
    <row r="25" spans="2:55">
      <c r="B25" s="33">
        <f t="shared" si="10"/>
        <v>45566</v>
      </c>
      <c r="D25" s="35"/>
      <c r="E25" s="41"/>
      <c r="F25" s="41"/>
      <c r="G25" s="41" t="str">
        <f t="shared" si="1"/>
        <v>ADB V24-IUS</v>
      </c>
      <c r="H25" s="42">
        <v>55.65</v>
      </c>
      <c r="J25" s="33">
        <f t="shared" si="11"/>
        <v>45566</v>
      </c>
      <c r="K25" s="36"/>
      <c r="L25" s="35"/>
      <c r="M25" s="41"/>
      <c r="N25" s="41"/>
      <c r="O25" s="41" t="str">
        <f t="shared" si="2"/>
        <v>ADD V24-IUS</v>
      </c>
      <c r="P25" s="42">
        <v>44.2</v>
      </c>
      <c r="R25" s="33">
        <f t="shared" si="12"/>
        <v>45566</v>
      </c>
      <c r="S25" s="36"/>
      <c r="T25" s="35"/>
      <c r="U25" s="41"/>
      <c r="V25" s="41"/>
      <c r="W25" s="41" t="str">
        <f t="shared" si="3"/>
        <v>HNG V24-IUS</v>
      </c>
      <c r="X25" s="44">
        <v>4.4080000000000004</v>
      </c>
      <c r="Z25" s="33">
        <f t="shared" si="13"/>
        <v>45566</v>
      </c>
      <c r="AA25" s="36"/>
      <c r="AB25" s="35"/>
      <c r="AC25" s="41"/>
      <c r="AD25" s="41"/>
      <c r="AE25" s="41" t="str">
        <f t="shared" si="4"/>
        <v>DOM V24-IUS</v>
      </c>
      <c r="AF25" s="44">
        <v>-1.5625</v>
      </c>
      <c r="AH25" s="33">
        <f t="shared" si="14"/>
        <v>45566</v>
      </c>
      <c r="AI25" s="36"/>
      <c r="AJ25" s="35"/>
      <c r="AK25" s="41"/>
      <c r="AL25" s="41"/>
      <c r="AM25" s="41" t="str">
        <f t="shared" si="5"/>
        <v>TNC V24-IUS</v>
      </c>
      <c r="AN25" s="44">
        <v>-1.155</v>
      </c>
      <c r="AR25" s="34"/>
      <c r="AT25" s="56">
        <f t="shared" si="6"/>
        <v>2024</v>
      </c>
      <c r="AU25" s="57" t="str">
        <f t="shared" si="7"/>
        <v>24</v>
      </c>
      <c r="AV25" s="58">
        <f t="shared" si="8"/>
        <v>10</v>
      </c>
      <c r="AW25" s="58" t="str" cm="1">
        <f t="array" ref="AW25">_xlfn.IFS(AV25=$AR$3,$AQ$3,AV25=$AR$4,$AQ$4,AV25=$AR$5,$AQ$5,AV25=$AR$6,$AQ$6,AV25=$AR$7,$AQ$7,AV25=$AR$8,$AQ$8,AV25=$AR$9,$AQ$9,AV25=$AR$10,$AQ$10,AV25=$AR$11,$AQ$11,AV25=$AR$12,$AQ$12,AV25=$AR$13,$AQ$13,AV25=$AR$14,$AQ$14)</f>
        <v>V</v>
      </c>
      <c r="AY25" s="41" t="str">
        <f t="shared" si="9"/>
        <v>ADB V24-IUS</v>
      </c>
      <c r="AZ25" s="41" t="str">
        <f t="shared" si="9"/>
        <v>ADD V24-IUS</v>
      </c>
      <c r="BA25" s="41" t="str">
        <f t="shared" si="9"/>
        <v>HNG V24-IUS</v>
      </c>
      <c r="BB25" s="41" t="str">
        <f t="shared" si="9"/>
        <v>DOM V24-IUS</v>
      </c>
      <c r="BC25" s="41" t="str">
        <f t="shared" si="9"/>
        <v>TNC V24-IUS</v>
      </c>
    </row>
    <row r="26" spans="2:55">
      <c r="B26" s="33">
        <f t="shared" si="10"/>
        <v>45597</v>
      </c>
      <c r="D26" s="35"/>
      <c r="E26" s="41"/>
      <c r="F26" s="41"/>
      <c r="G26" s="41" t="str">
        <f t="shared" si="1"/>
        <v>ADB X24-IUS</v>
      </c>
      <c r="H26" s="42">
        <v>54.2</v>
      </c>
      <c r="J26" s="33">
        <f t="shared" si="11"/>
        <v>45597</v>
      </c>
      <c r="K26" s="36"/>
      <c r="L26" s="35"/>
      <c r="M26" s="41"/>
      <c r="N26" s="41"/>
      <c r="O26" s="41" t="str">
        <f t="shared" si="2"/>
        <v>ADD X24-IUS</v>
      </c>
      <c r="P26" s="42">
        <v>43.85</v>
      </c>
      <c r="R26" s="33">
        <f t="shared" si="12"/>
        <v>45597</v>
      </c>
      <c r="S26" s="36"/>
      <c r="T26" s="35"/>
      <c r="U26" s="41"/>
      <c r="V26" s="41"/>
      <c r="W26" s="41" t="str">
        <f t="shared" si="3"/>
        <v>HNG X24-IUS</v>
      </c>
      <c r="X26" s="44">
        <v>4.6870000000000003</v>
      </c>
      <c r="Z26" s="33">
        <f t="shared" si="13"/>
        <v>45597</v>
      </c>
      <c r="AA26" s="36"/>
      <c r="AB26" s="35"/>
      <c r="AC26" s="41"/>
      <c r="AD26" s="41"/>
      <c r="AE26" s="41" t="str">
        <f t="shared" si="4"/>
        <v>DOM X24-IUS</v>
      </c>
      <c r="AF26" s="44">
        <v>-1.0149999999999999</v>
      </c>
      <c r="AH26" s="33">
        <f t="shared" si="14"/>
        <v>45597</v>
      </c>
      <c r="AI26" s="36"/>
      <c r="AJ26" s="35"/>
      <c r="AK26" s="41"/>
      <c r="AL26" s="41"/>
      <c r="AM26" s="41" t="str">
        <f t="shared" si="5"/>
        <v>TNC X24-IUS</v>
      </c>
      <c r="AN26" s="44">
        <v>-0.6925</v>
      </c>
      <c r="AR26" s="34"/>
      <c r="AT26" s="56">
        <f t="shared" si="6"/>
        <v>2024</v>
      </c>
      <c r="AU26" s="57" t="str">
        <f t="shared" si="7"/>
        <v>24</v>
      </c>
      <c r="AV26" s="58">
        <f t="shared" si="8"/>
        <v>11</v>
      </c>
      <c r="AW26" s="58" t="str" cm="1">
        <f t="array" ref="AW26">_xlfn.IFS(AV26=$AR$3,$AQ$3,AV26=$AR$4,$AQ$4,AV26=$AR$5,$AQ$5,AV26=$AR$6,$AQ$6,AV26=$AR$7,$AQ$7,AV26=$AR$8,$AQ$8,AV26=$AR$9,$AQ$9,AV26=$AR$10,$AQ$10,AV26=$AR$11,$AQ$11,AV26=$AR$12,$AQ$12,AV26=$AR$13,$AQ$13,AV26=$AR$14,$AQ$14)</f>
        <v>X</v>
      </c>
      <c r="AY26" s="41" t="str">
        <f t="shared" si="9"/>
        <v>ADB X24-IUS</v>
      </c>
      <c r="AZ26" s="41" t="str">
        <f t="shared" si="9"/>
        <v>ADD X24-IUS</v>
      </c>
      <c r="BA26" s="41" t="str">
        <f t="shared" si="9"/>
        <v>HNG X24-IUS</v>
      </c>
      <c r="BB26" s="41" t="str">
        <f t="shared" si="9"/>
        <v>DOM X24-IUS</v>
      </c>
      <c r="BC26" s="41" t="str">
        <f t="shared" si="9"/>
        <v>TNC X24-IUS</v>
      </c>
    </row>
    <row r="27" spans="2:55">
      <c r="B27" s="33">
        <f t="shared" si="10"/>
        <v>45627</v>
      </c>
      <c r="D27" s="35"/>
      <c r="E27" s="41"/>
      <c r="F27" s="41"/>
      <c r="G27" s="41" t="str">
        <f t="shared" si="1"/>
        <v>ADB Z24-IUS</v>
      </c>
      <c r="H27" s="42">
        <v>56.4</v>
      </c>
      <c r="J27" s="33">
        <f t="shared" si="11"/>
        <v>45627</v>
      </c>
      <c r="K27" s="36"/>
      <c r="L27" s="35"/>
      <c r="M27" s="41"/>
      <c r="N27" s="41"/>
      <c r="O27" s="41" t="str">
        <f t="shared" si="2"/>
        <v>ADD Z24-IUS</v>
      </c>
      <c r="P27" s="42">
        <v>39.4</v>
      </c>
      <c r="R27" s="33">
        <f t="shared" si="12"/>
        <v>45627</v>
      </c>
      <c r="S27" s="36"/>
      <c r="T27" s="35"/>
      <c r="U27" s="41"/>
      <c r="V27" s="41"/>
      <c r="W27" s="41" t="str">
        <f t="shared" si="3"/>
        <v>HNG Z24-IUS</v>
      </c>
      <c r="X27" s="44">
        <v>5.1470000000000002</v>
      </c>
      <c r="Z27" s="33">
        <f t="shared" si="13"/>
        <v>45627</v>
      </c>
      <c r="AA27" s="36"/>
      <c r="AB27" s="35"/>
      <c r="AC27" s="41"/>
      <c r="AD27" s="41"/>
      <c r="AE27" s="41" t="str">
        <f t="shared" si="4"/>
        <v>DOM Z24-IUS</v>
      </c>
      <c r="AF27" s="44">
        <v>-0.84250000000000003</v>
      </c>
      <c r="AH27" s="33">
        <f t="shared" si="14"/>
        <v>45627</v>
      </c>
      <c r="AI27" s="36"/>
      <c r="AJ27" s="35"/>
      <c r="AK27" s="41"/>
      <c r="AL27" s="41"/>
      <c r="AM27" s="41" t="str">
        <f t="shared" si="5"/>
        <v>TNC Z24-IUS</v>
      </c>
      <c r="AN27" s="44">
        <v>-0.52249999999999996</v>
      </c>
      <c r="AR27" s="34"/>
      <c r="AT27" s="56">
        <f t="shared" si="6"/>
        <v>2024</v>
      </c>
      <c r="AU27" s="57" t="str">
        <f t="shared" si="7"/>
        <v>24</v>
      </c>
      <c r="AV27" s="58">
        <f t="shared" si="8"/>
        <v>12</v>
      </c>
      <c r="AW27" s="58" t="str" cm="1">
        <f t="array" ref="AW27">_xlfn.IFS(AV27=$AR$3,$AQ$3,AV27=$AR$4,$AQ$4,AV27=$AR$5,$AQ$5,AV27=$AR$6,$AQ$6,AV27=$AR$7,$AQ$7,AV27=$AR$8,$AQ$8,AV27=$AR$9,$AQ$9,AV27=$AR$10,$AQ$10,AV27=$AR$11,$AQ$11,AV27=$AR$12,$AQ$12,AV27=$AR$13,$AQ$13,AV27=$AR$14,$AQ$14)</f>
        <v>Z</v>
      </c>
      <c r="AY27" s="41" t="str">
        <f t="shared" si="9"/>
        <v>ADB Z24-IUS</v>
      </c>
      <c r="AZ27" s="41" t="str">
        <f t="shared" si="9"/>
        <v>ADD Z24-IUS</v>
      </c>
      <c r="BA27" s="41" t="str">
        <f t="shared" si="9"/>
        <v>HNG Z24-IUS</v>
      </c>
      <c r="BB27" s="41" t="str">
        <f t="shared" si="9"/>
        <v>DOM Z24-IUS</v>
      </c>
      <c r="BC27" s="41" t="str">
        <f t="shared" si="9"/>
        <v>TNC Z24-IUS</v>
      </c>
    </row>
    <row r="28" spans="2:55">
      <c r="B28" s="33">
        <f t="shared" si="10"/>
        <v>45658</v>
      </c>
      <c r="D28" s="35"/>
      <c r="E28" s="41"/>
      <c r="F28" s="41"/>
      <c r="G28" s="41" t="str">
        <f t="shared" si="1"/>
        <v>ADB F25-IUS</v>
      </c>
      <c r="H28" s="42">
        <v>70.400000000000006</v>
      </c>
      <c r="J28" s="33">
        <f t="shared" si="11"/>
        <v>45658</v>
      </c>
      <c r="K28" s="36"/>
      <c r="L28" s="35"/>
      <c r="M28" s="41"/>
      <c r="N28" s="41"/>
      <c r="O28" s="41" t="str">
        <f t="shared" si="2"/>
        <v>ADD F25-IUS</v>
      </c>
      <c r="P28" s="42">
        <v>42.9</v>
      </c>
      <c r="R28" s="33">
        <f t="shared" si="12"/>
        <v>45658</v>
      </c>
      <c r="S28" s="36"/>
      <c r="T28" s="35"/>
      <c r="U28" s="41"/>
      <c r="V28" s="41"/>
      <c r="W28" s="41" t="str">
        <f t="shared" si="3"/>
        <v>HNG F25-IUS</v>
      </c>
      <c r="X28" s="44">
        <v>5.4249999999999998</v>
      </c>
      <c r="Z28" s="33">
        <f t="shared" si="13"/>
        <v>45658</v>
      </c>
      <c r="AA28" s="36"/>
      <c r="AB28" s="35"/>
      <c r="AC28" s="41"/>
      <c r="AD28" s="41"/>
      <c r="AE28" s="41" t="str">
        <f t="shared" si="4"/>
        <v>DOM F25-IUS</v>
      </c>
      <c r="AF28" s="44">
        <v>-0.7</v>
      </c>
      <c r="AH28" s="33">
        <f t="shared" si="14"/>
        <v>45658</v>
      </c>
      <c r="AI28" s="36"/>
      <c r="AJ28" s="35"/>
      <c r="AK28" s="41"/>
      <c r="AL28" s="41"/>
      <c r="AM28" s="41" t="str">
        <f t="shared" si="5"/>
        <v>TNC F25-IUS</v>
      </c>
      <c r="AN28" s="44">
        <v>-0.375</v>
      </c>
      <c r="AQ28" s="36"/>
      <c r="AR28" s="36"/>
      <c r="AT28" s="56">
        <f t="shared" si="6"/>
        <v>2025</v>
      </c>
      <c r="AU28" s="57" t="str">
        <f t="shared" si="7"/>
        <v>25</v>
      </c>
      <c r="AV28" s="58">
        <f t="shared" si="8"/>
        <v>1</v>
      </c>
      <c r="AW28" s="58" t="str" cm="1">
        <f t="array" ref="AW28">_xlfn.IFS(AV28=$AR$3,$AQ$3,AV28=$AR$4,$AQ$4,AV28=$AR$5,$AQ$5,AV28=$AR$6,$AQ$6,AV28=$AR$7,$AQ$7,AV28=$AR$8,$AQ$8,AV28=$AR$9,$AQ$9,AV28=$AR$10,$AQ$10,AV28=$AR$11,$AQ$11,AV28=$AR$12,$AQ$12,AV28=$AR$13,$AQ$13,AV28=$AR$14,$AQ$14)</f>
        <v>F</v>
      </c>
      <c r="AY28" s="41" t="str">
        <f t="shared" si="9"/>
        <v>ADB F25-IUS</v>
      </c>
      <c r="AZ28" s="41" t="str">
        <f t="shared" si="9"/>
        <v>ADD F25-IUS</v>
      </c>
      <c r="BA28" s="41" t="str">
        <f t="shared" si="9"/>
        <v>HNG F25-IUS</v>
      </c>
      <c r="BB28" s="41" t="str">
        <f t="shared" si="9"/>
        <v>DOM F25-IUS</v>
      </c>
      <c r="BC28" s="41" t="str">
        <f t="shared" si="9"/>
        <v>TNC F25-IUS</v>
      </c>
    </row>
    <row r="29" spans="2:55">
      <c r="B29" s="33">
        <f t="shared" si="10"/>
        <v>45689</v>
      </c>
      <c r="D29" s="35"/>
      <c r="E29" s="41"/>
      <c r="F29" s="41"/>
      <c r="G29" s="41" t="str">
        <f t="shared" si="1"/>
        <v>ADB G25-IUS</v>
      </c>
      <c r="H29" s="42">
        <v>60.15</v>
      </c>
      <c r="J29" s="33">
        <f t="shared" si="11"/>
        <v>45689</v>
      </c>
      <c r="K29" s="36"/>
      <c r="L29" s="35"/>
      <c r="M29" s="41"/>
      <c r="N29" s="41"/>
      <c r="O29" s="41" t="str">
        <f t="shared" si="2"/>
        <v>ADD G25-IUS</v>
      </c>
      <c r="P29" s="42">
        <v>36.9</v>
      </c>
      <c r="R29" s="33">
        <f t="shared" si="12"/>
        <v>45689</v>
      </c>
      <c r="S29" s="36"/>
      <c r="T29" s="35"/>
      <c r="U29" s="41"/>
      <c r="V29" s="41"/>
      <c r="W29" s="41" t="str">
        <f t="shared" si="3"/>
        <v>HNG G25-IUS</v>
      </c>
      <c r="X29" s="44">
        <v>5.2220000000000004</v>
      </c>
      <c r="Z29" s="33">
        <f t="shared" si="13"/>
        <v>45689</v>
      </c>
      <c r="AA29" s="36"/>
      <c r="AB29" s="35"/>
      <c r="AC29" s="41"/>
      <c r="AD29" s="41"/>
      <c r="AE29" s="41" t="str">
        <f t="shared" si="4"/>
        <v>DOM G25-IUS</v>
      </c>
      <c r="AF29" s="44">
        <v>-0.62</v>
      </c>
      <c r="AH29" s="33">
        <f t="shared" si="14"/>
        <v>45689</v>
      </c>
      <c r="AI29" s="36"/>
      <c r="AJ29" s="35"/>
      <c r="AK29" s="41"/>
      <c r="AL29" s="41"/>
      <c r="AM29" s="41" t="str">
        <f t="shared" si="5"/>
        <v>TNC G25-IUS</v>
      </c>
      <c r="AN29" s="44">
        <v>-0.3175</v>
      </c>
      <c r="AR29" s="36"/>
      <c r="AT29" s="56">
        <f t="shared" si="6"/>
        <v>2025</v>
      </c>
      <c r="AU29" s="57" t="str">
        <f t="shared" si="7"/>
        <v>25</v>
      </c>
      <c r="AV29" s="58">
        <f t="shared" si="8"/>
        <v>2</v>
      </c>
      <c r="AW29" s="58" t="str" cm="1">
        <f t="array" ref="AW29">_xlfn.IFS(AV29=$AR$3,$AQ$3,AV29=$AR$4,$AQ$4,AV29=$AR$5,$AQ$5,AV29=$AR$6,$AQ$6,AV29=$AR$7,$AQ$7,AV29=$AR$8,$AQ$8,AV29=$AR$9,$AQ$9,AV29=$AR$10,$AQ$10,AV29=$AR$11,$AQ$11,AV29=$AR$12,$AQ$12,AV29=$AR$13,$AQ$13,AV29=$AR$14,$AQ$14)</f>
        <v>G</v>
      </c>
      <c r="AY29" s="41" t="str">
        <f t="shared" si="9"/>
        <v>ADB G25-IUS</v>
      </c>
      <c r="AZ29" s="41" t="str">
        <f t="shared" si="9"/>
        <v>ADD G25-IUS</v>
      </c>
      <c r="BA29" s="41" t="str">
        <f t="shared" si="9"/>
        <v>HNG G25-IUS</v>
      </c>
      <c r="BB29" s="41" t="str">
        <f t="shared" si="9"/>
        <v>DOM G25-IUS</v>
      </c>
      <c r="BC29" s="41" t="str">
        <f t="shared" si="9"/>
        <v>TNC G25-IUS</v>
      </c>
    </row>
    <row r="30" spans="2:55">
      <c r="B30" s="33">
        <f t="shared" si="10"/>
        <v>45717</v>
      </c>
      <c r="D30" s="35"/>
      <c r="E30" s="41"/>
      <c r="F30" s="41"/>
      <c r="G30" s="41" t="str">
        <f t="shared" si="1"/>
        <v>ADB H25-IUS</v>
      </c>
      <c r="H30" s="42">
        <v>58.45</v>
      </c>
      <c r="J30" s="33">
        <f t="shared" si="11"/>
        <v>45717</v>
      </c>
      <c r="K30" s="36"/>
      <c r="L30" s="35"/>
      <c r="M30" s="41"/>
      <c r="N30" s="41"/>
      <c r="O30" s="41" t="str">
        <f t="shared" si="2"/>
        <v>ADD H25-IUS</v>
      </c>
      <c r="P30" s="42">
        <v>39.25</v>
      </c>
      <c r="R30" s="33">
        <f t="shared" si="12"/>
        <v>45717</v>
      </c>
      <c r="S30" s="36"/>
      <c r="T30" s="35"/>
      <c r="U30" s="41"/>
      <c r="V30" s="41"/>
      <c r="W30" s="41" t="str">
        <f t="shared" si="3"/>
        <v>HNG H25-IUS</v>
      </c>
      <c r="X30" s="44">
        <v>4.7839999999999998</v>
      </c>
      <c r="Z30" s="33">
        <f t="shared" si="13"/>
        <v>45717</v>
      </c>
      <c r="AA30" s="36"/>
      <c r="AB30" s="35"/>
      <c r="AC30" s="41"/>
      <c r="AD30" s="41"/>
      <c r="AE30" s="41" t="str">
        <f t="shared" si="4"/>
        <v>DOM H25-IUS</v>
      </c>
      <c r="AF30" s="44">
        <v>-0.63249999999999995</v>
      </c>
      <c r="AH30" s="33">
        <f t="shared" si="14"/>
        <v>45717</v>
      </c>
      <c r="AI30" s="36"/>
      <c r="AJ30" s="35"/>
      <c r="AK30" s="41"/>
      <c r="AL30" s="41"/>
      <c r="AM30" s="41" t="str">
        <f t="shared" si="5"/>
        <v>TNC H25-IUS</v>
      </c>
      <c r="AN30" s="44">
        <v>-0.28999999999999998</v>
      </c>
      <c r="AR30" s="36"/>
      <c r="AT30" s="56">
        <f t="shared" si="6"/>
        <v>2025</v>
      </c>
      <c r="AU30" s="57" t="str">
        <f t="shared" si="7"/>
        <v>25</v>
      </c>
      <c r="AV30" s="58">
        <f t="shared" si="8"/>
        <v>3</v>
      </c>
      <c r="AW30" s="58" t="str" cm="1">
        <f t="array" ref="AW30">_xlfn.IFS(AV30=$AR$3,$AQ$3,AV30=$AR$4,$AQ$4,AV30=$AR$5,$AQ$5,AV30=$AR$6,$AQ$6,AV30=$AR$7,$AQ$7,AV30=$AR$8,$AQ$8,AV30=$AR$9,$AQ$9,AV30=$AR$10,$AQ$10,AV30=$AR$11,$AQ$11,AV30=$AR$12,$AQ$12,AV30=$AR$13,$AQ$13,AV30=$AR$14,$AQ$14)</f>
        <v>H</v>
      </c>
      <c r="AY30" s="41" t="str">
        <f t="shared" si="9"/>
        <v>ADB H25-IUS</v>
      </c>
      <c r="AZ30" s="41" t="str">
        <f t="shared" si="9"/>
        <v>ADD H25-IUS</v>
      </c>
      <c r="BA30" s="41" t="str">
        <f t="shared" si="9"/>
        <v>HNG H25-IUS</v>
      </c>
      <c r="BB30" s="41" t="str">
        <f t="shared" si="9"/>
        <v>DOM H25-IUS</v>
      </c>
      <c r="BC30" s="41" t="str">
        <f t="shared" si="9"/>
        <v>TNC H25-IUS</v>
      </c>
    </row>
    <row r="31" spans="2:55">
      <c r="B31" s="33">
        <f t="shared" si="10"/>
        <v>45748</v>
      </c>
      <c r="D31" s="35"/>
      <c r="E31" s="41"/>
      <c r="F31" s="41"/>
      <c r="G31" s="41" t="str">
        <f t="shared" si="1"/>
        <v>ADB J25-IUS</v>
      </c>
      <c r="H31" s="42">
        <v>52.7</v>
      </c>
      <c r="J31" s="33">
        <f t="shared" si="11"/>
        <v>45748</v>
      </c>
      <c r="K31" s="36"/>
      <c r="L31" s="35"/>
      <c r="M31" s="41"/>
      <c r="N31" s="41"/>
      <c r="O31" s="41" t="str">
        <f t="shared" si="2"/>
        <v>ADD J25-IUS</v>
      </c>
      <c r="P31" s="42">
        <v>36.6</v>
      </c>
      <c r="R31" s="33">
        <f t="shared" si="12"/>
        <v>45748</v>
      </c>
      <c r="S31" s="36"/>
      <c r="T31" s="35"/>
      <c r="U31" s="41"/>
      <c r="V31" s="41"/>
      <c r="W31" s="41" t="str">
        <f t="shared" si="3"/>
        <v>HNG J25-IUS</v>
      </c>
      <c r="X31" s="44">
        <v>4.1980000000000004</v>
      </c>
      <c r="Z31" s="33">
        <f t="shared" si="13"/>
        <v>45748</v>
      </c>
      <c r="AA31" s="36"/>
      <c r="AB31" s="35"/>
      <c r="AC31" s="41"/>
      <c r="AD31" s="41"/>
      <c r="AE31" s="41" t="str">
        <f t="shared" si="4"/>
        <v>DOM J25-IUS</v>
      </c>
      <c r="AF31" s="44">
        <v>-0.77249999999999996</v>
      </c>
      <c r="AH31" s="33">
        <f t="shared" si="14"/>
        <v>45748</v>
      </c>
      <c r="AI31" s="36"/>
      <c r="AJ31" s="35"/>
      <c r="AK31" s="41"/>
      <c r="AL31" s="41"/>
      <c r="AM31" s="41" t="str">
        <f t="shared" si="5"/>
        <v>TNC J25-IUS</v>
      </c>
      <c r="AN31" s="44">
        <v>-0.35249999999999998</v>
      </c>
      <c r="AR31" s="36"/>
      <c r="AT31" s="56">
        <f t="shared" si="6"/>
        <v>2025</v>
      </c>
      <c r="AU31" s="57" t="str">
        <f t="shared" si="7"/>
        <v>25</v>
      </c>
      <c r="AV31" s="58">
        <f t="shared" si="8"/>
        <v>4</v>
      </c>
      <c r="AW31" s="58" t="str" cm="1">
        <f t="array" ref="AW31">_xlfn.IFS(AV31=$AR$3,$AQ$3,AV31=$AR$4,$AQ$4,AV31=$AR$5,$AQ$5,AV31=$AR$6,$AQ$6,AV31=$AR$7,$AQ$7,AV31=$AR$8,$AQ$8,AV31=$AR$9,$AQ$9,AV31=$AR$10,$AQ$10,AV31=$AR$11,$AQ$11,AV31=$AR$12,$AQ$12,AV31=$AR$13,$AQ$13,AV31=$AR$14,$AQ$14)</f>
        <v>J</v>
      </c>
      <c r="AY31" s="41" t="str">
        <f t="shared" si="9"/>
        <v>ADB J25-IUS</v>
      </c>
      <c r="AZ31" s="41" t="str">
        <f t="shared" si="9"/>
        <v>ADD J25-IUS</v>
      </c>
      <c r="BA31" s="41" t="str">
        <f t="shared" si="9"/>
        <v>HNG J25-IUS</v>
      </c>
      <c r="BB31" s="41" t="str">
        <f t="shared" si="9"/>
        <v>DOM J25-IUS</v>
      </c>
      <c r="BC31" s="41" t="str">
        <f t="shared" si="9"/>
        <v>TNC J25-IUS</v>
      </c>
    </row>
    <row r="32" spans="2:55">
      <c r="B32" s="33">
        <f t="shared" si="10"/>
        <v>45778</v>
      </c>
      <c r="D32" s="35"/>
      <c r="E32" s="41"/>
      <c r="F32" s="41"/>
      <c r="G32" s="41" t="str">
        <f t="shared" si="1"/>
        <v>ADB K25-IUS</v>
      </c>
      <c r="H32" s="42">
        <v>57.2</v>
      </c>
      <c r="J32" s="33">
        <f t="shared" si="11"/>
        <v>45778</v>
      </c>
      <c r="K32" s="36"/>
      <c r="L32" s="35"/>
      <c r="M32" s="41"/>
      <c r="N32" s="41"/>
      <c r="O32" s="41" t="str">
        <f t="shared" si="2"/>
        <v>ADD K25-IUS</v>
      </c>
      <c r="P32" s="42">
        <v>41.05</v>
      </c>
      <c r="R32" s="33">
        <f t="shared" si="12"/>
        <v>45778</v>
      </c>
      <c r="S32" s="36"/>
      <c r="T32" s="35"/>
      <c r="U32" s="41"/>
      <c r="V32" s="41"/>
      <c r="W32" s="41" t="str">
        <f t="shared" si="3"/>
        <v>HNG K25-IUS</v>
      </c>
      <c r="X32" s="44">
        <v>4.1479999999999997</v>
      </c>
      <c r="Z32" s="33">
        <f t="shared" si="13"/>
        <v>45778</v>
      </c>
      <c r="AA32" s="36"/>
      <c r="AB32" s="35"/>
      <c r="AC32" s="41"/>
      <c r="AD32" s="41"/>
      <c r="AE32" s="41" t="str">
        <f t="shared" si="4"/>
        <v>DOM K25-IUS</v>
      </c>
      <c r="AF32" s="44">
        <v>-1.0549999999999999</v>
      </c>
      <c r="AH32" s="33">
        <f t="shared" si="14"/>
        <v>45778</v>
      </c>
      <c r="AI32" s="36"/>
      <c r="AJ32" s="35"/>
      <c r="AK32" s="41"/>
      <c r="AL32" s="41"/>
      <c r="AM32" s="41" t="str">
        <f t="shared" si="5"/>
        <v>TNC K25-IUS</v>
      </c>
      <c r="AN32" s="44">
        <v>-0.60750000000000004</v>
      </c>
      <c r="AT32" s="56">
        <f t="shared" si="6"/>
        <v>2025</v>
      </c>
      <c r="AU32" s="57" t="str">
        <f t="shared" si="7"/>
        <v>25</v>
      </c>
      <c r="AV32" s="58">
        <f t="shared" si="8"/>
        <v>5</v>
      </c>
      <c r="AW32" s="58" t="str" cm="1">
        <f t="array" ref="AW32">_xlfn.IFS(AV32=$AR$3,$AQ$3,AV32=$AR$4,$AQ$4,AV32=$AR$5,$AQ$5,AV32=$AR$6,$AQ$6,AV32=$AR$7,$AQ$7,AV32=$AR$8,$AQ$8,AV32=$AR$9,$AQ$9,AV32=$AR$10,$AQ$10,AV32=$AR$11,$AQ$11,AV32=$AR$12,$AQ$12,AV32=$AR$13,$AQ$13,AV32=$AR$14,$AQ$14)</f>
        <v>K</v>
      </c>
      <c r="AY32" s="41" t="str">
        <f t="shared" si="9"/>
        <v>ADB K25-IUS</v>
      </c>
      <c r="AZ32" s="41" t="str">
        <f t="shared" si="9"/>
        <v>ADD K25-IUS</v>
      </c>
      <c r="BA32" s="41" t="str">
        <f t="shared" si="9"/>
        <v>HNG K25-IUS</v>
      </c>
      <c r="BB32" s="41" t="str">
        <f t="shared" si="9"/>
        <v>DOM K25-IUS</v>
      </c>
      <c r="BC32" s="41" t="str">
        <f t="shared" si="9"/>
        <v>TNC K25-IUS</v>
      </c>
    </row>
    <row r="33" spans="2:55">
      <c r="B33" s="33">
        <f t="shared" si="10"/>
        <v>45809</v>
      </c>
      <c r="D33" s="35"/>
      <c r="E33" s="41"/>
      <c r="F33" s="41"/>
      <c r="G33" s="41" t="str">
        <f t="shared" si="1"/>
        <v>ADB M25-IUS</v>
      </c>
      <c r="H33" s="42">
        <v>96.9</v>
      </c>
      <c r="J33" s="33">
        <f t="shared" si="11"/>
        <v>45809</v>
      </c>
      <c r="K33" s="36"/>
      <c r="L33" s="35"/>
      <c r="M33" s="41"/>
      <c r="N33" s="41"/>
      <c r="O33" s="41" t="str">
        <f t="shared" si="2"/>
        <v>ADD M25-IUS</v>
      </c>
      <c r="P33" s="42">
        <v>83.95</v>
      </c>
      <c r="R33" s="33">
        <f t="shared" si="12"/>
        <v>45809</v>
      </c>
      <c r="S33" s="36"/>
      <c r="T33" s="35"/>
      <c r="U33" s="41"/>
      <c r="V33" s="41"/>
      <c r="W33" s="41" t="str">
        <f t="shared" si="3"/>
        <v>HNG M25-IUS</v>
      </c>
      <c r="X33" s="44">
        <v>4.2249999999999996</v>
      </c>
      <c r="Z33" s="33">
        <f t="shared" si="13"/>
        <v>45809</v>
      </c>
      <c r="AA33" s="36"/>
      <c r="AB33" s="35"/>
      <c r="AC33" s="41"/>
      <c r="AD33" s="41"/>
      <c r="AE33" s="41" t="str">
        <f t="shared" si="4"/>
        <v>DOM M25-IUS</v>
      </c>
      <c r="AF33" s="44">
        <v>-1.06</v>
      </c>
      <c r="AH33" s="33">
        <f t="shared" si="14"/>
        <v>45809</v>
      </c>
      <c r="AI33" s="36"/>
      <c r="AJ33" s="35"/>
      <c r="AK33" s="41"/>
      <c r="AL33" s="41"/>
      <c r="AM33" s="41" t="str">
        <f t="shared" si="5"/>
        <v>TNC M25-IUS</v>
      </c>
      <c r="AN33" s="44">
        <v>-0.71499999999999997</v>
      </c>
      <c r="AT33" s="56">
        <f t="shared" si="6"/>
        <v>2025</v>
      </c>
      <c r="AU33" s="57" t="str">
        <f t="shared" si="7"/>
        <v>25</v>
      </c>
      <c r="AV33" s="58">
        <f t="shared" si="8"/>
        <v>6</v>
      </c>
      <c r="AW33" s="58" t="str" cm="1">
        <f t="array" ref="AW33">_xlfn.IFS(AV33=$AR$3,$AQ$3,AV33=$AR$4,$AQ$4,AV33=$AR$5,$AQ$5,AV33=$AR$6,$AQ$6,AV33=$AR$7,$AQ$7,AV33=$AR$8,$AQ$8,AV33=$AR$9,$AQ$9,AV33=$AR$10,$AQ$10,AV33=$AR$11,$AQ$11,AV33=$AR$12,$AQ$12,AV33=$AR$13,$AQ$13,AV33=$AR$14,$AQ$14)</f>
        <v>M</v>
      </c>
      <c r="AY33" s="41" t="str">
        <f t="shared" si="9"/>
        <v>ADB M25-IUS</v>
      </c>
      <c r="AZ33" s="41" t="str">
        <f t="shared" si="9"/>
        <v>ADD M25-IUS</v>
      </c>
      <c r="BA33" s="41" t="str">
        <f t="shared" si="9"/>
        <v>HNG M25-IUS</v>
      </c>
      <c r="BB33" s="41" t="str">
        <f t="shared" si="9"/>
        <v>DOM M25-IUS</v>
      </c>
      <c r="BC33" s="41" t="str">
        <f t="shared" si="9"/>
        <v>TNC M25-IUS</v>
      </c>
    </row>
    <row r="34" spans="2:55">
      <c r="B34" s="33">
        <f t="shared" si="10"/>
        <v>45839</v>
      </c>
      <c r="D34" s="35"/>
      <c r="E34" s="41"/>
      <c r="F34" s="41"/>
      <c r="G34" s="41" t="str">
        <f t="shared" si="1"/>
        <v>ADB N25-IUS</v>
      </c>
      <c r="H34" s="42">
        <v>82.45</v>
      </c>
      <c r="J34" s="33">
        <f t="shared" si="11"/>
        <v>45839</v>
      </c>
      <c r="K34" s="36"/>
      <c r="L34" s="35"/>
      <c r="M34" s="41"/>
      <c r="N34" s="41"/>
      <c r="O34" s="41" t="str">
        <f t="shared" si="2"/>
        <v>ADD N25-IUS</v>
      </c>
      <c r="P34" s="42">
        <v>67.55</v>
      </c>
      <c r="R34" s="33">
        <f t="shared" si="12"/>
        <v>45839</v>
      </c>
      <c r="S34" s="36"/>
      <c r="T34" s="35"/>
      <c r="U34" s="41"/>
      <c r="V34" s="41"/>
      <c r="W34" s="41" t="str">
        <f t="shared" si="3"/>
        <v>HNG N25-IUS</v>
      </c>
      <c r="X34" s="44">
        <v>4.3109999999999999</v>
      </c>
      <c r="Z34" s="33">
        <f t="shared" si="13"/>
        <v>45839</v>
      </c>
      <c r="AA34" s="36"/>
      <c r="AB34" s="35"/>
      <c r="AC34" s="41"/>
      <c r="AD34" s="41"/>
      <c r="AE34" s="41" t="str">
        <f t="shared" si="4"/>
        <v>DOM N25-IUS</v>
      </c>
      <c r="AF34" s="44">
        <v>-1.1875</v>
      </c>
      <c r="AH34" s="33">
        <f t="shared" si="14"/>
        <v>45839</v>
      </c>
      <c r="AI34" s="36"/>
      <c r="AJ34" s="35"/>
      <c r="AK34" s="41"/>
      <c r="AL34" s="41"/>
      <c r="AM34" s="41" t="str">
        <f t="shared" si="5"/>
        <v>TNC N25-IUS</v>
      </c>
      <c r="AN34" s="44">
        <v>-0.80500000000000005</v>
      </c>
      <c r="AT34" s="56">
        <f t="shared" si="6"/>
        <v>2025</v>
      </c>
      <c r="AU34" s="57" t="str">
        <f t="shared" si="7"/>
        <v>25</v>
      </c>
      <c r="AV34" s="58">
        <f t="shared" si="8"/>
        <v>7</v>
      </c>
      <c r="AW34" s="58" t="str" cm="1">
        <f t="array" ref="AW34">_xlfn.IFS(AV34=$AR$3,$AQ$3,AV34=$AR$4,$AQ$4,AV34=$AR$5,$AQ$5,AV34=$AR$6,$AQ$6,AV34=$AR$7,$AQ$7,AV34=$AR$8,$AQ$8,AV34=$AR$9,$AQ$9,AV34=$AR$10,$AQ$10,AV34=$AR$11,$AQ$11,AV34=$AR$12,$AQ$12,AV34=$AR$13,$AQ$13,AV34=$AR$14,$AQ$14)</f>
        <v>N</v>
      </c>
      <c r="AY34" s="41" t="str">
        <f t="shared" si="9"/>
        <v>ADB N25-IUS</v>
      </c>
      <c r="AZ34" s="41" t="str">
        <f t="shared" si="9"/>
        <v>ADD N25-IUS</v>
      </c>
      <c r="BA34" s="41" t="str">
        <f t="shared" si="9"/>
        <v>HNG N25-IUS</v>
      </c>
      <c r="BB34" s="41" t="str">
        <f t="shared" si="9"/>
        <v>DOM N25-IUS</v>
      </c>
      <c r="BC34" s="41" t="str">
        <f t="shared" si="9"/>
        <v>TNC N25-IUS</v>
      </c>
    </row>
    <row r="35" spans="2:55">
      <c r="B35" s="33">
        <f t="shared" si="10"/>
        <v>45870</v>
      </c>
      <c r="D35" s="35"/>
      <c r="E35" s="41"/>
      <c r="F35" s="41"/>
      <c r="G35" s="41" t="str">
        <f t="shared" si="1"/>
        <v>ADB Q25-IUS</v>
      </c>
      <c r="H35" s="42">
        <v>57.85</v>
      </c>
      <c r="J35" s="33">
        <f t="shared" si="11"/>
        <v>45870</v>
      </c>
      <c r="K35" s="36"/>
      <c r="L35" s="35"/>
      <c r="M35" s="41"/>
      <c r="N35" s="41"/>
      <c r="O35" s="41" t="str">
        <f t="shared" si="2"/>
        <v>ADD Q25-IUS</v>
      </c>
      <c r="P35" s="42">
        <v>45.6</v>
      </c>
      <c r="R35" s="33">
        <f t="shared" si="12"/>
        <v>45870</v>
      </c>
      <c r="S35" s="36"/>
      <c r="T35" s="35"/>
      <c r="U35" s="41"/>
      <c r="V35" s="41"/>
      <c r="W35" s="41" t="str">
        <f t="shared" si="3"/>
        <v>HNG Q25-IUS</v>
      </c>
      <c r="X35" s="44">
        <v>4.3570000000000002</v>
      </c>
      <c r="Z35" s="33">
        <f t="shared" si="13"/>
        <v>45870</v>
      </c>
      <c r="AA35" s="36"/>
      <c r="AB35" s="35"/>
      <c r="AC35" s="41"/>
      <c r="AD35" s="41"/>
      <c r="AE35" s="41" t="str">
        <f t="shared" si="4"/>
        <v>DOM Q25-IUS</v>
      </c>
      <c r="AF35" s="44">
        <v>-1.28</v>
      </c>
      <c r="AH35" s="33">
        <f t="shared" si="14"/>
        <v>45870</v>
      </c>
      <c r="AI35" s="36"/>
      <c r="AJ35" s="35"/>
      <c r="AK35" s="41"/>
      <c r="AL35" s="41"/>
      <c r="AM35" s="41" t="str">
        <f t="shared" si="5"/>
        <v>TNC Q25-IUS</v>
      </c>
      <c r="AN35" s="44">
        <v>-0.86499999999999999</v>
      </c>
      <c r="AT35" s="56">
        <f t="shared" si="6"/>
        <v>2025</v>
      </c>
      <c r="AU35" s="57" t="str">
        <f t="shared" si="7"/>
        <v>25</v>
      </c>
      <c r="AV35" s="58">
        <f t="shared" si="8"/>
        <v>8</v>
      </c>
      <c r="AW35" s="58" t="str" cm="1">
        <f t="array" ref="AW35">_xlfn.IFS(AV35=$AR$3,$AQ$3,AV35=$AR$4,$AQ$4,AV35=$AR$5,$AQ$5,AV35=$AR$6,$AQ$6,AV35=$AR$7,$AQ$7,AV35=$AR$8,$AQ$8,AV35=$AR$9,$AQ$9,AV35=$AR$10,$AQ$10,AV35=$AR$11,$AQ$11,AV35=$AR$12,$AQ$12,AV35=$AR$13,$AQ$13,AV35=$AR$14,$AQ$14)</f>
        <v>Q</v>
      </c>
      <c r="AY35" s="41" t="str">
        <f t="shared" si="9"/>
        <v>ADB Q25-IUS</v>
      </c>
      <c r="AZ35" s="41" t="str">
        <f t="shared" si="9"/>
        <v>ADD Q25-IUS</v>
      </c>
      <c r="BA35" s="41" t="str">
        <f t="shared" si="9"/>
        <v>HNG Q25-IUS</v>
      </c>
      <c r="BB35" s="41" t="str">
        <f t="shared" si="9"/>
        <v>DOM Q25-IUS</v>
      </c>
      <c r="BC35" s="41" t="str">
        <f t="shared" si="9"/>
        <v>TNC Q25-IUS</v>
      </c>
    </row>
    <row r="36" spans="2:55">
      <c r="B36" s="33">
        <f t="shared" si="10"/>
        <v>45901</v>
      </c>
      <c r="D36" s="35"/>
      <c r="E36" s="41"/>
      <c r="F36" s="41"/>
      <c r="G36" s="41" t="str">
        <f t="shared" si="1"/>
        <v>ADB U25-IUS</v>
      </c>
      <c r="H36" s="42">
        <v>56.5</v>
      </c>
      <c r="J36" s="33">
        <f t="shared" si="11"/>
        <v>45901</v>
      </c>
      <c r="K36" s="36"/>
      <c r="L36" s="35"/>
      <c r="M36" s="41"/>
      <c r="N36" s="41"/>
      <c r="O36" s="41" t="str">
        <f t="shared" si="2"/>
        <v>ADD U25-IUS</v>
      </c>
      <c r="P36" s="42">
        <v>43.95</v>
      </c>
      <c r="R36" s="33">
        <f t="shared" si="12"/>
        <v>45901</v>
      </c>
      <c r="S36" s="36"/>
      <c r="T36" s="35"/>
      <c r="U36" s="41"/>
      <c r="V36" s="41"/>
      <c r="W36" s="41" t="str">
        <f t="shared" si="3"/>
        <v>HNG U25-IUS</v>
      </c>
      <c r="X36" s="44">
        <v>4.343</v>
      </c>
      <c r="Z36" s="33">
        <f t="shared" si="13"/>
        <v>45901</v>
      </c>
      <c r="AA36" s="36"/>
      <c r="AB36" s="35"/>
      <c r="AC36" s="41"/>
      <c r="AD36" s="41"/>
      <c r="AE36" s="41" t="str">
        <f t="shared" si="4"/>
        <v>DOM U25-IUS</v>
      </c>
      <c r="AF36" s="44">
        <v>-1.595</v>
      </c>
      <c r="AH36" s="33">
        <f t="shared" si="14"/>
        <v>45901</v>
      </c>
      <c r="AI36" s="36"/>
      <c r="AJ36" s="35"/>
      <c r="AK36" s="41"/>
      <c r="AL36" s="41"/>
      <c r="AM36" s="41" t="str">
        <f t="shared" si="5"/>
        <v>TNC U25-IUS</v>
      </c>
      <c r="AN36" s="44">
        <v>-1.2725</v>
      </c>
      <c r="AT36" s="56">
        <f t="shared" si="6"/>
        <v>2025</v>
      </c>
      <c r="AU36" s="57" t="str">
        <f t="shared" si="7"/>
        <v>25</v>
      </c>
      <c r="AV36" s="58">
        <f t="shared" si="8"/>
        <v>9</v>
      </c>
      <c r="AW36" s="58" t="str" cm="1">
        <f t="array" ref="AW36">_xlfn.IFS(AV36=$AR$3,$AQ$3,AV36=$AR$4,$AQ$4,AV36=$AR$5,$AQ$5,AV36=$AR$6,$AQ$6,AV36=$AR$7,$AQ$7,AV36=$AR$8,$AQ$8,AV36=$AR$9,$AQ$9,AV36=$AR$10,$AQ$10,AV36=$AR$11,$AQ$11,AV36=$AR$12,$AQ$12,AV36=$AR$13,$AQ$13,AV36=$AR$14,$AQ$14)</f>
        <v>U</v>
      </c>
      <c r="AY36" s="41" t="str">
        <f t="shared" si="9"/>
        <v>ADB U25-IUS</v>
      </c>
      <c r="AZ36" s="41" t="str">
        <f t="shared" si="9"/>
        <v>ADD U25-IUS</v>
      </c>
      <c r="BA36" s="41" t="str">
        <f t="shared" si="9"/>
        <v>HNG U25-IUS</v>
      </c>
      <c r="BB36" s="41" t="str">
        <f t="shared" si="9"/>
        <v>DOM U25-IUS</v>
      </c>
      <c r="BC36" s="41" t="str">
        <f t="shared" si="9"/>
        <v>TNC U25-IUS</v>
      </c>
    </row>
    <row r="37" spans="2:55">
      <c r="B37" s="33">
        <f t="shared" si="10"/>
        <v>45931</v>
      </c>
      <c r="D37" s="35"/>
      <c r="E37" s="41"/>
      <c r="F37" s="41"/>
      <c r="G37" s="41" t="str">
        <f t="shared" si="1"/>
        <v>ADB V25-IUS</v>
      </c>
      <c r="H37" s="42">
        <v>72.849999999999994</v>
      </c>
      <c r="J37" s="33">
        <f t="shared" si="11"/>
        <v>45931</v>
      </c>
      <c r="K37" s="36"/>
      <c r="L37" s="35"/>
      <c r="M37" s="41"/>
      <c r="N37" s="41"/>
      <c r="O37" s="41" t="str">
        <f t="shared" si="2"/>
        <v>ADD V25-IUS</v>
      </c>
      <c r="P37" s="42">
        <v>48</v>
      </c>
      <c r="R37" s="33">
        <f t="shared" si="12"/>
        <v>45931</v>
      </c>
      <c r="S37" s="36"/>
      <c r="T37" s="35"/>
      <c r="U37" s="41"/>
      <c r="V37" s="41"/>
      <c r="W37" s="41" t="str">
        <f t="shared" si="3"/>
        <v>HNG V25-IUS</v>
      </c>
      <c r="X37" s="44">
        <v>4.4349999999999996</v>
      </c>
      <c r="Z37" s="33">
        <f t="shared" si="13"/>
        <v>45931</v>
      </c>
      <c r="AA37" s="36"/>
      <c r="AB37" s="35"/>
      <c r="AC37" s="41"/>
      <c r="AD37" s="41"/>
      <c r="AE37" s="41" t="str">
        <f t="shared" si="4"/>
        <v>DOM V25-IUS</v>
      </c>
      <c r="AF37" s="44">
        <v>-1.5649999999999999</v>
      </c>
      <c r="AH37" s="33">
        <f t="shared" si="14"/>
        <v>45931</v>
      </c>
      <c r="AI37" s="36"/>
      <c r="AJ37" s="35"/>
      <c r="AK37" s="41"/>
      <c r="AL37" s="41"/>
      <c r="AM37" s="41" t="str">
        <f t="shared" si="5"/>
        <v>TNC V25-IUS</v>
      </c>
      <c r="AN37" s="44">
        <v>-1.23</v>
      </c>
      <c r="AT37" s="56">
        <f t="shared" si="6"/>
        <v>2025</v>
      </c>
      <c r="AU37" s="57" t="str">
        <f t="shared" si="7"/>
        <v>25</v>
      </c>
      <c r="AV37" s="58">
        <f t="shared" si="8"/>
        <v>10</v>
      </c>
      <c r="AW37" s="58" t="str" cm="1">
        <f t="array" ref="AW37">_xlfn.IFS(AV37=$AR$3,$AQ$3,AV37=$AR$4,$AQ$4,AV37=$AR$5,$AQ$5,AV37=$AR$6,$AQ$6,AV37=$AR$7,$AQ$7,AV37=$AR$8,$AQ$8,AV37=$AR$9,$AQ$9,AV37=$AR$10,$AQ$10,AV37=$AR$11,$AQ$11,AV37=$AR$12,$AQ$12,AV37=$AR$13,$AQ$13,AV37=$AR$14,$AQ$14)</f>
        <v>V</v>
      </c>
      <c r="AY37" s="41" t="str">
        <f t="shared" ref="AY37:BC68" si="15">AY$3&amp;" "&amp;$AW37&amp;$AU37&amp;"-IUS"</f>
        <v>ADB V25-IUS</v>
      </c>
      <c r="AZ37" s="41" t="str">
        <f t="shared" si="15"/>
        <v>ADD V25-IUS</v>
      </c>
      <c r="BA37" s="41" t="str">
        <f t="shared" si="15"/>
        <v>HNG V25-IUS</v>
      </c>
      <c r="BB37" s="41" t="str">
        <f t="shared" si="15"/>
        <v>DOM V25-IUS</v>
      </c>
      <c r="BC37" s="41" t="str">
        <f t="shared" si="15"/>
        <v>TNC V25-IUS</v>
      </c>
    </row>
    <row r="38" spans="2:55">
      <c r="B38" s="33">
        <f t="shared" si="10"/>
        <v>45962</v>
      </c>
      <c r="D38" s="35"/>
      <c r="E38" s="41"/>
      <c r="F38" s="41"/>
      <c r="G38" s="41" t="str">
        <f t="shared" si="1"/>
        <v>ADB X25-IUS</v>
      </c>
      <c r="H38" s="42">
        <v>68.05</v>
      </c>
      <c r="J38" s="33">
        <f t="shared" si="11"/>
        <v>45962</v>
      </c>
      <c r="K38" s="36"/>
      <c r="L38" s="35"/>
      <c r="M38" s="41"/>
      <c r="N38" s="41"/>
      <c r="O38" s="41" t="str">
        <f t="shared" si="2"/>
        <v>ADD X25-IUS</v>
      </c>
      <c r="P38" s="42">
        <v>38.75</v>
      </c>
      <c r="R38" s="33">
        <f t="shared" si="12"/>
        <v>45962</v>
      </c>
      <c r="S38" s="36"/>
      <c r="T38" s="35"/>
      <c r="U38" s="41"/>
      <c r="V38" s="41"/>
      <c r="W38" s="41" t="str">
        <f t="shared" si="3"/>
        <v>HNG X25-IUS</v>
      </c>
      <c r="X38" s="44">
        <v>4.7699999999999996</v>
      </c>
      <c r="Z38" s="33">
        <f t="shared" si="13"/>
        <v>45962</v>
      </c>
      <c r="AA38" s="36"/>
      <c r="AB38" s="35"/>
      <c r="AC38" s="41"/>
      <c r="AD38" s="41"/>
      <c r="AE38" s="41" t="str">
        <f t="shared" si="4"/>
        <v>DOM X25-IUS</v>
      </c>
      <c r="AF38" s="44">
        <v>-1.0249999999999999</v>
      </c>
      <c r="AH38" s="33">
        <f t="shared" si="14"/>
        <v>45962</v>
      </c>
      <c r="AI38" s="36"/>
      <c r="AJ38" s="35"/>
      <c r="AK38" s="41"/>
      <c r="AL38" s="41"/>
      <c r="AM38" s="41" t="str">
        <f t="shared" si="5"/>
        <v>TNC X25-IUS</v>
      </c>
      <c r="AN38" s="44">
        <v>-0.62749999999999995</v>
      </c>
      <c r="AT38" s="56">
        <f t="shared" si="6"/>
        <v>2025</v>
      </c>
      <c r="AU38" s="57" t="str">
        <f t="shared" si="7"/>
        <v>25</v>
      </c>
      <c r="AV38" s="58">
        <f t="shared" si="8"/>
        <v>11</v>
      </c>
      <c r="AW38" s="58" t="str" cm="1">
        <f t="array" ref="AW38">_xlfn.IFS(AV38=$AR$3,$AQ$3,AV38=$AR$4,$AQ$4,AV38=$AR$5,$AQ$5,AV38=$AR$6,$AQ$6,AV38=$AR$7,$AQ$7,AV38=$AR$8,$AQ$8,AV38=$AR$9,$AQ$9,AV38=$AR$10,$AQ$10,AV38=$AR$11,$AQ$11,AV38=$AR$12,$AQ$12,AV38=$AR$13,$AQ$13,AV38=$AR$14,$AQ$14)</f>
        <v>X</v>
      </c>
      <c r="AY38" s="41" t="str">
        <f t="shared" si="15"/>
        <v>ADB X25-IUS</v>
      </c>
      <c r="AZ38" s="41" t="str">
        <f t="shared" si="15"/>
        <v>ADD X25-IUS</v>
      </c>
      <c r="BA38" s="41" t="str">
        <f t="shared" si="15"/>
        <v>HNG X25-IUS</v>
      </c>
      <c r="BB38" s="41" t="str">
        <f t="shared" si="15"/>
        <v>DOM X25-IUS</v>
      </c>
      <c r="BC38" s="41" t="str">
        <f t="shared" si="15"/>
        <v>TNC X25-IUS</v>
      </c>
    </row>
    <row r="39" spans="2:55">
      <c r="B39" s="33">
        <f t="shared" si="10"/>
        <v>45992</v>
      </c>
      <c r="D39" s="35"/>
      <c r="E39" s="41"/>
      <c r="F39" s="41"/>
      <c r="G39" s="41" t="str">
        <f t="shared" si="1"/>
        <v>ADB Z25-IUS</v>
      </c>
      <c r="H39" s="42">
        <v>61.4</v>
      </c>
      <c r="J39" s="33">
        <f t="shared" si="11"/>
        <v>45992</v>
      </c>
      <c r="K39" s="36"/>
      <c r="L39" s="35"/>
      <c r="M39" s="41"/>
      <c r="N39" s="41"/>
      <c r="O39" s="41" t="str">
        <f t="shared" si="2"/>
        <v>ADD Z25-IUS</v>
      </c>
      <c r="P39" s="42">
        <v>40.549999999999997</v>
      </c>
      <c r="R39" s="33">
        <f t="shared" si="12"/>
        <v>45992</v>
      </c>
      <c r="S39" s="36"/>
      <c r="T39" s="35"/>
      <c r="U39" s="41"/>
      <c r="V39" s="41"/>
      <c r="W39" s="41" t="str">
        <f t="shared" si="3"/>
        <v>HNG Z25-IUS</v>
      </c>
      <c r="X39" s="44">
        <v>5.1849999999999996</v>
      </c>
      <c r="Z39" s="33">
        <f t="shared" si="13"/>
        <v>45992</v>
      </c>
      <c r="AA39" s="36"/>
      <c r="AB39" s="35"/>
      <c r="AC39" s="41"/>
      <c r="AD39" s="41"/>
      <c r="AE39" s="41" t="str">
        <f t="shared" si="4"/>
        <v>DOM Z25-IUS</v>
      </c>
      <c r="AF39" s="44">
        <v>-0.83750000000000002</v>
      </c>
      <c r="AH39" s="33">
        <f t="shared" si="14"/>
        <v>45992</v>
      </c>
      <c r="AI39" s="36"/>
      <c r="AJ39" s="35"/>
      <c r="AK39" s="41"/>
      <c r="AL39" s="41"/>
      <c r="AM39" s="41" t="str">
        <f t="shared" si="5"/>
        <v>TNC Z25-IUS</v>
      </c>
      <c r="AN39" s="44">
        <v>-0.45750000000000002</v>
      </c>
      <c r="AT39" s="56">
        <f t="shared" si="6"/>
        <v>2025</v>
      </c>
      <c r="AU39" s="57" t="str">
        <f t="shared" si="7"/>
        <v>25</v>
      </c>
      <c r="AV39" s="58">
        <f t="shared" si="8"/>
        <v>12</v>
      </c>
      <c r="AW39" s="58" t="str" cm="1">
        <f t="array" ref="AW39">_xlfn.IFS(AV39=$AR$3,$AQ$3,AV39=$AR$4,$AQ$4,AV39=$AR$5,$AQ$5,AV39=$AR$6,$AQ$6,AV39=$AR$7,$AQ$7,AV39=$AR$8,$AQ$8,AV39=$AR$9,$AQ$9,AV39=$AR$10,$AQ$10,AV39=$AR$11,$AQ$11,AV39=$AR$12,$AQ$12,AV39=$AR$13,$AQ$13,AV39=$AR$14,$AQ$14)</f>
        <v>Z</v>
      </c>
      <c r="AY39" s="41" t="str">
        <f t="shared" si="15"/>
        <v>ADB Z25-IUS</v>
      </c>
      <c r="AZ39" s="41" t="str">
        <f t="shared" si="15"/>
        <v>ADD Z25-IUS</v>
      </c>
      <c r="BA39" s="41" t="str">
        <f t="shared" si="15"/>
        <v>HNG Z25-IUS</v>
      </c>
      <c r="BB39" s="41" t="str">
        <f t="shared" si="15"/>
        <v>DOM Z25-IUS</v>
      </c>
      <c r="BC39" s="41" t="str">
        <f t="shared" si="15"/>
        <v>TNC Z25-IUS</v>
      </c>
    </row>
    <row r="40" spans="2:55">
      <c r="B40" s="33">
        <f t="shared" si="10"/>
        <v>46023</v>
      </c>
      <c r="D40" s="35"/>
      <c r="E40" s="41"/>
      <c r="F40" s="41"/>
      <c r="G40" s="41" t="str">
        <f t="shared" si="1"/>
        <v>ADB F26-IUS</v>
      </c>
      <c r="H40" s="42">
        <v>58.85</v>
      </c>
      <c r="J40" s="33">
        <f t="shared" si="11"/>
        <v>46023</v>
      </c>
      <c r="K40" s="36"/>
      <c r="L40" s="35"/>
      <c r="M40" s="41"/>
      <c r="N40" s="41"/>
      <c r="O40" s="41" t="str">
        <f t="shared" si="2"/>
        <v>ADD F26-IUS</v>
      </c>
      <c r="P40" s="42">
        <v>39.15</v>
      </c>
      <c r="R40" s="33">
        <f t="shared" si="12"/>
        <v>46023</v>
      </c>
      <c r="S40" s="36"/>
      <c r="T40" s="35"/>
      <c r="U40" s="41"/>
      <c r="V40" s="41"/>
      <c r="W40" s="41" t="str">
        <f t="shared" si="3"/>
        <v>HNG F26-IUS</v>
      </c>
      <c r="X40" s="44">
        <v>5.46</v>
      </c>
      <c r="Z40" s="33">
        <f t="shared" si="13"/>
        <v>46023</v>
      </c>
      <c r="AA40" s="36"/>
      <c r="AB40" s="35"/>
      <c r="AC40" s="41"/>
      <c r="AD40" s="41"/>
      <c r="AE40" s="41" t="str">
        <f t="shared" si="4"/>
        <v>DOM F26-IUS</v>
      </c>
      <c r="AF40" s="44">
        <v>-0.66</v>
      </c>
      <c r="AH40" s="33">
        <f t="shared" si="14"/>
        <v>46023</v>
      </c>
      <c r="AI40" s="36"/>
      <c r="AJ40" s="35"/>
      <c r="AK40" s="41"/>
      <c r="AL40" s="41"/>
      <c r="AM40" s="41" t="str">
        <f t="shared" si="5"/>
        <v>TNC F26-IUS</v>
      </c>
      <c r="AN40" s="44">
        <v>-0.33250000000000002</v>
      </c>
      <c r="AT40" s="56">
        <f t="shared" si="6"/>
        <v>2026</v>
      </c>
      <c r="AU40" s="57" t="str">
        <f t="shared" si="7"/>
        <v>26</v>
      </c>
      <c r="AV40" s="58">
        <f t="shared" si="8"/>
        <v>1</v>
      </c>
      <c r="AW40" s="58" t="str" cm="1">
        <f t="array" ref="AW40">_xlfn.IFS(AV40=$AR$3,$AQ$3,AV40=$AR$4,$AQ$4,AV40=$AR$5,$AQ$5,AV40=$AR$6,$AQ$6,AV40=$AR$7,$AQ$7,AV40=$AR$8,$AQ$8,AV40=$AR$9,$AQ$9,AV40=$AR$10,$AQ$10,AV40=$AR$11,$AQ$11,AV40=$AR$12,$AQ$12,AV40=$AR$13,$AQ$13,AV40=$AR$14,$AQ$14)</f>
        <v>F</v>
      </c>
      <c r="AY40" s="41" t="str">
        <f t="shared" si="15"/>
        <v>ADB F26-IUS</v>
      </c>
      <c r="AZ40" s="41" t="str">
        <f t="shared" si="15"/>
        <v>ADD F26-IUS</v>
      </c>
      <c r="BA40" s="41" t="str">
        <f t="shared" si="15"/>
        <v>HNG F26-IUS</v>
      </c>
      <c r="BB40" s="41" t="str">
        <f t="shared" si="15"/>
        <v>DOM F26-IUS</v>
      </c>
      <c r="BC40" s="41" t="str">
        <f t="shared" si="15"/>
        <v>TNC F26-IUS</v>
      </c>
    </row>
    <row r="41" spans="2:55">
      <c r="B41" s="33">
        <f t="shared" si="10"/>
        <v>46054</v>
      </c>
      <c r="D41" s="35"/>
      <c r="E41" s="41"/>
      <c r="F41" s="41"/>
      <c r="G41" s="41" t="str">
        <f t="shared" si="1"/>
        <v>ADB G26-IUS</v>
      </c>
      <c r="H41" s="42">
        <v>54.65</v>
      </c>
      <c r="J41" s="33">
        <f t="shared" si="11"/>
        <v>46054</v>
      </c>
      <c r="K41" s="36"/>
      <c r="L41" s="35"/>
      <c r="M41" s="41"/>
      <c r="N41" s="41"/>
      <c r="O41" s="41" t="str">
        <f t="shared" si="2"/>
        <v>ADD G26-IUS</v>
      </c>
      <c r="P41" s="42">
        <v>39.6</v>
      </c>
      <c r="R41" s="33">
        <f t="shared" si="12"/>
        <v>46054</v>
      </c>
      <c r="S41" s="36"/>
      <c r="T41" s="35"/>
      <c r="U41" s="41"/>
      <c r="V41" s="41"/>
      <c r="W41" s="41" t="str">
        <f t="shared" si="3"/>
        <v>HNG G26-IUS</v>
      </c>
      <c r="X41" s="44">
        <v>5.2220000000000004</v>
      </c>
      <c r="Z41" s="33">
        <f t="shared" si="13"/>
        <v>46054</v>
      </c>
      <c r="AA41" s="36"/>
      <c r="AB41" s="35"/>
      <c r="AC41" s="41"/>
      <c r="AD41" s="41"/>
      <c r="AE41" s="41" t="str">
        <f t="shared" si="4"/>
        <v>DOM G26-IUS</v>
      </c>
      <c r="AF41" s="44">
        <v>-0.63249999999999995</v>
      </c>
      <c r="AH41" s="33">
        <f t="shared" si="14"/>
        <v>46054</v>
      </c>
      <c r="AI41" s="36"/>
      <c r="AJ41" s="35"/>
      <c r="AK41" s="41"/>
      <c r="AL41" s="41"/>
      <c r="AM41" s="41" t="str">
        <f t="shared" si="5"/>
        <v>TNC G26-IUS</v>
      </c>
      <c r="AN41" s="44">
        <v>-0.31</v>
      </c>
      <c r="AT41" s="56">
        <f t="shared" si="6"/>
        <v>2026</v>
      </c>
      <c r="AU41" s="57" t="str">
        <f t="shared" si="7"/>
        <v>26</v>
      </c>
      <c r="AV41" s="58">
        <f t="shared" si="8"/>
        <v>2</v>
      </c>
      <c r="AW41" s="58" t="str" cm="1">
        <f t="array" ref="AW41">_xlfn.IFS(AV41=$AR$3,$AQ$3,AV41=$AR$4,$AQ$4,AV41=$AR$5,$AQ$5,AV41=$AR$6,$AQ$6,AV41=$AR$7,$AQ$7,AV41=$AR$8,$AQ$8,AV41=$AR$9,$AQ$9,AV41=$AR$10,$AQ$10,AV41=$AR$11,$AQ$11,AV41=$AR$12,$AQ$12,AV41=$AR$13,$AQ$13,AV41=$AR$14,$AQ$14)</f>
        <v>G</v>
      </c>
      <c r="AY41" s="41" t="str">
        <f t="shared" si="15"/>
        <v>ADB G26-IUS</v>
      </c>
      <c r="AZ41" s="41" t="str">
        <f t="shared" si="15"/>
        <v>ADD G26-IUS</v>
      </c>
      <c r="BA41" s="41" t="str">
        <f t="shared" si="15"/>
        <v>HNG G26-IUS</v>
      </c>
      <c r="BB41" s="41" t="str">
        <f t="shared" si="15"/>
        <v>DOM G26-IUS</v>
      </c>
      <c r="BC41" s="41" t="str">
        <f t="shared" si="15"/>
        <v>TNC G26-IUS</v>
      </c>
    </row>
    <row r="42" spans="2:55">
      <c r="B42" s="33">
        <f t="shared" si="10"/>
        <v>46082</v>
      </c>
      <c r="D42" s="35"/>
      <c r="E42" s="41"/>
      <c r="F42" s="41"/>
      <c r="G42" s="41" t="str">
        <f t="shared" si="1"/>
        <v>ADB H26-IUS</v>
      </c>
      <c r="H42" s="42">
        <v>57.6</v>
      </c>
      <c r="J42" s="33">
        <f t="shared" si="11"/>
        <v>46082</v>
      </c>
      <c r="K42" s="36"/>
      <c r="L42" s="35"/>
      <c r="M42" s="41"/>
      <c r="N42" s="41"/>
      <c r="O42" s="41" t="str">
        <f t="shared" si="2"/>
        <v>ADD H26-IUS</v>
      </c>
      <c r="P42" s="42">
        <v>41.05</v>
      </c>
      <c r="R42" s="33">
        <f t="shared" si="12"/>
        <v>46082</v>
      </c>
      <c r="S42" s="36"/>
      <c r="T42" s="35"/>
      <c r="U42" s="41"/>
      <c r="V42" s="41"/>
      <c r="W42" s="41" t="str">
        <f t="shared" si="3"/>
        <v>HNG H26-IUS</v>
      </c>
      <c r="X42" s="44">
        <v>4.8099999999999996</v>
      </c>
      <c r="Z42" s="33">
        <f t="shared" si="13"/>
        <v>46082</v>
      </c>
      <c r="AA42" s="36"/>
      <c r="AB42" s="35"/>
      <c r="AC42" s="41"/>
      <c r="AD42" s="41"/>
      <c r="AE42" s="41" t="str">
        <f t="shared" si="4"/>
        <v>DOM H26-IUS</v>
      </c>
      <c r="AF42" s="44">
        <v>-0.65749999999999997</v>
      </c>
      <c r="AH42" s="33">
        <f t="shared" si="14"/>
        <v>46082</v>
      </c>
      <c r="AI42" s="36"/>
      <c r="AJ42" s="35"/>
      <c r="AK42" s="41"/>
      <c r="AL42" s="41"/>
      <c r="AM42" s="41" t="str">
        <f t="shared" si="5"/>
        <v>TNC H26-IUS</v>
      </c>
      <c r="AN42" s="44">
        <v>-0.3125</v>
      </c>
      <c r="AT42" s="56">
        <f t="shared" si="6"/>
        <v>2026</v>
      </c>
      <c r="AU42" s="57" t="str">
        <f t="shared" si="7"/>
        <v>26</v>
      </c>
      <c r="AV42" s="58">
        <f t="shared" si="8"/>
        <v>3</v>
      </c>
      <c r="AW42" s="58" t="str" cm="1">
        <f t="array" ref="AW42">_xlfn.IFS(AV42=$AR$3,$AQ$3,AV42=$AR$4,$AQ$4,AV42=$AR$5,$AQ$5,AV42=$AR$6,$AQ$6,AV42=$AR$7,$AQ$7,AV42=$AR$8,$AQ$8,AV42=$AR$9,$AQ$9,AV42=$AR$10,$AQ$10,AV42=$AR$11,$AQ$11,AV42=$AR$12,$AQ$12,AV42=$AR$13,$AQ$13,AV42=$AR$14,$AQ$14)</f>
        <v>H</v>
      </c>
      <c r="AY42" s="41" t="str">
        <f t="shared" si="15"/>
        <v>ADB H26-IUS</v>
      </c>
      <c r="AZ42" s="41" t="str">
        <f t="shared" si="15"/>
        <v>ADD H26-IUS</v>
      </c>
      <c r="BA42" s="41" t="str">
        <f t="shared" si="15"/>
        <v>HNG H26-IUS</v>
      </c>
      <c r="BB42" s="41" t="str">
        <f t="shared" si="15"/>
        <v>DOM H26-IUS</v>
      </c>
      <c r="BC42" s="41" t="str">
        <f t="shared" si="15"/>
        <v>TNC H26-IUS</v>
      </c>
    </row>
    <row r="43" spans="2:55">
      <c r="B43" s="33">
        <f t="shared" si="10"/>
        <v>46113</v>
      </c>
      <c r="D43" s="35"/>
      <c r="E43" s="41"/>
      <c r="F43" s="41"/>
      <c r="G43" s="41" t="str">
        <f t="shared" si="1"/>
        <v>ADB J26-IUS</v>
      </c>
      <c r="H43" s="42">
        <v>88.8</v>
      </c>
      <c r="J43" s="33">
        <f t="shared" si="11"/>
        <v>46113</v>
      </c>
      <c r="K43" s="36"/>
      <c r="L43" s="35"/>
      <c r="M43" s="41"/>
      <c r="N43" s="41"/>
      <c r="O43" s="41" t="str">
        <f t="shared" si="2"/>
        <v>ADD J26-IUS</v>
      </c>
      <c r="P43" s="42">
        <v>74.7</v>
      </c>
      <c r="R43" s="33">
        <f t="shared" si="12"/>
        <v>46113</v>
      </c>
      <c r="S43" s="36"/>
      <c r="T43" s="35"/>
      <c r="U43" s="41"/>
      <c r="V43" s="41"/>
      <c r="W43" s="41" t="str">
        <f t="shared" si="3"/>
        <v>HNG J26-IUS</v>
      </c>
      <c r="X43" s="44">
        <v>4.1950000000000003</v>
      </c>
      <c r="Z43" s="33">
        <f t="shared" si="13"/>
        <v>46113</v>
      </c>
      <c r="AA43" s="36"/>
      <c r="AB43" s="35"/>
      <c r="AC43" s="41"/>
      <c r="AD43" s="41"/>
      <c r="AE43" s="41" t="str">
        <f t="shared" si="4"/>
        <v>DOM J26-IUS</v>
      </c>
      <c r="AF43" s="44">
        <v>-0.87</v>
      </c>
      <c r="AH43" s="33">
        <f t="shared" si="14"/>
        <v>46113</v>
      </c>
      <c r="AI43" s="36"/>
      <c r="AJ43" s="35"/>
      <c r="AK43" s="41"/>
      <c r="AL43" s="41"/>
      <c r="AM43" s="41" t="str">
        <f t="shared" si="5"/>
        <v>TNC J26-IUS</v>
      </c>
      <c r="AN43" s="44">
        <v>-0.34250000000000003</v>
      </c>
      <c r="AT43" s="56">
        <f t="shared" si="6"/>
        <v>2026</v>
      </c>
      <c r="AU43" s="57" t="str">
        <f t="shared" si="7"/>
        <v>26</v>
      </c>
      <c r="AV43" s="58">
        <f t="shared" si="8"/>
        <v>4</v>
      </c>
      <c r="AW43" s="58" t="str" cm="1">
        <f t="array" ref="AW43">_xlfn.IFS(AV43=$AR$3,$AQ$3,AV43=$AR$4,$AQ$4,AV43=$AR$5,$AQ$5,AV43=$AR$6,$AQ$6,AV43=$AR$7,$AQ$7,AV43=$AR$8,$AQ$8,AV43=$AR$9,$AQ$9,AV43=$AR$10,$AQ$10,AV43=$AR$11,$AQ$11,AV43=$AR$12,$AQ$12,AV43=$AR$13,$AQ$13,AV43=$AR$14,$AQ$14)</f>
        <v>J</v>
      </c>
      <c r="AY43" s="41" t="str">
        <f t="shared" si="15"/>
        <v>ADB J26-IUS</v>
      </c>
      <c r="AZ43" s="41" t="str">
        <f t="shared" si="15"/>
        <v>ADD J26-IUS</v>
      </c>
      <c r="BA43" s="41" t="str">
        <f t="shared" si="15"/>
        <v>HNG J26-IUS</v>
      </c>
      <c r="BB43" s="41" t="str">
        <f t="shared" si="15"/>
        <v>DOM J26-IUS</v>
      </c>
      <c r="BC43" s="41" t="str">
        <f t="shared" si="15"/>
        <v>TNC J26-IUS</v>
      </c>
    </row>
    <row r="44" spans="2:55">
      <c r="B44" s="33">
        <f t="shared" si="10"/>
        <v>46143</v>
      </c>
      <c r="D44" s="35"/>
      <c r="E44" s="41"/>
      <c r="F44" s="41"/>
      <c r="G44" s="41" t="str">
        <f t="shared" si="1"/>
        <v>ADB K26-IUS</v>
      </c>
      <c r="H44" s="42">
        <v>81.099999999999994</v>
      </c>
      <c r="J44" s="33">
        <f t="shared" si="11"/>
        <v>46143</v>
      </c>
      <c r="K44" s="36"/>
      <c r="L44" s="35"/>
      <c r="M44" s="41"/>
      <c r="N44" s="41"/>
      <c r="O44" s="41" t="str">
        <f t="shared" si="2"/>
        <v>ADD K26-IUS</v>
      </c>
      <c r="P44" s="42">
        <v>59.35</v>
      </c>
      <c r="R44" s="33">
        <f t="shared" si="12"/>
        <v>46143</v>
      </c>
      <c r="S44" s="36"/>
      <c r="T44" s="35"/>
      <c r="U44" s="41"/>
      <c r="V44" s="41"/>
      <c r="W44" s="41" t="str">
        <f t="shared" si="3"/>
        <v>HNG K26-IUS</v>
      </c>
      <c r="X44" s="44">
        <v>4.1500000000000004</v>
      </c>
      <c r="Z44" s="33">
        <f t="shared" si="13"/>
        <v>46143</v>
      </c>
      <c r="AA44" s="36"/>
      <c r="AB44" s="35"/>
      <c r="AC44" s="41"/>
      <c r="AD44" s="41"/>
      <c r="AE44" s="41" t="str">
        <f t="shared" si="4"/>
        <v>DOM K26-IUS</v>
      </c>
      <c r="AF44" s="44">
        <v>-1.115</v>
      </c>
      <c r="AH44" s="33">
        <f t="shared" si="14"/>
        <v>46143</v>
      </c>
      <c r="AI44" s="36"/>
      <c r="AJ44" s="35"/>
      <c r="AK44" s="41"/>
      <c r="AL44" s="41"/>
      <c r="AM44" s="41" t="str">
        <f t="shared" si="5"/>
        <v>TNC K26-IUS</v>
      </c>
      <c r="AN44" s="44">
        <v>-0.56000000000000005</v>
      </c>
      <c r="AT44" s="56">
        <f t="shared" si="6"/>
        <v>2026</v>
      </c>
      <c r="AU44" s="57" t="str">
        <f t="shared" si="7"/>
        <v>26</v>
      </c>
      <c r="AV44" s="58">
        <f t="shared" si="8"/>
        <v>5</v>
      </c>
      <c r="AW44" s="58" t="str" cm="1">
        <f t="array" ref="AW44">_xlfn.IFS(AV44=$AR$3,$AQ$3,AV44=$AR$4,$AQ$4,AV44=$AR$5,$AQ$5,AV44=$AR$6,$AQ$6,AV44=$AR$7,$AQ$7,AV44=$AR$8,$AQ$8,AV44=$AR$9,$AQ$9,AV44=$AR$10,$AQ$10,AV44=$AR$11,$AQ$11,AV44=$AR$12,$AQ$12,AV44=$AR$13,$AQ$13,AV44=$AR$14,$AQ$14)</f>
        <v>K</v>
      </c>
      <c r="AY44" s="41" t="str">
        <f t="shared" si="15"/>
        <v>ADB K26-IUS</v>
      </c>
      <c r="AZ44" s="41" t="str">
        <f t="shared" si="15"/>
        <v>ADD K26-IUS</v>
      </c>
      <c r="BA44" s="41" t="str">
        <f t="shared" si="15"/>
        <v>HNG K26-IUS</v>
      </c>
      <c r="BB44" s="41" t="str">
        <f t="shared" si="15"/>
        <v>DOM K26-IUS</v>
      </c>
      <c r="BC44" s="41" t="str">
        <f t="shared" si="15"/>
        <v>TNC K26-IUS</v>
      </c>
    </row>
    <row r="45" spans="2:55">
      <c r="B45" s="33">
        <f t="shared" si="10"/>
        <v>46174</v>
      </c>
      <c r="D45" s="35"/>
      <c r="E45" s="41"/>
      <c r="F45" s="41"/>
      <c r="G45" s="41" t="str">
        <f t="shared" si="1"/>
        <v>ADB M26-IUS</v>
      </c>
      <c r="H45" s="42">
        <v>58.3</v>
      </c>
      <c r="J45" s="33">
        <f t="shared" si="11"/>
        <v>46174</v>
      </c>
      <c r="K45" s="36"/>
      <c r="L45" s="35"/>
      <c r="M45" s="41"/>
      <c r="N45" s="41"/>
      <c r="O45" s="41" t="str">
        <f t="shared" si="2"/>
        <v>ADD M26-IUS</v>
      </c>
      <c r="P45" s="42">
        <v>45.9</v>
      </c>
      <c r="R45" s="33">
        <f t="shared" si="12"/>
        <v>46174</v>
      </c>
      <c r="S45" s="36"/>
      <c r="T45" s="35"/>
      <c r="U45" s="41"/>
      <c r="V45" s="41"/>
      <c r="W45" s="41" t="str">
        <f t="shared" si="3"/>
        <v>HNG M26-IUS</v>
      </c>
      <c r="X45" s="44">
        <v>4.226</v>
      </c>
      <c r="Z45" s="33">
        <f t="shared" si="13"/>
        <v>46174</v>
      </c>
      <c r="AA45" s="36"/>
      <c r="AB45" s="35"/>
      <c r="AC45" s="41"/>
      <c r="AD45" s="41"/>
      <c r="AE45" s="41" t="str">
        <f t="shared" si="4"/>
        <v>DOM M26-IUS</v>
      </c>
      <c r="AF45" s="44">
        <v>-1.0974999999999999</v>
      </c>
      <c r="AH45" s="33">
        <f t="shared" si="14"/>
        <v>46174</v>
      </c>
      <c r="AI45" s="36"/>
      <c r="AJ45" s="35"/>
      <c r="AK45" s="41"/>
      <c r="AL45" s="41"/>
      <c r="AM45" s="41" t="str">
        <f t="shared" si="5"/>
        <v>TNC M26-IUS</v>
      </c>
      <c r="AN45" s="44">
        <v>-0.65249999999999997</v>
      </c>
      <c r="AT45" s="56">
        <f t="shared" si="6"/>
        <v>2026</v>
      </c>
      <c r="AU45" s="57" t="str">
        <f t="shared" si="7"/>
        <v>26</v>
      </c>
      <c r="AV45" s="58">
        <f t="shared" si="8"/>
        <v>6</v>
      </c>
      <c r="AW45" s="58" t="str" cm="1">
        <f t="array" ref="AW45">_xlfn.IFS(AV45=$AR$3,$AQ$3,AV45=$AR$4,$AQ$4,AV45=$AR$5,$AQ$5,AV45=$AR$6,$AQ$6,AV45=$AR$7,$AQ$7,AV45=$AR$8,$AQ$8,AV45=$AR$9,$AQ$9,AV45=$AR$10,$AQ$10,AV45=$AR$11,$AQ$11,AV45=$AR$12,$AQ$12,AV45=$AR$13,$AQ$13,AV45=$AR$14,$AQ$14)</f>
        <v>M</v>
      </c>
      <c r="AY45" s="41" t="str">
        <f t="shared" si="15"/>
        <v>ADB M26-IUS</v>
      </c>
      <c r="AZ45" s="41" t="str">
        <f t="shared" si="15"/>
        <v>ADD M26-IUS</v>
      </c>
      <c r="BA45" s="41" t="str">
        <f t="shared" si="15"/>
        <v>HNG M26-IUS</v>
      </c>
      <c r="BB45" s="41" t="str">
        <f t="shared" si="15"/>
        <v>DOM M26-IUS</v>
      </c>
      <c r="BC45" s="41" t="str">
        <f t="shared" si="15"/>
        <v>TNC M26-IUS</v>
      </c>
    </row>
    <row r="46" spans="2:55">
      <c r="B46" s="33">
        <f t="shared" si="10"/>
        <v>46204</v>
      </c>
      <c r="D46" s="35"/>
      <c r="E46" s="41"/>
      <c r="F46" s="41"/>
      <c r="G46" s="41" t="str">
        <f t="shared" si="1"/>
        <v>ADB N26-IUS</v>
      </c>
      <c r="H46" s="42">
        <v>56.85</v>
      </c>
      <c r="J46" s="33">
        <f t="shared" si="11"/>
        <v>46204</v>
      </c>
      <c r="K46" s="36"/>
      <c r="L46" s="35"/>
      <c r="M46" s="41"/>
      <c r="N46" s="41"/>
      <c r="O46" s="41" t="str">
        <f t="shared" si="2"/>
        <v>ADD N26-IUS</v>
      </c>
      <c r="P46" s="42">
        <v>44.05</v>
      </c>
      <c r="R46" s="33">
        <f t="shared" si="12"/>
        <v>46204</v>
      </c>
      <c r="S46" s="36"/>
      <c r="T46" s="35"/>
      <c r="U46" s="41"/>
      <c r="V46" s="41"/>
      <c r="W46" s="41" t="str">
        <f t="shared" si="3"/>
        <v>HNG N26-IUS</v>
      </c>
      <c r="X46" s="44">
        <v>4.3090000000000002</v>
      </c>
      <c r="Z46" s="33">
        <f t="shared" si="13"/>
        <v>46204</v>
      </c>
      <c r="AA46" s="36"/>
      <c r="AB46" s="35"/>
      <c r="AC46" s="41"/>
      <c r="AD46" s="41"/>
      <c r="AE46" s="41" t="str">
        <f t="shared" si="4"/>
        <v>DOM N26-IUS</v>
      </c>
      <c r="AF46" s="44">
        <v>-1.2475000000000001</v>
      </c>
      <c r="AH46" s="33">
        <f t="shared" si="14"/>
        <v>46204</v>
      </c>
      <c r="AI46" s="36"/>
      <c r="AJ46" s="35"/>
      <c r="AK46" s="41"/>
      <c r="AL46" s="41"/>
      <c r="AM46" s="41" t="str">
        <f t="shared" si="5"/>
        <v>TNC N26-IUS</v>
      </c>
      <c r="AN46" s="44">
        <v>-0.75749999999999995</v>
      </c>
      <c r="AT46" s="56">
        <f t="shared" si="6"/>
        <v>2026</v>
      </c>
      <c r="AU46" s="57" t="str">
        <f t="shared" si="7"/>
        <v>26</v>
      </c>
      <c r="AV46" s="58">
        <f t="shared" si="8"/>
        <v>7</v>
      </c>
      <c r="AW46" s="58" t="str" cm="1">
        <f t="array" ref="AW46">_xlfn.IFS(AV46=$AR$3,$AQ$3,AV46=$AR$4,$AQ$4,AV46=$AR$5,$AQ$5,AV46=$AR$6,$AQ$6,AV46=$AR$7,$AQ$7,AV46=$AR$8,$AQ$8,AV46=$AR$9,$AQ$9,AV46=$AR$10,$AQ$10,AV46=$AR$11,$AQ$11,AV46=$AR$12,$AQ$12,AV46=$AR$13,$AQ$13,AV46=$AR$14,$AQ$14)</f>
        <v>N</v>
      </c>
      <c r="AY46" s="41" t="str">
        <f t="shared" si="15"/>
        <v>ADB N26-IUS</v>
      </c>
      <c r="AZ46" s="41" t="str">
        <f t="shared" si="15"/>
        <v>ADD N26-IUS</v>
      </c>
      <c r="BA46" s="41" t="str">
        <f t="shared" si="15"/>
        <v>HNG N26-IUS</v>
      </c>
      <c r="BB46" s="41" t="str">
        <f t="shared" si="15"/>
        <v>DOM N26-IUS</v>
      </c>
      <c r="BC46" s="41" t="str">
        <f t="shared" si="15"/>
        <v>TNC N26-IUS</v>
      </c>
    </row>
    <row r="47" spans="2:55">
      <c r="B47" s="33">
        <f t="shared" si="10"/>
        <v>46235</v>
      </c>
      <c r="D47" s="35"/>
      <c r="E47" s="41"/>
      <c r="F47" s="41"/>
      <c r="G47" s="41" t="str">
        <f t="shared" si="1"/>
        <v>ADB Q26-IUS</v>
      </c>
      <c r="H47" s="42">
        <v>59.3</v>
      </c>
      <c r="J47" s="33">
        <f t="shared" si="11"/>
        <v>46235</v>
      </c>
      <c r="K47" s="36"/>
      <c r="L47" s="35"/>
      <c r="M47" s="41"/>
      <c r="N47" s="41"/>
      <c r="O47" s="41" t="str">
        <f t="shared" si="2"/>
        <v>ADD Q26-IUS</v>
      </c>
      <c r="P47" s="42">
        <v>37.85</v>
      </c>
      <c r="R47" s="33">
        <f t="shared" si="12"/>
        <v>46235</v>
      </c>
      <c r="S47" s="36"/>
      <c r="T47" s="35"/>
      <c r="U47" s="41"/>
      <c r="V47" s="41"/>
      <c r="W47" s="41" t="str">
        <f t="shared" si="3"/>
        <v>HNG Q26-IUS</v>
      </c>
      <c r="X47" s="44">
        <v>4.3449999999999998</v>
      </c>
      <c r="Z47" s="33">
        <f t="shared" si="13"/>
        <v>46235</v>
      </c>
      <c r="AA47" s="36"/>
      <c r="AB47" s="35"/>
      <c r="AC47" s="41"/>
      <c r="AD47" s="41"/>
      <c r="AE47" s="41" t="str">
        <f t="shared" si="4"/>
        <v>DOM Q26-IUS</v>
      </c>
      <c r="AF47" s="44">
        <v>-1.3374999999999999</v>
      </c>
      <c r="AH47" s="33">
        <f t="shared" si="14"/>
        <v>46235</v>
      </c>
      <c r="AI47" s="36"/>
      <c r="AJ47" s="35"/>
      <c r="AK47" s="41"/>
      <c r="AL47" s="41"/>
      <c r="AM47" s="41" t="str">
        <f t="shared" si="5"/>
        <v>TNC Q26-IUS</v>
      </c>
      <c r="AN47" s="44">
        <v>-0.81499999999999995</v>
      </c>
      <c r="AT47" s="56">
        <f t="shared" si="6"/>
        <v>2026</v>
      </c>
      <c r="AU47" s="57" t="str">
        <f t="shared" si="7"/>
        <v>26</v>
      </c>
      <c r="AV47" s="58">
        <f t="shared" si="8"/>
        <v>8</v>
      </c>
      <c r="AW47" s="58" t="str" cm="1">
        <f t="array" ref="AW47">_xlfn.IFS(AV47=$AR$3,$AQ$3,AV47=$AR$4,$AQ$4,AV47=$AR$5,$AQ$5,AV47=$AR$6,$AQ$6,AV47=$AR$7,$AQ$7,AV47=$AR$8,$AQ$8,AV47=$AR$9,$AQ$9,AV47=$AR$10,$AQ$10,AV47=$AR$11,$AQ$11,AV47=$AR$12,$AQ$12,AV47=$AR$13,$AQ$13,AV47=$AR$14,$AQ$14)</f>
        <v>Q</v>
      </c>
      <c r="AY47" s="41" t="str">
        <f t="shared" si="15"/>
        <v>ADB Q26-IUS</v>
      </c>
      <c r="AZ47" s="41" t="str">
        <f t="shared" si="15"/>
        <v>ADD Q26-IUS</v>
      </c>
      <c r="BA47" s="41" t="str">
        <f t="shared" si="15"/>
        <v>HNG Q26-IUS</v>
      </c>
      <c r="BB47" s="41" t="str">
        <f t="shared" si="15"/>
        <v>DOM Q26-IUS</v>
      </c>
      <c r="BC47" s="41" t="str">
        <f t="shared" si="15"/>
        <v>TNC Q26-IUS</v>
      </c>
    </row>
    <row r="48" spans="2:55">
      <c r="B48" s="33">
        <f t="shared" si="10"/>
        <v>46266</v>
      </c>
      <c r="D48" s="35"/>
      <c r="E48" s="41"/>
      <c r="F48" s="41"/>
      <c r="G48" s="41" t="str">
        <f t="shared" si="1"/>
        <v>ADB U26-IUS</v>
      </c>
      <c r="H48" s="42">
        <v>64.45</v>
      </c>
      <c r="J48" s="33">
        <f t="shared" si="11"/>
        <v>46266</v>
      </c>
      <c r="K48" s="36"/>
      <c r="L48" s="35"/>
      <c r="M48" s="41"/>
      <c r="N48" s="41"/>
      <c r="O48" s="41" t="str">
        <f t="shared" si="2"/>
        <v>ADD U26-IUS</v>
      </c>
      <c r="P48" s="42">
        <v>40.799999999999997</v>
      </c>
      <c r="R48" s="33">
        <f t="shared" si="12"/>
        <v>46266</v>
      </c>
      <c r="S48" s="36"/>
      <c r="T48" s="35"/>
      <c r="U48" s="41"/>
      <c r="V48" s="41"/>
      <c r="W48" s="41" t="str">
        <f t="shared" si="3"/>
        <v>HNG U26-IUS</v>
      </c>
      <c r="X48" s="44">
        <v>4.3390000000000004</v>
      </c>
      <c r="Z48" s="33">
        <f t="shared" si="13"/>
        <v>46266</v>
      </c>
      <c r="AA48" s="36"/>
      <c r="AB48" s="35"/>
      <c r="AC48" s="41"/>
      <c r="AD48" s="41"/>
      <c r="AE48" s="41" t="str">
        <f t="shared" si="4"/>
        <v>DOM U26-IUS</v>
      </c>
      <c r="AF48" s="44">
        <v>-1.6375</v>
      </c>
      <c r="AH48" s="33">
        <f t="shared" si="14"/>
        <v>46266</v>
      </c>
      <c r="AI48" s="36"/>
      <c r="AJ48" s="35"/>
      <c r="AK48" s="41"/>
      <c r="AL48" s="41"/>
      <c r="AM48" s="41" t="str">
        <f t="shared" si="5"/>
        <v>TNC U26-IUS</v>
      </c>
      <c r="AN48" s="44">
        <v>-1.2124999999999999</v>
      </c>
      <c r="AT48" s="56">
        <f t="shared" si="6"/>
        <v>2026</v>
      </c>
      <c r="AU48" s="57" t="str">
        <f t="shared" si="7"/>
        <v>26</v>
      </c>
      <c r="AV48" s="58">
        <f t="shared" si="8"/>
        <v>9</v>
      </c>
      <c r="AW48" s="58" t="str" cm="1">
        <f t="array" ref="AW48">_xlfn.IFS(AV48=$AR$3,$AQ$3,AV48=$AR$4,$AQ$4,AV48=$AR$5,$AQ$5,AV48=$AR$6,$AQ$6,AV48=$AR$7,$AQ$7,AV48=$AR$8,$AQ$8,AV48=$AR$9,$AQ$9,AV48=$AR$10,$AQ$10,AV48=$AR$11,$AQ$11,AV48=$AR$12,$AQ$12,AV48=$AR$13,$AQ$13,AV48=$AR$14,$AQ$14)</f>
        <v>U</v>
      </c>
      <c r="AY48" s="41" t="str">
        <f t="shared" si="15"/>
        <v>ADB U26-IUS</v>
      </c>
      <c r="AZ48" s="41" t="str">
        <f t="shared" si="15"/>
        <v>ADD U26-IUS</v>
      </c>
      <c r="BA48" s="41" t="str">
        <f t="shared" si="15"/>
        <v>HNG U26-IUS</v>
      </c>
      <c r="BB48" s="41" t="str">
        <f t="shared" si="15"/>
        <v>DOM U26-IUS</v>
      </c>
      <c r="BC48" s="41" t="str">
        <f t="shared" si="15"/>
        <v>TNC U26-IUS</v>
      </c>
    </row>
    <row r="49" spans="2:55">
      <c r="B49" s="33">
        <f t="shared" si="10"/>
        <v>46296</v>
      </c>
      <c r="D49" s="35"/>
      <c r="E49" s="41"/>
      <c r="F49" s="41"/>
      <c r="G49" s="41" t="str">
        <f t="shared" si="1"/>
        <v>ADB V26-IUS</v>
      </c>
      <c r="H49" s="42">
        <v>63.8</v>
      </c>
      <c r="J49" s="33">
        <f t="shared" si="11"/>
        <v>46296</v>
      </c>
      <c r="K49" s="36"/>
      <c r="L49" s="35"/>
      <c r="M49" s="41"/>
      <c r="N49" s="41"/>
      <c r="O49" s="41" t="str">
        <f t="shared" si="2"/>
        <v>ADD V26-IUS</v>
      </c>
      <c r="P49" s="42">
        <v>40.549999999999997</v>
      </c>
      <c r="R49" s="33">
        <f t="shared" si="12"/>
        <v>46296</v>
      </c>
      <c r="S49" s="36"/>
      <c r="T49" s="35"/>
      <c r="U49" s="41"/>
      <c r="V49" s="41"/>
      <c r="W49" s="41" t="str">
        <f t="shared" si="3"/>
        <v>HNG V26-IUS</v>
      </c>
      <c r="X49" s="44">
        <v>4.4260000000000002</v>
      </c>
      <c r="Z49" s="33">
        <f t="shared" si="13"/>
        <v>46296</v>
      </c>
      <c r="AA49" s="36"/>
      <c r="AB49" s="35"/>
      <c r="AC49" s="41"/>
      <c r="AD49" s="41"/>
      <c r="AE49" s="41" t="str">
        <f t="shared" si="4"/>
        <v>DOM V26-IUS</v>
      </c>
      <c r="AF49" s="44">
        <v>-1.625</v>
      </c>
      <c r="AH49" s="33">
        <f t="shared" si="14"/>
        <v>46296</v>
      </c>
      <c r="AI49" s="36"/>
      <c r="AJ49" s="35"/>
      <c r="AK49" s="41"/>
      <c r="AL49" s="41"/>
      <c r="AM49" s="41" t="str">
        <f t="shared" si="5"/>
        <v>TNC V26-IUS</v>
      </c>
      <c r="AN49" s="44">
        <v>-1.1825000000000001</v>
      </c>
      <c r="AT49" s="56">
        <f t="shared" si="6"/>
        <v>2026</v>
      </c>
      <c r="AU49" s="57" t="str">
        <f t="shared" si="7"/>
        <v>26</v>
      </c>
      <c r="AV49" s="58">
        <f t="shared" si="8"/>
        <v>10</v>
      </c>
      <c r="AW49" s="58" t="str" cm="1">
        <f t="array" ref="AW49">_xlfn.IFS(AV49=$AR$3,$AQ$3,AV49=$AR$4,$AQ$4,AV49=$AR$5,$AQ$5,AV49=$AR$6,$AQ$6,AV49=$AR$7,$AQ$7,AV49=$AR$8,$AQ$8,AV49=$AR$9,$AQ$9,AV49=$AR$10,$AQ$10,AV49=$AR$11,$AQ$11,AV49=$AR$12,$AQ$12,AV49=$AR$13,$AQ$13,AV49=$AR$14,$AQ$14)</f>
        <v>V</v>
      </c>
      <c r="AY49" s="41" t="str">
        <f t="shared" si="15"/>
        <v>ADB V26-IUS</v>
      </c>
      <c r="AZ49" s="41" t="str">
        <f t="shared" si="15"/>
        <v>ADD V26-IUS</v>
      </c>
      <c r="BA49" s="41" t="str">
        <f t="shared" si="15"/>
        <v>HNG V26-IUS</v>
      </c>
      <c r="BB49" s="41" t="str">
        <f t="shared" si="15"/>
        <v>DOM V26-IUS</v>
      </c>
      <c r="BC49" s="41" t="str">
        <f t="shared" si="15"/>
        <v>TNC V26-IUS</v>
      </c>
    </row>
    <row r="50" spans="2:55">
      <c r="B50" s="33">
        <f t="shared" si="10"/>
        <v>46327</v>
      </c>
      <c r="D50" s="35"/>
      <c r="E50" s="41"/>
      <c r="F50" s="41"/>
      <c r="G50" s="41" t="str">
        <f t="shared" si="1"/>
        <v>ADB X26-IUS</v>
      </c>
      <c r="H50" s="42">
        <v>56.9</v>
      </c>
      <c r="J50" s="33">
        <f t="shared" si="11"/>
        <v>46327</v>
      </c>
      <c r="K50" s="36"/>
      <c r="L50" s="35"/>
      <c r="M50" s="41"/>
      <c r="N50" s="41"/>
      <c r="O50" s="41" t="str">
        <f t="shared" si="2"/>
        <v>ADD X26-IUS</v>
      </c>
      <c r="P50" s="42">
        <v>39.549999999999997</v>
      </c>
      <c r="R50" s="33">
        <f t="shared" si="12"/>
        <v>46327</v>
      </c>
      <c r="S50" s="36"/>
      <c r="T50" s="35"/>
      <c r="U50" s="41"/>
      <c r="V50" s="41"/>
      <c r="W50" s="41" t="str">
        <f t="shared" si="3"/>
        <v>HNG X26-IUS</v>
      </c>
      <c r="X50" s="44">
        <v>4.7510000000000003</v>
      </c>
      <c r="Z50" s="33">
        <f t="shared" si="13"/>
        <v>46327</v>
      </c>
      <c r="AA50" s="36"/>
      <c r="AB50" s="35"/>
      <c r="AC50" s="41"/>
      <c r="AD50" s="41"/>
      <c r="AE50" s="41" t="str">
        <f t="shared" si="4"/>
        <v>DOM X26-IUS</v>
      </c>
      <c r="AF50" s="44">
        <v>-0.83250000000000002</v>
      </c>
      <c r="AH50" s="33">
        <f t="shared" si="14"/>
        <v>46327</v>
      </c>
      <c r="AI50" s="36"/>
      <c r="AJ50" s="35"/>
      <c r="AK50" s="41"/>
      <c r="AL50" s="41"/>
      <c r="AM50" s="41" t="str">
        <f t="shared" si="5"/>
        <v>TNC X26-IUS</v>
      </c>
      <c r="AN50" s="44">
        <v>-0.60750000000000004</v>
      </c>
      <c r="AT50" s="56">
        <f t="shared" si="6"/>
        <v>2026</v>
      </c>
      <c r="AU50" s="57" t="str">
        <f t="shared" si="7"/>
        <v>26</v>
      </c>
      <c r="AV50" s="58">
        <f t="shared" si="8"/>
        <v>11</v>
      </c>
      <c r="AW50" s="58" t="str" cm="1">
        <f t="array" ref="AW50">_xlfn.IFS(AV50=$AR$3,$AQ$3,AV50=$AR$4,$AQ$4,AV50=$AR$5,$AQ$5,AV50=$AR$6,$AQ$6,AV50=$AR$7,$AQ$7,AV50=$AR$8,$AQ$8,AV50=$AR$9,$AQ$9,AV50=$AR$10,$AQ$10,AV50=$AR$11,$AQ$11,AV50=$AR$12,$AQ$12,AV50=$AR$13,$AQ$13,AV50=$AR$14,$AQ$14)</f>
        <v>X</v>
      </c>
      <c r="AY50" s="41" t="str">
        <f t="shared" si="15"/>
        <v>ADB X26-IUS</v>
      </c>
      <c r="AZ50" s="41" t="str">
        <f t="shared" si="15"/>
        <v>ADD X26-IUS</v>
      </c>
      <c r="BA50" s="41" t="str">
        <f t="shared" si="15"/>
        <v>HNG X26-IUS</v>
      </c>
      <c r="BB50" s="41" t="str">
        <f t="shared" si="15"/>
        <v>DOM X26-IUS</v>
      </c>
      <c r="BC50" s="41" t="str">
        <f t="shared" si="15"/>
        <v>TNC X26-IUS</v>
      </c>
    </row>
    <row r="51" spans="2:55">
      <c r="B51" s="33">
        <f t="shared" si="10"/>
        <v>46357</v>
      </c>
      <c r="D51" s="35"/>
      <c r="E51" s="41"/>
      <c r="F51" s="41"/>
      <c r="G51" s="41" t="str">
        <f t="shared" si="1"/>
        <v>ADB Z26-IUS</v>
      </c>
      <c r="H51" s="42">
        <v>90.79</v>
      </c>
      <c r="J51" s="33">
        <f t="shared" si="11"/>
        <v>46357</v>
      </c>
      <c r="K51" s="36"/>
      <c r="L51" s="35"/>
      <c r="M51" s="41"/>
      <c r="N51" s="41"/>
      <c r="O51" s="41" t="str">
        <f t="shared" si="2"/>
        <v>ADD Z26-IUS</v>
      </c>
      <c r="P51" s="42">
        <v>89.19</v>
      </c>
      <c r="R51" s="33">
        <f t="shared" si="12"/>
        <v>46357</v>
      </c>
      <c r="S51" s="36"/>
      <c r="T51" s="35"/>
      <c r="U51" s="41"/>
      <c r="V51" s="41"/>
      <c r="W51" s="41" t="str">
        <f t="shared" si="3"/>
        <v>HNG Z26-IUS</v>
      </c>
      <c r="X51" s="44">
        <v>5.1769999999999996</v>
      </c>
      <c r="Z51" s="33">
        <f t="shared" si="13"/>
        <v>46357</v>
      </c>
      <c r="AA51" s="36"/>
      <c r="AB51" s="35"/>
      <c r="AC51" s="41"/>
      <c r="AD51" s="41"/>
      <c r="AE51" s="41" t="str">
        <f t="shared" si="4"/>
        <v>DOM Z26-IUS</v>
      </c>
      <c r="AF51" s="44">
        <v>-0.7</v>
      </c>
      <c r="AH51" s="33">
        <f t="shared" si="14"/>
        <v>46357</v>
      </c>
      <c r="AI51" s="36"/>
      <c r="AJ51" s="35"/>
      <c r="AK51" s="41"/>
      <c r="AL51" s="41"/>
      <c r="AM51" s="41" t="str">
        <f t="shared" si="5"/>
        <v>TNC Z26-IUS</v>
      </c>
      <c r="AN51" s="44">
        <v>-0.45250000000000001</v>
      </c>
      <c r="AT51" s="56">
        <f t="shared" si="6"/>
        <v>2026</v>
      </c>
      <c r="AU51" s="57" t="str">
        <f t="shared" si="7"/>
        <v>26</v>
      </c>
      <c r="AV51" s="58">
        <f t="shared" si="8"/>
        <v>12</v>
      </c>
      <c r="AW51" s="58" t="str" cm="1">
        <f t="array" ref="AW51">_xlfn.IFS(AV51=$AR$3,$AQ$3,AV51=$AR$4,$AQ$4,AV51=$AR$5,$AQ$5,AV51=$AR$6,$AQ$6,AV51=$AR$7,$AQ$7,AV51=$AR$8,$AQ$8,AV51=$AR$9,$AQ$9,AV51=$AR$10,$AQ$10,AV51=$AR$11,$AQ$11,AV51=$AR$12,$AQ$12,AV51=$AR$13,$AQ$13,AV51=$AR$14,$AQ$14)</f>
        <v>Z</v>
      </c>
      <c r="AY51" s="41" t="str">
        <f t="shared" si="15"/>
        <v>ADB Z26-IUS</v>
      </c>
      <c r="AZ51" s="41" t="str">
        <f t="shared" si="15"/>
        <v>ADD Z26-IUS</v>
      </c>
      <c r="BA51" s="41" t="str">
        <f t="shared" si="15"/>
        <v>HNG Z26-IUS</v>
      </c>
      <c r="BB51" s="41" t="str">
        <f t="shared" si="15"/>
        <v>DOM Z26-IUS</v>
      </c>
      <c r="BC51" s="41" t="str">
        <f t="shared" si="15"/>
        <v>TNC Z26-IUS</v>
      </c>
    </row>
    <row r="52" spans="2:55">
      <c r="B52" s="33">
        <f t="shared" si="10"/>
        <v>46388</v>
      </c>
      <c r="D52" s="35"/>
      <c r="E52" s="41"/>
      <c r="F52" s="41"/>
      <c r="G52" s="41" t="str">
        <f t="shared" si="1"/>
        <v>ADB F27-IUS</v>
      </c>
      <c r="H52" s="42">
        <v>76.150000000000006</v>
      </c>
      <c r="J52" s="33">
        <f t="shared" si="11"/>
        <v>46388</v>
      </c>
      <c r="K52" s="36"/>
      <c r="L52" s="35"/>
      <c r="M52" s="41"/>
      <c r="N52" s="41"/>
      <c r="O52" s="41" t="str">
        <f t="shared" si="2"/>
        <v>ADD F27-IUS</v>
      </c>
      <c r="P52" s="42">
        <v>67.3</v>
      </c>
      <c r="R52" s="33">
        <f t="shared" si="12"/>
        <v>46388</v>
      </c>
      <c r="S52" s="36"/>
      <c r="T52" s="35"/>
      <c r="U52" s="41"/>
      <c r="V52" s="41"/>
      <c r="W52" s="41" t="str">
        <f t="shared" si="3"/>
        <v>HNG F27-IUS</v>
      </c>
      <c r="X52" s="44">
        <v>5.4370000000000003</v>
      </c>
      <c r="Z52" s="33">
        <f t="shared" si="13"/>
        <v>46388</v>
      </c>
      <c r="AA52" s="36"/>
      <c r="AB52" s="35"/>
      <c r="AC52" s="41"/>
      <c r="AD52" s="41"/>
      <c r="AE52" s="41" t="str">
        <f t="shared" si="4"/>
        <v>DOM F27-IUS</v>
      </c>
      <c r="AF52" s="44">
        <v>-0.8</v>
      </c>
      <c r="AH52" s="33">
        <f t="shared" si="14"/>
        <v>46388</v>
      </c>
      <c r="AI52" s="36"/>
      <c r="AJ52" s="35"/>
      <c r="AK52" s="41"/>
      <c r="AL52" s="41"/>
      <c r="AM52" s="41" t="str">
        <f t="shared" si="5"/>
        <v>TNC F27-IUS</v>
      </c>
      <c r="AN52" s="44">
        <v>-0.39250000000000002</v>
      </c>
      <c r="AT52" s="56">
        <f t="shared" si="6"/>
        <v>2027</v>
      </c>
      <c r="AU52" s="57" t="str">
        <f t="shared" si="7"/>
        <v>27</v>
      </c>
      <c r="AV52" s="58">
        <f t="shared" si="8"/>
        <v>1</v>
      </c>
      <c r="AW52" s="58" t="str" cm="1">
        <f t="array" ref="AW52">_xlfn.IFS(AV52=$AR$3,$AQ$3,AV52=$AR$4,$AQ$4,AV52=$AR$5,$AQ$5,AV52=$AR$6,$AQ$6,AV52=$AR$7,$AQ$7,AV52=$AR$8,$AQ$8,AV52=$AR$9,$AQ$9,AV52=$AR$10,$AQ$10,AV52=$AR$11,$AQ$11,AV52=$AR$12,$AQ$12,AV52=$AR$13,$AQ$13,AV52=$AR$14,$AQ$14)</f>
        <v>F</v>
      </c>
      <c r="AY52" s="41" t="str">
        <f t="shared" si="15"/>
        <v>ADB F27-IUS</v>
      </c>
      <c r="AZ52" s="41" t="str">
        <f t="shared" si="15"/>
        <v>ADD F27-IUS</v>
      </c>
      <c r="BA52" s="41" t="str">
        <f t="shared" si="15"/>
        <v>HNG F27-IUS</v>
      </c>
      <c r="BB52" s="41" t="str">
        <f t="shared" si="15"/>
        <v>DOM F27-IUS</v>
      </c>
      <c r="BC52" s="41" t="str">
        <f t="shared" si="15"/>
        <v>TNC F27-IUS</v>
      </c>
    </row>
    <row r="53" spans="2:55">
      <c r="B53" s="33">
        <f t="shared" si="10"/>
        <v>46419</v>
      </c>
      <c r="D53" s="35"/>
      <c r="E53" s="41"/>
      <c r="F53" s="41"/>
      <c r="G53" s="41" t="str">
        <f t="shared" si="1"/>
        <v>ADB G27-IUS</v>
      </c>
      <c r="H53" s="42">
        <v>81</v>
      </c>
      <c r="J53" s="33">
        <f t="shared" si="11"/>
        <v>46419</v>
      </c>
      <c r="K53" s="36"/>
      <c r="L53" s="35"/>
      <c r="M53" s="41"/>
      <c r="N53" s="41"/>
      <c r="O53" s="41" t="str">
        <f t="shared" si="2"/>
        <v>ADD G27-IUS</v>
      </c>
      <c r="P53" s="42">
        <v>59.7</v>
      </c>
      <c r="R53" s="33">
        <f t="shared" si="12"/>
        <v>46419</v>
      </c>
      <c r="S53" s="36"/>
      <c r="T53" s="35"/>
      <c r="U53" s="41"/>
      <c r="V53" s="41"/>
      <c r="W53" s="41" t="str">
        <f t="shared" si="3"/>
        <v>HNG G27-IUS</v>
      </c>
      <c r="X53" s="44">
        <v>5.2329999999999997</v>
      </c>
      <c r="Z53" s="33">
        <f t="shared" si="13"/>
        <v>46419</v>
      </c>
      <c r="AA53" s="36"/>
      <c r="AB53" s="35"/>
      <c r="AC53" s="41"/>
      <c r="AD53" s="41"/>
      <c r="AE53" s="41" t="str">
        <f t="shared" si="4"/>
        <v>DOM G27-IUS</v>
      </c>
      <c r="AF53" s="44">
        <v>-0.745</v>
      </c>
      <c r="AH53" s="33">
        <f t="shared" si="14"/>
        <v>46419</v>
      </c>
      <c r="AI53" s="36"/>
      <c r="AJ53" s="35"/>
      <c r="AK53" s="41"/>
      <c r="AL53" s="41"/>
      <c r="AM53" s="41" t="str">
        <f t="shared" si="5"/>
        <v>TNC G27-IUS</v>
      </c>
      <c r="AN53" s="44">
        <v>-0.38</v>
      </c>
      <c r="AT53" s="56">
        <f t="shared" si="6"/>
        <v>2027</v>
      </c>
      <c r="AU53" s="57" t="str">
        <f t="shared" si="7"/>
        <v>27</v>
      </c>
      <c r="AV53" s="58">
        <f t="shared" si="8"/>
        <v>2</v>
      </c>
      <c r="AW53" s="58" t="str" cm="1">
        <f t="array" ref="AW53">_xlfn.IFS(AV53=$AR$3,$AQ$3,AV53=$AR$4,$AQ$4,AV53=$AR$5,$AQ$5,AV53=$AR$6,$AQ$6,AV53=$AR$7,$AQ$7,AV53=$AR$8,$AQ$8,AV53=$AR$9,$AQ$9,AV53=$AR$10,$AQ$10,AV53=$AR$11,$AQ$11,AV53=$AR$12,$AQ$12,AV53=$AR$13,$AQ$13,AV53=$AR$14,$AQ$14)</f>
        <v>G</v>
      </c>
      <c r="AY53" s="41" t="str">
        <f t="shared" si="15"/>
        <v>ADB G27-IUS</v>
      </c>
      <c r="AZ53" s="41" t="str">
        <f t="shared" si="15"/>
        <v>ADD G27-IUS</v>
      </c>
      <c r="BA53" s="41" t="str">
        <f t="shared" si="15"/>
        <v>HNG G27-IUS</v>
      </c>
      <c r="BB53" s="41" t="str">
        <f t="shared" si="15"/>
        <v>DOM G27-IUS</v>
      </c>
      <c r="BC53" s="41" t="str">
        <f t="shared" si="15"/>
        <v>TNC G27-IUS</v>
      </c>
    </row>
    <row r="54" spans="2:55">
      <c r="B54" s="33">
        <f t="shared" si="10"/>
        <v>46447</v>
      </c>
      <c r="D54" s="35"/>
      <c r="E54" s="41"/>
      <c r="F54" s="41"/>
      <c r="G54" s="41" t="str">
        <f t="shared" si="1"/>
        <v>ADB H27-IUS</v>
      </c>
      <c r="H54" s="42">
        <v>59.3</v>
      </c>
      <c r="J54" s="33">
        <f t="shared" si="11"/>
        <v>46447</v>
      </c>
      <c r="K54" s="36"/>
      <c r="L54" s="35"/>
      <c r="M54" s="41"/>
      <c r="N54" s="41"/>
      <c r="O54" s="41" t="str">
        <f t="shared" si="2"/>
        <v>ADD H27-IUS</v>
      </c>
      <c r="P54" s="42">
        <v>49.65</v>
      </c>
      <c r="R54" s="33">
        <f t="shared" si="12"/>
        <v>46447</v>
      </c>
      <c r="S54" s="36"/>
      <c r="T54" s="35"/>
      <c r="U54" s="41"/>
      <c r="V54" s="41"/>
      <c r="W54" s="41" t="str">
        <f t="shared" si="3"/>
        <v>HNG H27-IUS</v>
      </c>
      <c r="X54" s="44">
        <v>4.843</v>
      </c>
      <c r="Z54" s="33">
        <f t="shared" si="13"/>
        <v>46447</v>
      </c>
      <c r="AA54" s="36"/>
      <c r="AB54" s="35"/>
      <c r="AC54" s="41"/>
      <c r="AD54" s="41"/>
      <c r="AE54" s="41" t="str">
        <f t="shared" si="4"/>
        <v>DOM H27-IUS</v>
      </c>
      <c r="AF54" s="44">
        <v>-0.79749999999999999</v>
      </c>
      <c r="AH54" s="33">
        <f t="shared" si="14"/>
        <v>46447</v>
      </c>
      <c r="AI54" s="36"/>
      <c r="AJ54" s="35"/>
      <c r="AK54" s="41"/>
      <c r="AL54" s="41"/>
      <c r="AM54" s="41" t="str">
        <f t="shared" si="5"/>
        <v>TNC H27-IUS</v>
      </c>
      <c r="AN54" s="44">
        <v>-0.37</v>
      </c>
      <c r="AT54" s="56">
        <f t="shared" si="6"/>
        <v>2027</v>
      </c>
      <c r="AU54" s="57" t="str">
        <f t="shared" si="7"/>
        <v>27</v>
      </c>
      <c r="AV54" s="58">
        <f t="shared" si="8"/>
        <v>3</v>
      </c>
      <c r="AW54" s="58" t="str" cm="1">
        <f t="array" ref="AW54">_xlfn.IFS(AV54=$AR$3,$AQ$3,AV54=$AR$4,$AQ$4,AV54=$AR$5,$AQ$5,AV54=$AR$6,$AQ$6,AV54=$AR$7,$AQ$7,AV54=$AR$8,$AQ$8,AV54=$AR$9,$AQ$9,AV54=$AR$10,$AQ$10,AV54=$AR$11,$AQ$11,AV54=$AR$12,$AQ$12,AV54=$AR$13,$AQ$13,AV54=$AR$14,$AQ$14)</f>
        <v>H</v>
      </c>
      <c r="AY54" s="41" t="str">
        <f t="shared" si="15"/>
        <v>ADB H27-IUS</v>
      </c>
      <c r="AZ54" s="41" t="str">
        <f t="shared" si="15"/>
        <v>ADD H27-IUS</v>
      </c>
      <c r="BA54" s="41" t="str">
        <f t="shared" si="15"/>
        <v>HNG H27-IUS</v>
      </c>
      <c r="BB54" s="41" t="str">
        <f t="shared" si="15"/>
        <v>DOM H27-IUS</v>
      </c>
      <c r="BC54" s="41" t="str">
        <f t="shared" si="15"/>
        <v>TNC H27-IUS</v>
      </c>
    </row>
    <row r="55" spans="2:55">
      <c r="B55" s="33">
        <f t="shared" si="10"/>
        <v>46478</v>
      </c>
      <c r="D55" s="35"/>
      <c r="E55" s="41"/>
      <c r="F55" s="41"/>
      <c r="G55" s="41" t="str">
        <f t="shared" si="1"/>
        <v>ADB J27-IUS</v>
      </c>
      <c r="H55" s="42">
        <v>57.25</v>
      </c>
      <c r="J55" s="33">
        <f t="shared" si="11"/>
        <v>46478</v>
      </c>
      <c r="K55" s="36"/>
      <c r="L55" s="35"/>
      <c r="M55" s="41"/>
      <c r="N55" s="41"/>
      <c r="O55" s="41" t="str">
        <f t="shared" si="2"/>
        <v>ADD J27-IUS</v>
      </c>
      <c r="P55" s="42">
        <v>44.2</v>
      </c>
      <c r="R55" s="33">
        <f t="shared" si="12"/>
        <v>46478</v>
      </c>
      <c r="S55" s="36"/>
      <c r="T55" s="35"/>
      <c r="U55" s="41"/>
      <c r="V55" s="41"/>
      <c r="W55" s="41" t="str">
        <f t="shared" si="3"/>
        <v>HNG J27-IUS</v>
      </c>
      <c r="X55" s="44">
        <v>4.2149999999999999</v>
      </c>
      <c r="Z55" s="33">
        <f t="shared" si="13"/>
        <v>46478</v>
      </c>
      <c r="AA55" s="36"/>
      <c r="AB55" s="35"/>
      <c r="AC55" s="41"/>
      <c r="AD55" s="41"/>
      <c r="AE55" s="41" t="str">
        <f t="shared" si="4"/>
        <v>DOM J27-IUS</v>
      </c>
      <c r="AF55" s="44">
        <v>-0.88249999999999995</v>
      </c>
      <c r="AH55" s="33">
        <f t="shared" si="14"/>
        <v>46478</v>
      </c>
      <c r="AI55" s="36"/>
      <c r="AJ55" s="35"/>
      <c r="AK55" s="41"/>
      <c r="AL55" s="41"/>
      <c r="AM55" s="41" t="str">
        <f t="shared" si="5"/>
        <v>TNC J27-IUS</v>
      </c>
      <c r="AN55" s="44">
        <v>-0.45500000000000002</v>
      </c>
      <c r="AT55" s="56">
        <f t="shared" si="6"/>
        <v>2027</v>
      </c>
      <c r="AU55" s="57" t="str">
        <f t="shared" si="7"/>
        <v>27</v>
      </c>
      <c r="AV55" s="58">
        <f t="shared" si="8"/>
        <v>4</v>
      </c>
      <c r="AW55" s="58" t="str" cm="1">
        <f t="array" ref="AW55">_xlfn.IFS(AV55=$AR$3,$AQ$3,AV55=$AR$4,$AQ$4,AV55=$AR$5,$AQ$5,AV55=$AR$6,$AQ$6,AV55=$AR$7,$AQ$7,AV55=$AR$8,$AQ$8,AV55=$AR$9,$AQ$9,AV55=$AR$10,$AQ$10,AV55=$AR$11,$AQ$11,AV55=$AR$12,$AQ$12,AV55=$AR$13,$AQ$13,AV55=$AR$14,$AQ$14)</f>
        <v>J</v>
      </c>
      <c r="AY55" s="41" t="str">
        <f t="shared" si="15"/>
        <v>ADB J27-IUS</v>
      </c>
      <c r="AZ55" s="41" t="str">
        <f t="shared" si="15"/>
        <v>ADD J27-IUS</v>
      </c>
      <c r="BA55" s="41" t="str">
        <f t="shared" si="15"/>
        <v>HNG J27-IUS</v>
      </c>
      <c r="BB55" s="41" t="str">
        <f t="shared" si="15"/>
        <v>DOM J27-IUS</v>
      </c>
      <c r="BC55" s="41" t="str">
        <f t="shared" si="15"/>
        <v>TNC J27-IUS</v>
      </c>
    </row>
    <row r="56" spans="2:55">
      <c r="B56" s="33">
        <f t="shared" si="10"/>
        <v>46508</v>
      </c>
      <c r="D56" s="35"/>
      <c r="E56" s="41"/>
      <c r="F56" s="41"/>
      <c r="G56" s="41" t="str">
        <f t="shared" si="1"/>
        <v>ADB K27-IUS</v>
      </c>
      <c r="H56" s="42">
        <v>56</v>
      </c>
      <c r="J56" s="33">
        <f t="shared" si="11"/>
        <v>46508</v>
      </c>
      <c r="K56" s="36"/>
      <c r="L56" s="35"/>
      <c r="M56" s="41"/>
      <c r="N56" s="41"/>
      <c r="O56" s="41" t="str">
        <f t="shared" si="2"/>
        <v>ADD K27-IUS</v>
      </c>
      <c r="P56" s="42">
        <v>35</v>
      </c>
      <c r="R56" s="33">
        <f t="shared" si="12"/>
        <v>46508</v>
      </c>
      <c r="S56" s="36"/>
      <c r="T56" s="35"/>
      <c r="U56" s="41"/>
      <c r="V56" s="41"/>
      <c r="W56" s="41" t="str">
        <f t="shared" si="3"/>
        <v>HNG K27-IUS</v>
      </c>
      <c r="X56" s="44">
        <v>4.1890000000000001</v>
      </c>
      <c r="Z56" s="33">
        <f t="shared" si="13"/>
        <v>46508</v>
      </c>
      <c r="AA56" s="36"/>
      <c r="AB56" s="35"/>
      <c r="AC56" s="41"/>
      <c r="AD56" s="41"/>
      <c r="AE56" s="41" t="str">
        <f t="shared" si="4"/>
        <v>DOM K27-IUS</v>
      </c>
      <c r="AF56" s="44">
        <v>-1.1325000000000001</v>
      </c>
      <c r="AH56" s="33">
        <f t="shared" si="14"/>
        <v>46508</v>
      </c>
      <c r="AI56" s="36"/>
      <c r="AJ56" s="35"/>
      <c r="AK56" s="41"/>
      <c r="AL56" s="41"/>
      <c r="AM56" s="41" t="str">
        <f t="shared" si="5"/>
        <v>TNC K27-IUS</v>
      </c>
      <c r="AN56" s="44">
        <v>-0.69</v>
      </c>
      <c r="AT56" s="56">
        <f t="shared" si="6"/>
        <v>2027</v>
      </c>
      <c r="AU56" s="57" t="str">
        <f t="shared" si="7"/>
        <v>27</v>
      </c>
      <c r="AV56" s="58">
        <f t="shared" si="8"/>
        <v>5</v>
      </c>
      <c r="AW56" s="58" t="str" cm="1">
        <f t="array" ref="AW56">_xlfn.IFS(AV56=$AR$3,$AQ$3,AV56=$AR$4,$AQ$4,AV56=$AR$5,$AQ$5,AV56=$AR$6,$AQ$6,AV56=$AR$7,$AQ$7,AV56=$AR$8,$AQ$8,AV56=$AR$9,$AQ$9,AV56=$AR$10,$AQ$10,AV56=$AR$11,$AQ$11,AV56=$AR$12,$AQ$12,AV56=$AR$13,$AQ$13,AV56=$AR$14,$AQ$14)</f>
        <v>K</v>
      </c>
      <c r="AY56" s="41" t="str">
        <f t="shared" si="15"/>
        <v>ADB K27-IUS</v>
      </c>
      <c r="AZ56" s="41" t="str">
        <f t="shared" si="15"/>
        <v>ADD K27-IUS</v>
      </c>
      <c r="BA56" s="41" t="str">
        <f t="shared" si="15"/>
        <v>HNG K27-IUS</v>
      </c>
      <c r="BB56" s="41" t="str">
        <f t="shared" si="15"/>
        <v>DOM K27-IUS</v>
      </c>
      <c r="BC56" s="41" t="str">
        <f t="shared" si="15"/>
        <v>TNC K27-IUS</v>
      </c>
    </row>
    <row r="57" spans="2:55">
      <c r="B57" s="33">
        <f t="shared" si="10"/>
        <v>46539</v>
      </c>
      <c r="D57" s="35"/>
      <c r="E57" s="41"/>
      <c r="F57" s="41"/>
      <c r="G57" s="41" t="str">
        <f t="shared" si="1"/>
        <v>ADB M27-IUS</v>
      </c>
      <c r="H57" s="42">
        <v>64.150000000000006</v>
      </c>
      <c r="J57" s="33">
        <f t="shared" si="11"/>
        <v>46539</v>
      </c>
      <c r="K57" s="36"/>
      <c r="L57" s="35"/>
      <c r="M57" s="41"/>
      <c r="N57" s="41"/>
      <c r="O57" s="41" t="str">
        <f t="shared" si="2"/>
        <v>ADD M27-IUS</v>
      </c>
      <c r="P57" s="42">
        <v>41.1</v>
      </c>
      <c r="R57" s="33">
        <f t="shared" si="12"/>
        <v>46539</v>
      </c>
      <c r="S57" s="36"/>
      <c r="T57" s="35"/>
      <c r="U57" s="41"/>
      <c r="V57" s="41"/>
      <c r="W57" s="41" t="str">
        <f t="shared" si="3"/>
        <v>HNG M27-IUS</v>
      </c>
      <c r="X57" s="44">
        <v>4.2699999999999996</v>
      </c>
      <c r="Z57" s="33">
        <f t="shared" si="13"/>
        <v>46539</v>
      </c>
      <c r="AA57" s="36"/>
      <c r="AB57" s="35"/>
      <c r="AC57" s="41"/>
      <c r="AD57" s="41"/>
      <c r="AE57" s="41" t="str">
        <f t="shared" si="4"/>
        <v>DOM M27-IUS</v>
      </c>
      <c r="AF57" s="44">
        <v>-1.1074999999999999</v>
      </c>
      <c r="AH57" s="33">
        <f t="shared" si="14"/>
        <v>46539</v>
      </c>
      <c r="AI57" s="36"/>
      <c r="AJ57" s="35"/>
      <c r="AK57" s="41"/>
      <c r="AL57" s="41"/>
      <c r="AM57" s="41" t="str">
        <f t="shared" si="5"/>
        <v>TNC M27-IUS</v>
      </c>
      <c r="AN57" s="44">
        <v>-0.76500000000000001</v>
      </c>
      <c r="AT57" s="56">
        <f t="shared" si="6"/>
        <v>2027</v>
      </c>
      <c r="AU57" s="57" t="str">
        <f t="shared" si="7"/>
        <v>27</v>
      </c>
      <c r="AV57" s="58">
        <f t="shared" si="8"/>
        <v>6</v>
      </c>
      <c r="AW57" s="58" t="str" cm="1">
        <f t="array" ref="AW57">_xlfn.IFS(AV57=$AR$3,$AQ$3,AV57=$AR$4,$AQ$4,AV57=$AR$5,$AQ$5,AV57=$AR$6,$AQ$6,AV57=$AR$7,$AQ$7,AV57=$AR$8,$AQ$8,AV57=$AR$9,$AQ$9,AV57=$AR$10,$AQ$10,AV57=$AR$11,$AQ$11,AV57=$AR$12,$AQ$12,AV57=$AR$13,$AQ$13,AV57=$AR$14,$AQ$14)</f>
        <v>M</v>
      </c>
      <c r="AY57" s="41" t="str">
        <f t="shared" si="15"/>
        <v>ADB M27-IUS</v>
      </c>
      <c r="AZ57" s="41" t="str">
        <f t="shared" si="15"/>
        <v>ADD M27-IUS</v>
      </c>
      <c r="BA57" s="41" t="str">
        <f t="shared" si="15"/>
        <v>HNG M27-IUS</v>
      </c>
      <c r="BB57" s="41" t="str">
        <f t="shared" si="15"/>
        <v>DOM M27-IUS</v>
      </c>
      <c r="BC57" s="41" t="str">
        <f t="shared" si="15"/>
        <v>TNC M27-IUS</v>
      </c>
    </row>
    <row r="58" spans="2:55">
      <c r="B58" s="33">
        <f t="shared" si="10"/>
        <v>46569</v>
      </c>
      <c r="D58" s="35"/>
      <c r="E58" s="41"/>
      <c r="F58" s="41"/>
      <c r="G58" s="41" t="str">
        <f t="shared" si="1"/>
        <v>ADB N27-IUS</v>
      </c>
      <c r="H58" s="42">
        <v>64.2</v>
      </c>
      <c r="J58" s="33">
        <f t="shared" si="11"/>
        <v>46569</v>
      </c>
      <c r="K58" s="36"/>
      <c r="L58" s="35"/>
      <c r="M58" s="41"/>
      <c r="N58" s="41"/>
      <c r="O58" s="41" t="str">
        <f t="shared" si="2"/>
        <v>ADD N27-IUS</v>
      </c>
      <c r="P58" s="42">
        <v>40.6</v>
      </c>
      <c r="R58" s="33">
        <f t="shared" si="12"/>
        <v>46569</v>
      </c>
      <c r="S58" s="36"/>
      <c r="T58" s="35"/>
      <c r="U58" s="41"/>
      <c r="V58" s="41"/>
      <c r="W58" s="41" t="str">
        <f t="shared" si="3"/>
        <v>HNG N27-IUS</v>
      </c>
      <c r="X58" s="44">
        <v>4.3529999999999998</v>
      </c>
      <c r="Z58" s="33">
        <f t="shared" si="13"/>
        <v>46569</v>
      </c>
      <c r="AA58" s="36"/>
      <c r="AB58" s="35"/>
      <c r="AC58" s="41"/>
      <c r="AD58" s="41"/>
      <c r="AE58" s="41" t="str">
        <f t="shared" si="4"/>
        <v>DOM N27-IUS</v>
      </c>
      <c r="AF58" s="44">
        <v>-1.2675000000000001</v>
      </c>
      <c r="AH58" s="33">
        <f t="shared" si="14"/>
        <v>46569</v>
      </c>
      <c r="AI58" s="36"/>
      <c r="AJ58" s="35"/>
      <c r="AK58" s="41"/>
      <c r="AL58" s="41"/>
      <c r="AM58" s="41" t="str">
        <f t="shared" si="5"/>
        <v>TNC N27-IUS</v>
      </c>
      <c r="AN58" s="44">
        <v>-0.88749999999999996</v>
      </c>
      <c r="AT58" s="56">
        <f t="shared" si="6"/>
        <v>2027</v>
      </c>
      <c r="AU58" s="57" t="str">
        <f t="shared" si="7"/>
        <v>27</v>
      </c>
      <c r="AV58" s="58">
        <f t="shared" si="8"/>
        <v>7</v>
      </c>
      <c r="AW58" s="58" t="str" cm="1">
        <f t="array" ref="AW58">_xlfn.IFS(AV58=$AR$3,$AQ$3,AV58=$AR$4,$AQ$4,AV58=$AR$5,$AQ$5,AV58=$AR$6,$AQ$6,AV58=$AR$7,$AQ$7,AV58=$AR$8,$AQ$8,AV58=$AR$9,$AQ$9,AV58=$AR$10,$AQ$10,AV58=$AR$11,$AQ$11,AV58=$AR$12,$AQ$12,AV58=$AR$13,$AQ$13,AV58=$AR$14,$AQ$14)</f>
        <v>N</v>
      </c>
      <c r="AY58" s="41" t="str">
        <f t="shared" si="15"/>
        <v>ADB N27-IUS</v>
      </c>
      <c r="AZ58" s="41" t="str">
        <f t="shared" si="15"/>
        <v>ADD N27-IUS</v>
      </c>
      <c r="BA58" s="41" t="str">
        <f t="shared" si="15"/>
        <v>HNG N27-IUS</v>
      </c>
      <c r="BB58" s="41" t="str">
        <f t="shared" si="15"/>
        <v>DOM N27-IUS</v>
      </c>
      <c r="BC58" s="41" t="str">
        <f t="shared" si="15"/>
        <v>TNC N27-IUS</v>
      </c>
    </row>
    <row r="59" spans="2:55">
      <c r="B59" s="33">
        <f t="shared" si="10"/>
        <v>46600</v>
      </c>
      <c r="D59" s="35"/>
      <c r="E59" s="41"/>
      <c r="F59" s="41"/>
      <c r="G59" s="41" t="str">
        <f t="shared" si="1"/>
        <v>ADB Q27-IUS</v>
      </c>
      <c r="H59" s="42">
        <v>57.25</v>
      </c>
      <c r="J59" s="33">
        <f t="shared" si="11"/>
        <v>46600</v>
      </c>
      <c r="K59" s="36"/>
      <c r="L59" s="35"/>
      <c r="M59" s="41"/>
      <c r="N59" s="41"/>
      <c r="O59" s="41" t="str">
        <f t="shared" si="2"/>
        <v>ADD Q27-IUS</v>
      </c>
      <c r="P59" s="42">
        <v>39.6</v>
      </c>
      <c r="R59" s="33">
        <f t="shared" si="12"/>
        <v>46600</v>
      </c>
      <c r="S59" s="36"/>
      <c r="T59" s="35"/>
      <c r="U59" s="41"/>
      <c r="V59" s="41"/>
      <c r="W59" s="41" t="str">
        <f t="shared" si="3"/>
        <v>HNG Q27-IUS</v>
      </c>
      <c r="X59" s="44">
        <v>4.3860000000000001</v>
      </c>
      <c r="Z59" s="33">
        <f t="shared" si="13"/>
        <v>46600</v>
      </c>
      <c r="AA59" s="36"/>
      <c r="AB59" s="35"/>
      <c r="AC59" s="41"/>
      <c r="AD59" s="41"/>
      <c r="AE59" s="41" t="str">
        <f t="shared" si="4"/>
        <v>DOM Q27-IUS</v>
      </c>
      <c r="AF59" s="44">
        <v>-1.3574999999999999</v>
      </c>
      <c r="AH59" s="33">
        <f t="shared" si="14"/>
        <v>46600</v>
      </c>
      <c r="AI59" s="36"/>
      <c r="AJ59" s="35"/>
      <c r="AK59" s="41"/>
      <c r="AL59" s="41"/>
      <c r="AM59" s="41" t="str">
        <f t="shared" si="5"/>
        <v>TNC Q27-IUS</v>
      </c>
      <c r="AN59" s="44">
        <v>-0.9425</v>
      </c>
      <c r="AT59" s="56">
        <f t="shared" si="6"/>
        <v>2027</v>
      </c>
      <c r="AU59" s="57" t="str">
        <f t="shared" si="7"/>
        <v>27</v>
      </c>
      <c r="AV59" s="58">
        <f t="shared" si="8"/>
        <v>8</v>
      </c>
      <c r="AW59" s="58" t="str" cm="1">
        <f t="array" ref="AW59">_xlfn.IFS(AV59=$AR$3,$AQ$3,AV59=$AR$4,$AQ$4,AV59=$AR$5,$AQ$5,AV59=$AR$6,$AQ$6,AV59=$AR$7,$AQ$7,AV59=$AR$8,$AQ$8,AV59=$AR$9,$AQ$9,AV59=$AR$10,$AQ$10,AV59=$AR$11,$AQ$11,AV59=$AR$12,$AQ$12,AV59=$AR$13,$AQ$13,AV59=$AR$14,$AQ$14)</f>
        <v>Q</v>
      </c>
      <c r="AY59" s="41" t="str">
        <f t="shared" si="15"/>
        <v>ADB Q27-IUS</v>
      </c>
      <c r="AZ59" s="41" t="str">
        <f t="shared" si="15"/>
        <v>ADD Q27-IUS</v>
      </c>
      <c r="BA59" s="41" t="str">
        <f t="shared" si="15"/>
        <v>HNG Q27-IUS</v>
      </c>
      <c r="BB59" s="41" t="str">
        <f t="shared" si="15"/>
        <v>DOM Q27-IUS</v>
      </c>
      <c r="BC59" s="41" t="str">
        <f t="shared" si="15"/>
        <v>TNC Q27-IUS</v>
      </c>
    </row>
    <row r="60" spans="2:55">
      <c r="B60" s="33">
        <f t="shared" si="10"/>
        <v>46631</v>
      </c>
      <c r="D60" s="35"/>
      <c r="E60" s="41"/>
      <c r="F60" s="41"/>
      <c r="G60" s="41" t="str">
        <f t="shared" si="1"/>
        <v>ADB U27-IUS</v>
      </c>
      <c r="H60" s="42">
        <v>75.3</v>
      </c>
      <c r="J60" s="33">
        <f t="shared" si="11"/>
        <v>46631</v>
      </c>
      <c r="K60" s="36"/>
      <c r="L60" s="35"/>
      <c r="M60" s="41"/>
      <c r="N60" s="41"/>
      <c r="O60" s="41" t="str">
        <f t="shared" si="2"/>
        <v>ADD U27-IUS</v>
      </c>
      <c r="P60" s="42">
        <v>61.55</v>
      </c>
      <c r="R60" s="33">
        <f t="shared" si="12"/>
        <v>46631</v>
      </c>
      <c r="S60" s="36"/>
      <c r="T60" s="35"/>
      <c r="U60" s="41"/>
      <c r="V60" s="41"/>
      <c r="W60" s="41" t="str">
        <f t="shared" si="3"/>
        <v>HNG U27-IUS</v>
      </c>
      <c r="X60" s="44">
        <v>4.3849999999999998</v>
      </c>
      <c r="Z60" s="33">
        <f t="shared" si="13"/>
        <v>46631</v>
      </c>
      <c r="AA60" s="36"/>
      <c r="AB60" s="35"/>
      <c r="AC60" s="41"/>
      <c r="AD60" s="41"/>
      <c r="AE60" s="41" t="str">
        <f t="shared" si="4"/>
        <v>DOM U27-IUS</v>
      </c>
      <c r="AF60" s="44">
        <v>-1.6425000000000001</v>
      </c>
      <c r="AH60" s="33">
        <f t="shared" si="14"/>
        <v>46631</v>
      </c>
      <c r="AI60" s="36"/>
      <c r="AJ60" s="35"/>
      <c r="AK60" s="41"/>
      <c r="AL60" s="41"/>
      <c r="AM60" s="41" t="str">
        <f t="shared" si="5"/>
        <v>TNC U27-IUS</v>
      </c>
      <c r="AN60" s="44">
        <v>-1.3274999999999999</v>
      </c>
      <c r="AT60" s="56">
        <f t="shared" si="6"/>
        <v>2027</v>
      </c>
      <c r="AU60" s="57" t="str">
        <f t="shared" si="7"/>
        <v>27</v>
      </c>
      <c r="AV60" s="58">
        <f t="shared" si="8"/>
        <v>9</v>
      </c>
      <c r="AW60" s="58" t="str" cm="1">
        <f t="array" ref="AW60">_xlfn.IFS(AV60=$AR$3,$AQ$3,AV60=$AR$4,$AQ$4,AV60=$AR$5,$AQ$5,AV60=$AR$6,$AQ$6,AV60=$AR$7,$AQ$7,AV60=$AR$8,$AQ$8,AV60=$AR$9,$AQ$9,AV60=$AR$10,$AQ$10,AV60=$AR$11,$AQ$11,AV60=$AR$12,$AQ$12,AV60=$AR$13,$AQ$13,AV60=$AR$14,$AQ$14)</f>
        <v>U</v>
      </c>
      <c r="AY60" s="41" t="str">
        <f t="shared" si="15"/>
        <v>ADB U27-IUS</v>
      </c>
      <c r="AZ60" s="41" t="str">
        <f t="shared" si="15"/>
        <v>ADD U27-IUS</v>
      </c>
      <c r="BA60" s="41" t="str">
        <f t="shared" si="15"/>
        <v>HNG U27-IUS</v>
      </c>
      <c r="BB60" s="41" t="str">
        <f t="shared" si="15"/>
        <v>DOM U27-IUS</v>
      </c>
      <c r="BC60" s="41" t="str">
        <f t="shared" si="15"/>
        <v>TNC U27-IUS</v>
      </c>
    </row>
    <row r="61" spans="2:55">
      <c r="B61" s="33">
        <f t="shared" si="10"/>
        <v>46661</v>
      </c>
      <c r="D61" s="35"/>
      <c r="E61" s="41"/>
      <c r="F61" s="41"/>
      <c r="G61" s="41" t="str">
        <f t="shared" si="1"/>
        <v>ADB V27-IUS</v>
      </c>
      <c r="H61" s="42">
        <v>77.400000000000006</v>
      </c>
      <c r="J61" s="33">
        <f t="shared" si="11"/>
        <v>46661</v>
      </c>
      <c r="K61" s="36"/>
      <c r="L61" s="35"/>
      <c r="M61" s="41"/>
      <c r="N61" s="41"/>
      <c r="O61" s="41" t="str">
        <f t="shared" si="2"/>
        <v>ADD V27-IUS</v>
      </c>
      <c r="P61" s="42">
        <v>63.35</v>
      </c>
      <c r="R61" s="33">
        <f t="shared" si="12"/>
        <v>46661</v>
      </c>
      <c r="S61" s="36"/>
      <c r="T61" s="35"/>
      <c r="U61" s="41"/>
      <c r="V61" s="41"/>
      <c r="W61" s="41" t="str">
        <f t="shared" si="3"/>
        <v>HNG V27-IUS</v>
      </c>
      <c r="X61" s="44">
        <v>4.468</v>
      </c>
      <c r="Z61" s="33">
        <f t="shared" si="13"/>
        <v>46661</v>
      </c>
      <c r="AA61" s="36"/>
      <c r="AB61" s="35"/>
      <c r="AC61" s="41"/>
      <c r="AD61" s="41"/>
      <c r="AE61" s="41" t="str">
        <f t="shared" si="4"/>
        <v>DOM V27-IUS</v>
      </c>
      <c r="AF61" s="44">
        <v>-1.6425000000000001</v>
      </c>
      <c r="AH61" s="33">
        <f t="shared" si="14"/>
        <v>46661</v>
      </c>
      <c r="AI61" s="36"/>
      <c r="AJ61" s="35"/>
      <c r="AK61" s="41"/>
      <c r="AL61" s="41"/>
      <c r="AM61" s="41" t="str">
        <f t="shared" si="5"/>
        <v>TNC V27-IUS</v>
      </c>
      <c r="AN61" s="44">
        <v>-1.3125</v>
      </c>
      <c r="AT61" s="56">
        <f t="shared" si="6"/>
        <v>2027</v>
      </c>
      <c r="AU61" s="57" t="str">
        <f t="shared" si="7"/>
        <v>27</v>
      </c>
      <c r="AV61" s="58">
        <f t="shared" si="8"/>
        <v>10</v>
      </c>
      <c r="AW61" s="58" t="str" cm="1">
        <f t="array" ref="AW61">_xlfn.IFS(AV61=$AR$3,$AQ$3,AV61=$AR$4,$AQ$4,AV61=$AR$5,$AQ$5,AV61=$AR$6,$AQ$6,AV61=$AR$7,$AQ$7,AV61=$AR$8,$AQ$8,AV61=$AR$9,$AQ$9,AV61=$AR$10,$AQ$10,AV61=$AR$11,$AQ$11,AV61=$AR$12,$AQ$12,AV61=$AR$13,$AQ$13,AV61=$AR$14,$AQ$14)</f>
        <v>V</v>
      </c>
      <c r="AY61" s="41" t="str">
        <f t="shared" si="15"/>
        <v>ADB V27-IUS</v>
      </c>
      <c r="AZ61" s="41" t="str">
        <f t="shared" si="15"/>
        <v>ADD V27-IUS</v>
      </c>
      <c r="BA61" s="41" t="str">
        <f t="shared" si="15"/>
        <v>HNG V27-IUS</v>
      </c>
      <c r="BB61" s="41" t="str">
        <f t="shared" si="15"/>
        <v>DOM V27-IUS</v>
      </c>
      <c r="BC61" s="41" t="str">
        <f t="shared" si="15"/>
        <v>TNC V27-IUS</v>
      </c>
    </row>
    <row r="62" spans="2:55">
      <c r="B62" s="33">
        <f t="shared" si="10"/>
        <v>46692</v>
      </c>
      <c r="D62" s="35"/>
      <c r="E62" s="41"/>
      <c r="F62" s="41"/>
      <c r="G62" s="41" t="str">
        <f t="shared" si="1"/>
        <v>ADB X27-IUS</v>
      </c>
      <c r="H62" s="42">
        <v>83.1</v>
      </c>
      <c r="J62" s="33">
        <f t="shared" si="11"/>
        <v>46692</v>
      </c>
      <c r="K62" s="36"/>
      <c r="L62" s="35"/>
      <c r="M62" s="41"/>
      <c r="N62" s="41"/>
      <c r="O62" s="41" t="str">
        <f t="shared" si="2"/>
        <v>ADD X27-IUS</v>
      </c>
      <c r="P62" s="42">
        <v>64.150000000000006</v>
      </c>
      <c r="R62" s="33">
        <f t="shared" si="12"/>
        <v>46692</v>
      </c>
      <c r="S62" s="36"/>
      <c r="T62" s="35"/>
      <c r="U62" s="41"/>
      <c r="V62" s="41"/>
      <c r="W62" s="41" t="str">
        <f t="shared" si="3"/>
        <v>HNG X27-IUS</v>
      </c>
      <c r="X62" s="44">
        <v>4.8029999999999999</v>
      </c>
      <c r="Z62" s="33">
        <f t="shared" si="13"/>
        <v>46692</v>
      </c>
      <c r="AA62" s="36"/>
      <c r="AB62" s="35"/>
      <c r="AC62" s="41"/>
      <c r="AD62" s="41"/>
      <c r="AE62" s="41" t="str">
        <f t="shared" si="4"/>
        <v>DOM X27-IUS</v>
      </c>
      <c r="AF62" s="44">
        <v>-0.8125</v>
      </c>
      <c r="AH62" s="33">
        <f t="shared" si="14"/>
        <v>46692</v>
      </c>
      <c r="AI62" s="36"/>
      <c r="AJ62" s="35"/>
      <c r="AK62" s="41"/>
      <c r="AL62" s="41"/>
      <c r="AM62" s="41" t="str">
        <f t="shared" si="5"/>
        <v>TNC X27-IUS</v>
      </c>
      <c r="AN62" s="44">
        <v>-0.5575</v>
      </c>
      <c r="AT62" s="56">
        <f t="shared" si="6"/>
        <v>2027</v>
      </c>
      <c r="AU62" s="57" t="str">
        <f t="shared" si="7"/>
        <v>27</v>
      </c>
      <c r="AV62" s="58">
        <f t="shared" si="8"/>
        <v>11</v>
      </c>
      <c r="AW62" s="58" t="str" cm="1">
        <f t="array" ref="AW62">_xlfn.IFS(AV62=$AR$3,$AQ$3,AV62=$AR$4,$AQ$4,AV62=$AR$5,$AQ$5,AV62=$AR$6,$AQ$6,AV62=$AR$7,$AQ$7,AV62=$AR$8,$AQ$8,AV62=$AR$9,$AQ$9,AV62=$AR$10,$AQ$10,AV62=$AR$11,$AQ$11,AV62=$AR$12,$AQ$12,AV62=$AR$13,$AQ$13,AV62=$AR$14,$AQ$14)</f>
        <v>X</v>
      </c>
      <c r="AY62" s="41" t="str">
        <f t="shared" si="15"/>
        <v>ADB X27-IUS</v>
      </c>
      <c r="AZ62" s="41" t="str">
        <f t="shared" si="15"/>
        <v>ADD X27-IUS</v>
      </c>
      <c r="BA62" s="41" t="str">
        <f t="shared" si="15"/>
        <v>HNG X27-IUS</v>
      </c>
      <c r="BB62" s="41" t="str">
        <f t="shared" si="15"/>
        <v>DOM X27-IUS</v>
      </c>
      <c r="BC62" s="41" t="str">
        <f t="shared" si="15"/>
        <v>TNC X27-IUS</v>
      </c>
    </row>
    <row r="63" spans="2:55">
      <c r="B63" s="33">
        <f t="shared" si="10"/>
        <v>46722</v>
      </c>
      <c r="D63" s="35"/>
      <c r="E63" s="41"/>
      <c r="F63" s="41"/>
      <c r="G63" s="41" t="str">
        <f t="shared" si="1"/>
        <v>ADB Z27-IUS</v>
      </c>
      <c r="H63" s="42">
        <v>61.75</v>
      </c>
      <c r="J63" s="33">
        <f t="shared" si="11"/>
        <v>46722</v>
      </c>
      <c r="K63" s="36"/>
      <c r="L63" s="35"/>
      <c r="M63" s="41"/>
      <c r="N63" s="41"/>
      <c r="O63" s="41" t="str">
        <f t="shared" si="2"/>
        <v>ADD Z27-IUS</v>
      </c>
      <c r="P63" s="42">
        <v>49.65</v>
      </c>
      <c r="R63" s="33">
        <f t="shared" si="12"/>
        <v>46722</v>
      </c>
      <c r="S63" s="36"/>
      <c r="T63" s="35"/>
      <c r="U63" s="41"/>
      <c r="V63" s="41"/>
      <c r="W63" s="41" t="str">
        <f t="shared" si="3"/>
        <v>HNG Z27-IUS</v>
      </c>
      <c r="X63" s="44">
        <v>5.2279999999999998</v>
      </c>
      <c r="Z63" s="33">
        <f t="shared" si="13"/>
        <v>46722</v>
      </c>
      <c r="AA63" s="36"/>
      <c r="AB63" s="35"/>
      <c r="AC63" s="41"/>
      <c r="AD63" s="41"/>
      <c r="AE63" s="41" t="str">
        <f t="shared" si="4"/>
        <v>DOM Z27-IUS</v>
      </c>
      <c r="AF63" s="44">
        <v>-0.63749999999999996</v>
      </c>
      <c r="AH63" s="33">
        <f t="shared" si="14"/>
        <v>46722</v>
      </c>
      <c r="AI63" s="36"/>
      <c r="AJ63" s="35"/>
      <c r="AK63" s="41"/>
      <c r="AL63" s="41"/>
      <c r="AM63" s="41" t="str">
        <f t="shared" si="5"/>
        <v>TNC Z27-IUS</v>
      </c>
      <c r="AN63" s="44">
        <v>-0.315</v>
      </c>
      <c r="AT63" s="56">
        <f t="shared" si="6"/>
        <v>2027</v>
      </c>
      <c r="AU63" s="57" t="str">
        <f t="shared" si="7"/>
        <v>27</v>
      </c>
      <c r="AV63" s="58">
        <f t="shared" si="8"/>
        <v>12</v>
      </c>
      <c r="AW63" s="58" t="str" cm="1">
        <f t="array" ref="AW63">_xlfn.IFS(AV63=$AR$3,$AQ$3,AV63=$AR$4,$AQ$4,AV63=$AR$5,$AQ$5,AV63=$AR$6,$AQ$6,AV63=$AR$7,$AQ$7,AV63=$AR$8,$AQ$8,AV63=$AR$9,$AQ$9,AV63=$AR$10,$AQ$10,AV63=$AR$11,$AQ$11,AV63=$AR$12,$AQ$12,AV63=$AR$13,$AQ$13,AV63=$AR$14,$AQ$14)</f>
        <v>Z</v>
      </c>
      <c r="AY63" s="41" t="str">
        <f t="shared" si="15"/>
        <v>ADB Z27-IUS</v>
      </c>
      <c r="AZ63" s="41" t="str">
        <f t="shared" si="15"/>
        <v>ADD Z27-IUS</v>
      </c>
      <c r="BA63" s="41" t="str">
        <f t="shared" si="15"/>
        <v>HNG Z27-IUS</v>
      </c>
      <c r="BB63" s="41" t="str">
        <f t="shared" si="15"/>
        <v>DOM Z27-IUS</v>
      </c>
      <c r="BC63" s="41" t="str">
        <f t="shared" si="15"/>
        <v>TNC Z27-IUS</v>
      </c>
    </row>
    <row r="64" spans="2:55">
      <c r="B64" s="33">
        <f t="shared" si="10"/>
        <v>46753</v>
      </c>
      <c r="D64" s="35"/>
      <c r="E64" s="41"/>
      <c r="F64" s="41"/>
      <c r="G64" s="41" t="str">
        <f t="shared" si="1"/>
        <v>ADB F28-IUS</v>
      </c>
      <c r="H64" s="42">
        <v>68.150000000000006</v>
      </c>
      <c r="J64" s="33">
        <f t="shared" si="11"/>
        <v>46753</v>
      </c>
      <c r="K64" s="36"/>
      <c r="L64" s="35"/>
      <c r="M64" s="41"/>
      <c r="N64" s="41"/>
      <c r="O64" s="41" t="str">
        <f t="shared" si="2"/>
        <v>ADD F28-IUS</v>
      </c>
      <c r="P64" s="42">
        <v>47.95</v>
      </c>
      <c r="R64" s="33">
        <f t="shared" si="12"/>
        <v>46753</v>
      </c>
      <c r="S64" s="36"/>
      <c r="T64" s="35"/>
      <c r="U64" s="41"/>
      <c r="V64" s="41"/>
      <c r="W64" s="41" t="str">
        <f t="shared" si="3"/>
        <v>HNG F28-IUS</v>
      </c>
      <c r="X64" s="44">
        <v>5.4880000000000004</v>
      </c>
      <c r="Z64" s="33">
        <f t="shared" si="13"/>
        <v>46753</v>
      </c>
      <c r="AA64" s="36"/>
      <c r="AB64" s="35"/>
      <c r="AC64" s="41"/>
      <c r="AD64" s="41"/>
      <c r="AE64" s="41" t="str">
        <f t="shared" si="4"/>
        <v>DOM F28-IUS</v>
      </c>
      <c r="AF64" s="44">
        <v>-0.87749999999999995</v>
      </c>
      <c r="AH64" s="33">
        <f t="shared" si="14"/>
        <v>46753</v>
      </c>
      <c r="AI64" s="36"/>
      <c r="AJ64" s="35"/>
      <c r="AK64" s="41"/>
      <c r="AL64" s="41"/>
      <c r="AM64" s="41" t="str">
        <f t="shared" si="5"/>
        <v>TNC F28-IUS</v>
      </c>
      <c r="AN64" s="44"/>
      <c r="AT64" s="56">
        <f t="shared" si="6"/>
        <v>2028</v>
      </c>
      <c r="AU64" s="57" t="str">
        <f t="shared" si="7"/>
        <v>28</v>
      </c>
      <c r="AV64" s="58">
        <f t="shared" si="8"/>
        <v>1</v>
      </c>
      <c r="AW64" s="58" t="str" cm="1">
        <f t="array" ref="AW64">_xlfn.IFS(AV64=$AR$3,$AQ$3,AV64=$AR$4,$AQ$4,AV64=$AR$5,$AQ$5,AV64=$AR$6,$AQ$6,AV64=$AR$7,$AQ$7,AV64=$AR$8,$AQ$8,AV64=$AR$9,$AQ$9,AV64=$AR$10,$AQ$10,AV64=$AR$11,$AQ$11,AV64=$AR$12,$AQ$12,AV64=$AR$13,$AQ$13,AV64=$AR$14,$AQ$14)</f>
        <v>F</v>
      </c>
      <c r="AY64" s="41" t="str">
        <f t="shared" si="15"/>
        <v>ADB F28-IUS</v>
      </c>
      <c r="AZ64" s="41" t="str">
        <f t="shared" si="15"/>
        <v>ADD F28-IUS</v>
      </c>
      <c r="BA64" s="41" t="str">
        <f t="shared" si="15"/>
        <v>HNG F28-IUS</v>
      </c>
      <c r="BB64" s="41" t="str">
        <f t="shared" si="15"/>
        <v>DOM F28-IUS</v>
      </c>
      <c r="BC64" s="41" t="str">
        <f t="shared" si="15"/>
        <v>TNC F28-IUS</v>
      </c>
    </row>
    <row r="65" spans="2:55">
      <c r="B65" s="33">
        <f t="shared" si="10"/>
        <v>46784</v>
      </c>
      <c r="D65" s="35"/>
      <c r="E65" s="41"/>
      <c r="F65" s="41"/>
      <c r="G65" s="41" t="str">
        <f t="shared" si="1"/>
        <v>ADB G28-IUS</v>
      </c>
      <c r="H65" s="42">
        <v>52.6</v>
      </c>
      <c r="J65" s="33">
        <f t="shared" si="11"/>
        <v>46784</v>
      </c>
      <c r="K65" s="36"/>
      <c r="L65" s="35"/>
      <c r="M65" s="41"/>
      <c r="N65" s="41"/>
      <c r="O65" s="41" t="str">
        <f t="shared" si="2"/>
        <v>ADD G28-IUS</v>
      </c>
      <c r="P65" s="42">
        <v>34.4</v>
      </c>
      <c r="R65" s="33">
        <f t="shared" si="12"/>
        <v>46784</v>
      </c>
      <c r="S65" s="36"/>
      <c r="T65" s="35"/>
      <c r="U65" s="41"/>
      <c r="V65" s="41"/>
      <c r="W65" s="41" t="str">
        <f t="shared" si="3"/>
        <v>HNG G28-IUS</v>
      </c>
      <c r="X65" s="44">
        <v>5.2839999999999998</v>
      </c>
      <c r="Z65" s="33">
        <f t="shared" si="13"/>
        <v>46784</v>
      </c>
      <c r="AA65" s="36"/>
      <c r="AB65" s="35"/>
      <c r="AC65" s="41"/>
      <c r="AD65" s="41"/>
      <c r="AE65" s="41" t="str">
        <f t="shared" si="4"/>
        <v>DOM G28-IUS</v>
      </c>
      <c r="AF65" s="44">
        <v>-0.82250000000000001</v>
      </c>
      <c r="AH65" s="33">
        <f t="shared" si="14"/>
        <v>46784</v>
      </c>
      <c r="AI65" s="36"/>
      <c r="AJ65" s="35"/>
      <c r="AK65" s="41"/>
      <c r="AL65" s="41"/>
      <c r="AM65" s="41" t="str">
        <f t="shared" si="5"/>
        <v>TNC G28-IUS</v>
      </c>
      <c r="AN65" s="44"/>
      <c r="AT65" s="56">
        <f t="shared" si="6"/>
        <v>2028</v>
      </c>
      <c r="AU65" s="57" t="str">
        <f t="shared" si="7"/>
        <v>28</v>
      </c>
      <c r="AV65" s="58">
        <f t="shared" si="8"/>
        <v>2</v>
      </c>
      <c r="AW65" s="58" t="str" cm="1">
        <f t="array" ref="AW65">_xlfn.IFS(AV65=$AR$3,$AQ$3,AV65=$AR$4,$AQ$4,AV65=$AR$5,$AQ$5,AV65=$AR$6,$AQ$6,AV65=$AR$7,$AQ$7,AV65=$AR$8,$AQ$8,AV65=$AR$9,$AQ$9,AV65=$AR$10,$AQ$10,AV65=$AR$11,$AQ$11,AV65=$AR$12,$AQ$12,AV65=$AR$13,$AQ$13,AV65=$AR$14,$AQ$14)</f>
        <v>G</v>
      </c>
      <c r="AY65" s="41" t="str">
        <f t="shared" si="15"/>
        <v>ADB G28-IUS</v>
      </c>
      <c r="AZ65" s="41" t="str">
        <f t="shared" si="15"/>
        <v>ADD G28-IUS</v>
      </c>
      <c r="BA65" s="41" t="str">
        <f t="shared" si="15"/>
        <v>HNG G28-IUS</v>
      </c>
      <c r="BB65" s="41" t="str">
        <f t="shared" si="15"/>
        <v>DOM G28-IUS</v>
      </c>
      <c r="BC65" s="41" t="str">
        <f t="shared" si="15"/>
        <v>TNC G28-IUS</v>
      </c>
    </row>
    <row r="66" spans="2:55">
      <c r="B66" s="33">
        <f t="shared" si="10"/>
        <v>46813</v>
      </c>
      <c r="D66" s="35"/>
      <c r="E66" s="41"/>
      <c r="F66" s="41"/>
      <c r="G66" s="41" t="str">
        <f t="shared" si="1"/>
        <v>ADB H28-IUS</v>
      </c>
      <c r="H66" s="42">
        <v>65.5</v>
      </c>
      <c r="J66" s="33">
        <f t="shared" si="11"/>
        <v>46813</v>
      </c>
      <c r="K66" s="36"/>
      <c r="L66" s="35"/>
      <c r="M66" s="41"/>
      <c r="N66" s="41"/>
      <c r="O66" s="41" t="str">
        <f t="shared" si="2"/>
        <v>ADD H28-IUS</v>
      </c>
      <c r="P66" s="42">
        <v>44.2</v>
      </c>
      <c r="R66" s="33">
        <f t="shared" si="12"/>
        <v>46813</v>
      </c>
      <c r="S66" s="36"/>
      <c r="T66" s="35"/>
      <c r="U66" s="41"/>
      <c r="V66" s="41"/>
      <c r="W66" s="41" t="str">
        <f t="shared" si="3"/>
        <v>HNG H28-IUS</v>
      </c>
      <c r="X66" s="44">
        <v>4.9180000000000001</v>
      </c>
      <c r="Z66" s="33">
        <f t="shared" si="13"/>
        <v>46813</v>
      </c>
      <c r="AA66" s="36"/>
      <c r="AB66" s="35"/>
      <c r="AC66" s="41"/>
      <c r="AD66" s="41"/>
      <c r="AE66" s="41" t="str">
        <f t="shared" si="4"/>
        <v>DOM H28-IUS</v>
      </c>
      <c r="AF66" s="44">
        <v>-0.875</v>
      </c>
      <c r="AH66" s="33">
        <f t="shared" si="14"/>
        <v>46813</v>
      </c>
      <c r="AI66" s="36"/>
      <c r="AJ66" s="35"/>
      <c r="AK66" s="41"/>
      <c r="AL66" s="41"/>
      <c r="AM66" s="41" t="str">
        <f t="shared" si="5"/>
        <v>TNC H28-IUS</v>
      </c>
      <c r="AN66" s="44"/>
      <c r="AT66" s="56">
        <f t="shared" si="6"/>
        <v>2028</v>
      </c>
      <c r="AU66" s="57" t="str">
        <f t="shared" si="7"/>
        <v>28</v>
      </c>
      <c r="AV66" s="58">
        <f t="shared" si="8"/>
        <v>3</v>
      </c>
      <c r="AW66" s="58" t="str" cm="1">
        <f t="array" ref="AW66">_xlfn.IFS(AV66=$AR$3,$AQ$3,AV66=$AR$4,$AQ$4,AV66=$AR$5,$AQ$5,AV66=$AR$6,$AQ$6,AV66=$AR$7,$AQ$7,AV66=$AR$8,$AQ$8,AV66=$AR$9,$AQ$9,AV66=$AR$10,$AQ$10,AV66=$AR$11,$AQ$11,AV66=$AR$12,$AQ$12,AV66=$AR$13,$AQ$13,AV66=$AR$14,$AQ$14)</f>
        <v>H</v>
      </c>
      <c r="AY66" s="41" t="str">
        <f t="shared" si="15"/>
        <v>ADB H28-IUS</v>
      </c>
      <c r="AZ66" s="41" t="str">
        <f t="shared" si="15"/>
        <v>ADD H28-IUS</v>
      </c>
      <c r="BA66" s="41" t="str">
        <f t="shared" si="15"/>
        <v>HNG H28-IUS</v>
      </c>
      <c r="BB66" s="41" t="str">
        <f t="shared" si="15"/>
        <v>DOM H28-IUS</v>
      </c>
      <c r="BC66" s="41" t="str">
        <f t="shared" si="15"/>
        <v>TNC H28-IUS</v>
      </c>
    </row>
    <row r="67" spans="2:55">
      <c r="B67" s="33">
        <f t="shared" si="10"/>
        <v>46844</v>
      </c>
      <c r="D67" s="35"/>
      <c r="E67" s="41"/>
      <c r="F67" s="41"/>
      <c r="G67" s="41" t="str">
        <f t="shared" si="1"/>
        <v>ADB J28-IUS</v>
      </c>
      <c r="H67" s="42">
        <v>64.599999999999994</v>
      </c>
      <c r="J67" s="33">
        <f t="shared" si="11"/>
        <v>46844</v>
      </c>
      <c r="K67" s="36"/>
      <c r="L67" s="35"/>
      <c r="M67" s="41"/>
      <c r="N67" s="41"/>
      <c r="O67" s="41" t="str">
        <f t="shared" si="2"/>
        <v>ADD J28-IUS</v>
      </c>
      <c r="P67" s="42">
        <v>40.5</v>
      </c>
      <c r="R67" s="33">
        <f t="shared" si="12"/>
        <v>46844</v>
      </c>
      <c r="S67" s="36"/>
      <c r="T67" s="35"/>
      <c r="U67" s="41"/>
      <c r="V67" s="41"/>
      <c r="W67" s="41" t="str">
        <f t="shared" si="3"/>
        <v>HNG J28-IUS</v>
      </c>
      <c r="X67" s="44">
        <v>4.298</v>
      </c>
      <c r="Z67" s="33">
        <f t="shared" si="13"/>
        <v>46844</v>
      </c>
      <c r="AA67" s="36"/>
      <c r="AB67" s="35"/>
      <c r="AC67" s="41"/>
      <c r="AD67" s="41"/>
      <c r="AE67" s="41" t="str">
        <f t="shared" si="4"/>
        <v>DOM J28-IUS</v>
      </c>
      <c r="AF67" s="44">
        <v>-0.64</v>
      </c>
      <c r="AH67" s="33">
        <f t="shared" si="14"/>
        <v>46844</v>
      </c>
      <c r="AI67" s="36"/>
      <c r="AJ67" s="35"/>
      <c r="AK67" s="41"/>
      <c r="AL67" s="41"/>
      <c r="AM67" s="41" t="str">
        <f t="shared" si="5"/>
        <v>TNC J28-IUS</v>
      </c>
      <c r="AN67" s="44"/>
      <c r="AT67" s="56">
        <f t="shared" si="6"/>
        <v>2028</v>
      </c>
      <c r="AU67" s="57" t="str">
        <f t="shared" si="7"/>
        <v>28</v>
      </c>
      <c r="AV67" s="58">
        <f t="shared" si="8"/>
        <v>4</v>
      </c>
      <c r="AW67" s="58" t="str" cm="1">
        <f t="array" ref="AW67">_xlfn.IFS(AV67=$AR$3,$AQ$3,AV67=$AR$4,$AQ$4,AV67=$AR$5,$AQ$5,AV67=$AR$6,$AQ$6,AV67=$AR$7,$AQ$7,AV67=$AR$8,$AQ$8,AV67=$AR$9,$AQ$9,AV67=$AR$10,$AQ$10,AV67=$AR$11,$AQ$11,AV67=$AR$12,$AQ$12,AV67=$AR$13,$AQ$13,AV67=$AR$14,$AQ$14)</f>
        <v>J</v>
      </c>
      <c r="AY67" s="41" t="str">
        <f t="shared" si="15"/>
        <v>ADB J28-IUS</v>
      </c>
      <c r="AZ67" s="41" t="str">
        <f t="shared" si="15"/>
        <v>ADD J28-IUS</v>
      </c>
      <c r="BA67" s="41" t="str">
        <f t="shared" si="15"/>
        <v>HNG J28-IUS</v>
      </c>
      <c r="BB67" s="41" t="str">
        <f t="shared" si="15"/>
        <v>DOM J28-IUS</v>
      </c>
      <c r="BC67" s="41" t="str">
        <f t="shared" si="15"/>
        <v>TNC J28-IUS</v>
      </c>
    </row>
    <row r="68" spans="2:55">
      <c r="B68" s="33">
        <f t="shared" si="10"/>
        <v>46874</v>
      </c>
      <c r="D68" s="35"/>
      <c r="E68" s="41"/>
      <c r="F68" s="41"/>
      <c r="G68" s="41" t="str">
        <f t="shared" si="1"/>
        <v>ADB K28-IUS</v>
      </c>
      <c r="H68" s="42">
        <v>57.55</v>
      </c>
      <c r="J68" s="33">
        <f t="shared" si="11"/>
        <v>46874</v>
      </c>
      <c r="K68" s="36"/>
      <c r="L68" s="35"/>
      <c r="M68" s="41"/>
      <c r="N68" s="41"/>
      <c r="O68" s="41" t="str">
        <f t="shared" si="2"/>
        <v>ADD K28-IUS</v>
      </c>
      <c r="P68" s="42">
        <v>39.6</v>
      </c>
      <c r="R68" s="33">
        <f t="shared" si="12"/>
        <v>46874</v>
      </c>
      <c r="S68" s="36"/>
      <c r="T68" s="35"/>
      <c r="U68" s="41"/>
      <c r="V68" s="41"/>
      <c r="W68" s="41" t="str">
        <f t="shared" si="3"/>
        <v>HNG K28-IUS</v>
      </c>
      <c r="X68" s="44">
        <v>4.29</v>
      </c>
      <c r="Z68" s="33">
        <f t="shared" si="13"/>
        <v>46874</v>
      </c>
      <c r="AA68" s="36"/>
      <c r="AB68" s="35"/>
      <c r="AC68" s="41"/>
      <c r="AD68" s="41"/>
      <c r="AE68" s="41" t="str">
        <f t="shared" si="4"/>
        <v>DOM K28-IUS</v>
      </c>
      <c r="AF68" s="44">
        <v>-0.87</v>
      </c>
      <c r="AH68" s="33">
        <f t="shared" si="14"/>
        <v>46874</v>
      </c>
      <c r="AI68" s="36"/>
      <c r="AJ68" s="35"/>
      <c r="AK68" s="41"/>
      <c r="AL68" s="41"/>
      <c r="AM68" s="41" t="str">
        <f t="shared" si="5"/>
        <v>TNC K28-IUS</v>
      </c>
      <c r="AN68" s="44"/>
      <c r="AT68" s="56">
        <f t="shared" si="6"/>
        <v>2028</v>
      </c>
      <c r="AU68" s="57" t="str">
        <f t="shared" si="7"/>
        <v>28</v>
      </c>
      <c r="AV68" s="58">
        <f t="shared" si="8"/>
        <v>5</v>
      </c>
      <c r="AW68" s="58" t="str" cm="1">
        <f t="array" ref="AW68">_xlfn.IFS(AV68=$AR$3,$AQ$3,AV68=$AR$4,$AQ$4,AV68=$AR$5,$AQ$5,AV68=$AR$6,$AQ$6,AV68=$AR$7,$AQ$7,AV68=$AR$8,$AQ$8,AV68=$AR$9,$AQ$9,AV68=$AR$10,$AQ$10,AV68=$AR$11,$AQ$11,AV68=$AR$12,$AQ$12,AV68=$AR$13,$AQ$13,AV68=$AR$14,$AQ$14)</f>
        <v>K</v>
      </c>
      <c r="AY68" s="41" t="str">
        <f t="shared" si="15"/>
        <v>ADB K28-IUS</v>
      </c>
      <c r="AZ68" s="41" t="str">
        <f t="shared" si="15"/>
        <v>ADD K28-IUS</v>
      </c>
      <c r="BA68" s="41" t="str">
        <f t="shared" si="15"/>
        <v>HNG K28-IUS</v>
      </c>
      <c r="BB68" s="41" t="str">
        <f t="shared" si="15"/>
        <v>DOM K28-IUS</v>
      </c>
      <c r="BC68" s="41" t="str">
        <f t="shared" si="15"/>
        <v>TNC K28-IUS</v>
      </c>
    </row>
    <row r="69" spans="2:55">
      <c r="B69" s="33">
        <f t="shared" si="10"/>
        <v>46905</v>
      </c>
      <c r="D69" s="35"/>
      <c r="E69" s="41"/>
      <c r="F69" s="41"/>
      <c r="G69" s="41" t="str">
        <f t="shared" ref="G69:G87" si="16">AY69</f>
        <v>ADB M28-IUS</v>
      </c>
      <c r="H69" s="42">
        <v>64.599999999999994</v>
      </c>
      <c r="J69" s="33">
        <f t="shared" si="11"/>
        <v>46905</v>
      </c>
      <c r="K69" s="36"/>
      <c r="L69" s="35"/>
      <c r="M69" s="41"/>
      <c r="N69" s="41"/>
      <c r="O69" s="41" t="str">
        <f t="shared" ref="O69:O87" si="17">AZ69</f>
        <v>ADD M28-IUS</v>
      </c>
      <c r="P69" s="42">
        <v>52.15</v>
      </c>
      <c r="R69" s="33">
        <f t="shared" si="12"/>
        <v>46905</v>
      </c>
      <c r="S69" s="36"/>
      <c r="T69" s="35"/>
      <c r="U69" s="41"/>
      <c r="V69" s="41"/>
      <c r="W69" s="41" t="str">
        <f t="shared" ref="W69:W87" si="18">BA69</f>
        <v>HNG M28-IUS</v>
      </c>
      <c r="X69" s="44">
        <v>4.3739999999999997</v>
      </c>
      <c r="Z69" s="33">
        <f t="shared" si="13"/>
        <v>46905</v>
      </c>
      <c r="AA69" s="36"/>
      <c r="AB69" s="35"/>
      <c r="AC69" s="41"/>
      <c r="AD69" s="41"/>
      <c r="AE69" s="41" t="str">
        <f t="shared" ref="AE69:AE87" si="19">BB69</f>
        <v>DOM M28-IUS</v>
      </c>
      <c r="AF69" s="44">
        <v>-0.86499999999999999</v>
      </c>
      <c r="AH69" s="33">
        <f t="shared" si="14"/>
        <v>46905</v>
      </c>
      <c r="AI69" s="36"/>
      <c r="AJ69" s="35"/>
      <c r="AK69" s="41"/>
      <c r="AL69" s="41"/>
      <c r="AM69" s="41" t="str">
        <f t="shared" ref="AM69:AM87" si="20">BC69</f>
        <v>TNC M28-IUS</v>
      </c>
      <c r="AN69" s="44"/>
      <c r="AT69" s="56">
        <f t="shared" ref="AT69:AT132" si="21">YEAR(R69)</f>
        <v>2028</v>
      </c>
      <c r="AU69" s="57" t="str">
        <f t="shared" ref="AU69:AU132" si="22">RIGHT(AT69,2)</f>
        <v>28</v>
      </c>
      <c r="AV69" s="58">
        <f t="shared" ref="AV69:AV132" si="23">MONTH(R69)</f>
        <v>6</v>
      </c>
      <c r="AW69" s="58" t="str" cm="1">
        <f t="array" ref="AW69">_xlfn.IFS(AV69=$AR$3,$AQ$3,AV69=$AR$4,$AQ$4,AV69=$AR$5,$AQ$5,AV69=$AR$6,$AQ$6,AV69=$AR$7,$AQ$7,AV69=$AR$8,$AQ$8,AV69=$AR$9,$AQ$9,AV69=$AR$10,$AQ$10,AV69=$AR$11,$AQ$11,AV69=$AR$12,$AQ$12,AV69=$AR$13,$AQ$13,AV69=$AR$14,$AQ$14)</f>
        <v>M</v>
      </c>
      <c r="AY69" s="41" t="str">
        <f t="shared" ref="AY69:BC100" si="24">AY$3&amp;" "&amp;$AW69&amp;$AU69&amp;"-IUS"</f>
        <v>ADB M28-IUS</v>
      </c>
      <c r="AZ69" s="41" t="str">
        <f t="shared" si="24"/>
        <v>ADD M28-IUS</v>
      </c>
      <c r="BA69" s="41" t="str">
        <f t="shared" si="24"/>
        <v>HNG M28-IUS</v>
      </c>
      <c r="BB69" s="41" t="str">
        <f t="shared" si="24"/>
        <v>DOM M28-IUS</v>
      </c>
      <c r="BC69" s="41" t="str">
        <f t="shared" si="24"/>
        <v>TNC M28-IUS</v>
      </c>
    </row>
    <row r="70" spans="2:55">
      <c r="B70" s="33">
        <f t="shared" ref="B70:B132" si="25">EOMONTH(B69,0)+1</f>
        <v>46935</v>
      </c>
      <c r="D70" s="35"/>
      <c r="E70" s="41"/>
      <c r="F70" s="41"/>
      <c r="G70" s="41" t="str">
        <f t="shared" si="16"/>
        <v>ADB N28-IUS</v>
      </c>
      <c r="H70" s="42">
        <v>74.75</v>
      </c>
      <c r="J70" s="33">
        <f t="shared" ref="J70:J132" si="26">EOMONTH(J69,0)+1</f>
        <v>46935</v>
      </c>
      <c r="K70" s="36"/>
      <c r="L70" s="35"/>
      <c r="M70" s="41"/>
      <c r="N70" s="41"/>
      <c r="O70" s="41" t="str">
        <f t="shared" si="17"/>
        <v>ADD N28-IUS</v>
      </c>
      <c r="P70" s="42">
        <v>54.2</v>
      </c>
      <c r="R70" s="33">
        <f t="shared" ref="R70:R132" si="27">EOMONTH(R69,0)+1</f>
        <v>46935</v>
      </c>
      <c r="S70" s="36"/>
      <c r="T70" s="35"/>
      <c r="U70" s="41"/>
      <c r="V70" s="41"/>
      <c r="W70" s="41" t="str">
        <f t="shared" si="18"/>
        <v>HNG N28-IUS</v>
      </c>
      <c r="X70" s="44">
        <v>4.4610000000000003</v>
      </c>
      <c r="Z70" s="33">
        <f t="shared" ref="Z70:Z132" si="28">EOMONTH(Z69,0)+1</f>
        <v>46935</v>
      </c>
      <c r="AA70" s="36"/>
      <c r="AB70" s="35"/>
      <c r="AC70" s="41"/>
      <c r="AD70" s="41"/>
      <c r="AE70" s="41" t="str">
        <f t="shared" si="19"/>
        <v>DOM N28-IUS</v>
      </c>
      <c r="AF70" s="44">
        <v>-1.0024999999999999</v>
      </c>
      <c r="AH70" s="33">
        <f t="shared" ref="AH70:AH132" si="29">EOMONTH(AH69,0)+1</f>
        <v>46935</v>
      </c>
      <c r="AI70" s="36"/>
      <c r="AJ70" s="35"/>
      <c r="AK70" s="41"/>
      <c r="AL70" s="41"/>
      <c r="AM70" s="41" t="str">
        <f t="shared" si="20"/>
        <v>TNC N28-IUS</v>
      </c>
      <c r="AN70" s="44"/>
      <c r="AT70" s="56">
        <f t="shared" si="21"/>
        <v>2028</v>
      </c>
      <c r="AU70" s="57" t="str">
        <f t="shared" si="22"/>
        <v>28</v>
      </c>
      <c r="AV70" s="58">
        <f t="shared" si="23"/>
        <v>7</v>
      </c>
      <c r="AW70" s="58" t="str" cm="1">
        <f t="array" ref="AW70">_xlfn.IFS(AV70=$AR$3,$AQ$3,AV70=$AR$4,$AQ$4,AV70=$AR$5,$AQ$5,AV70=$AR$6,$AQ$6,AV70=$AR$7,$AQ$7,AV70=$AR$8,$AQ$8,AV70=$AR$9,$AQ$9,AV70=$AR$10,$AQ$10,AV70=$AR$11,$AQ$11,AV70=$AR$12,$AQ$12,AV70=$AR$13,$AQ$13,AV70=$AR$14,$AQ$14)</f>
        <v>N</v>
      </c>
      <c r="AY70" s="41" t="str">
        <f t="shared" si="24"/>
        <v>ADB N28-IUS</v>
      </c>
      <c r="AZ70" s="41" t="str">
        <f t="shared" si="24"/>
        <v>ADD N28-IUS</v>
      </c>
      <c r="BA70" s="41" t="str">
        <f t="shared" si="24"/>
        <v>HNG N28-IUS</v>
      </c>
      <c r="BB70" s="41" t="str">
        <f t="shared" si="24"/>
        <v>DOM N28-IUS</v>
      </c>
      <c r="BC70" s="41" t="str">
        <f t="shared" si="24"/>
        <v>TNC N28-IUS</v>
      </c>
    </row>
    <row r="71" spans="2:55">
      <c r="B71" s="33">
        <f t="shared" si="25"/>
        <v>46966</v>
      </c>
      <c r="D71" s="35"/>
      <c r="E71" s="41"/>
      <c r="F71" s="41"/>
      <c r="G71" s="41" t="str">
        <f t="shared" si="16"/>
        <v>ADB Q28-IUS</v>
      </c>
      <c r="H71" s="42">
        <v>86.35</v>
      </c>
      <c r="J71" s="33">
        <f t="shared" si="26"/>
        <v>46966</v>
      </c>
      <c r="K71" s="36"/>
      <c r="L71" s="35"/>
      <c r="M71" s="41"/>
      <c r="N71" s="41"/>
      <c r="O71" s="41" t="str">
        <f t="shared" si="17"/>
        <v>ADD Q28-IUS</v>
      </c>
      <c r="P71" s="42">
        <v>64.099999999999994</v>
      </c>
      <c r="R71" s="33">
        <f t="shared" si="27"/>
        <v>46966</v>
      </c>
      <c r="S71" s="36"/>
      <c r="T71" s="35"/>
      <c r="U71" s="41"/>
      <c r="V71" s="41"/>
      <c r="W71" s="41" t="str">
        <f t="shared" si="18"/>
        <v>HNG Q28-IUS</v>
      </c>
      <c r="X71" s="44">
        <v>4.4850000000000003</v>
      </c>
      <c r="Z71" s="33">
        <f t="shared" si="28"/>
        <v>46966</v>
      </c>
      <c r="AA71" s="36"/>
      <c r="AB71" s="35"/>
      <c r="AC71" s="41"/>
      <c r="AD71" s="41"/>
      <c r="AE71" s="41" t="str">
        <f t="shared" si="19"/>
        <v>DOM Q28-IUS</v>
      </c>
      <c r="AF71" s="44">
        <v>-1.095</v>
      </c>
      <c r="AH71" s="33">
        <f t="shared" si="29"/>
        <v>46966</v>
      </c>
      <c r="AI71" s="36"/>
      <c r="AJ71" s="35"/>
      <c r="AK71" s="41"/>
      <c r="AL71" s="41"/>
      <c r="AM71" s="41" t="str">
        <f t="shared" si="20"/>
        <v>TNC Q28-IUS</v>
      </c>
      <c r="AN71" s="44"/>
      <c r="AT71" s="56">
        <f t="shared" si="21"/>
        <v>2028</v>
      </c>
      <c r="AU71" s="57" t="str">
        <f t="shared" si="22"/>
        <v>28</v>
      </c>
      <c r="AV71" s="58">
        <f t="shared" si="23"/>
        <v>8</v>
      </c>
      <c r="AW71" s="58" t="str" cm="1">
        <f t="array" ref="AW71">_xlfn.IFS(AV71=$AR$3,$AQ$3,AV71=$AR$4,$AQ$4,AV71=$AR$5,$AQ$5,AV71=$AR$6,$AQ$6,AV71=$AR$7,$AQ$7,AV71=$AR$8,$AQ$8,AV71=$AR$9,$AQ$9,AV71=$AR$10,$AQ$10,AV71=$AR$11,$AQ$11,AV71=$AR$12,$AQ$12,AV71=$AR$13,$AQ$13,AV71=$AR$14,$AQ$14)</f>
        <v>Q</v>
      </c>
      <c r="AY71" s="41" t="str">
        <f t="shared" si="24"/>
        <v>ADB Q28-IUS</v>
      </c>
      <c r="AZ71" s="41" t="str">
        <f t="shared" si="24"/>
        <v>ADD Q28-IUS</v>
      </c>
      <c r="BA71" s="41" t="str">
        <f t="shared" si="24"/>
        <v>HNG Q28-IUS</v>
      </c>
      <c r="BB71" s="41" t="str">
        <f t="shared" si="24"/>
        <v>DOM Q28-IUS</v>
      </c>
      <c r="BC71" s="41" t="str">
        <f t="shared" si="24"/>
        <v>TNC Q28-IUS</v>
      </c>
    </row>
    <row r="72" spans="2:55">
      <c r="B72" s="33">
        <f t="shared" si="25"/>
        <v>46997</v>
      </c>
      <c r="D72" s="35"/>
      <c r="E72" s="41"/>
      <c r="F72" s="41"/>
      <c r="G72" s="41" t="str">
        <f t="shared" si="16"/>
        <v>ADB U28-IUS</v>
      </c>
      <c r="H72" s="42">
        <v>62.15</v>
      </c>
      <c r="J72" s="33">
        <f t="shared" si="26"/>
        <v>46997</v>
      </c>
      <c r="K72" s="36"/>
      <c r="L72" s="35"/>
      <c r="M72" s="41"/>
      <c r="N72" s="41"/>
      <c r="O72" s="41" t="str">
        <f t="shared" si="17"/>
        <v>ADD U28-IUS</v>
      </c>
      <c r="P72" s="42">
        <v>49.85</v>
      </c>
      <c r="R72" s="33">
        <f t="shared" si="27"/>
        <v>46997</v>
      </c>
      <c r="S72" s="36"/>
      <c r="T72" s="35"/>
      <c r="U72" s="41"/>
      <c r="V72" s="41"/>
      <c r="W72" s="41" t="str">
        <f t="shared" si="18"/>
        <v>HNG U28-IUS</v>
      </c>
      <c r="X72" s="44">
        <v>4.4930000000000003</v>
      </c>
      <c r="Z72" s="33">
        <f t="shared" si="28"/>
        <v>46997</v>
      </c>
      <c r="AA72" s="36"/>
      <c r="AB72" s="35"/>
      <c r="AC72" s="41"/>
      <c r="AD72" s="41"/>
      <c r="AE72" s="41" t="str">
        <f t="shared" si="19"/>
        <v>DOM U28-IUS</v>
      </c>
      <c r="AF72" s="44">
        <v>-1.4</v>
      </c>
      <c r="AH72" s="33">
        <f t="shared" si="29"/>
        <v>46997</v>
      </c>
      <c r="AI72" s="36"/>
      <c r="AJ72" s="35"/>
      <c r="AK72" s="41"/>
      <c r="AL72" s="41"/>
      <c r="AM72" s="41" t="str">
        <f t="shared" si="20"/>
        <v>TNC U28-IUS</v>
      </c>
      <c r="AN72" s="44"/>
      <c r="AT72" s="56">
        <f t="shared" si="21"/>
        <v>2028</v>
      </c>
      <c r="AU72" s="57" t="str">
        <f t="shared" si="22"/>
        <v>28</v>
      </c>
      <c r="AV72" s="58">
        <f t="shared" si="23"/>
        <v>9</v>
      </c>
      <c r="AW72" s="58" t="str" cm="1">
        <f t="array" ref="AW72">_xlfn.IFS(AV72=$AR$3,$AQ$3,AV72=$AR$4,$AQ$4,AV72=$AR$5,$AQ$5,AV72=$AR$6,$AQ$6,AV72=$AR$7,$AQ$7,AV72=$AR$8,$AQ$8,AV72=$AR$9,$AQ$9,AV72=$AR$10,$AQ$10,AV72=$AR$11,$AQ$11,AV72=$AR$12,$AQ$12,AV72=$AR$13,$AQ$13,AV72=$AR$14,$AQ$14)</f>
        <v>U</v>
      </c>
      <c r="AY72" s="41" t="str">
        <f t="shared" si="24"/>
        <v>ADB U28-IUS</v>
      </c>
      <c r="AZ72" s="41" t="str">
        <f t="shared" si="24"/>
        <v>ADD U28-IUS</v>
      </c>
      <c r="BA72" s="41" t="str">
        <f t="shared" si="24"/>
        <v>HNG U28-IUS</v>
      </c>
      <c r="BB72" s="41" t="str">
        <f t="shared" si="24"/>
        <v>DOM U28-IUS</v>
      </c>
      <c r="BC72" s="41" t="str">
        <f t="shared" si="24"/>
        <v>TNC U28-IUS</v>
      </c>
    </row>
    <row r="73" spans="2:55">
      <c r="B73" s="33">
        <f t="shared" si="25"/>
        <v>47027</v>
      </c>
      <c r="D73" s="35"/>
      <c r="E73" s="41"/>
      <c r="F73" s="41"/>
      <c r="G73" s="41" t="str">
        <f t="shared" si="16"/>
        <v>ADB V28-IUS</v>
      </c>
      <c r="H73" s="42">
        <v>56.55</v>
      </c>
      <c r="J73" s="33">
        <f t="shared" si="26"/>
        <v>47027</v>
      </c>
      <c r="K73" s="36"/>
      <c r="L73" s="35"/>
      <c r="M73" s="41"/>
      <c r="N73" s="41"/>
      <c r="O73" s="41" t="str">
        <f t="shared" si="17"/>
        <v>ADD V28-IUS</v>
      </c>
      <c r="P73" s="42">
        <v>38.1</v>
      </c>
      <c r="R73" s="33">
        <f t="shared" si="27"/>
        <v>47027</v>
      </c>
      <c r="S73" s="36"/>
      <c r="T73" s="35"/>
      <c r="U73" s="41"/>
      <c r="V73" s="41"/>
      <c r="W73" s="41" t="str">
        <f t="shared" si="18"/>
        <v>HNG V28-IUS</v>
      </c>
      <c r="X73" s="44">
        <v>4.5759999999999996</v>
      </c>
      <c r="Z73" s="33">
        <f t="shared" si="28"/>
        <v>47027</v>
      </c>
      <c r="AA73" s="36"/>
      <c r="AB73" s="35"/>
      <c r="AC73" s="41"/>
      <c r="AD73" s="41"/>
      <c r="AE73" s="41" t="str">
        <f t="shared" si="19"/>
        <v>DOM V28-IUS</v>
      </c>
      <c r="AF73" s="44">
        <v>-1.38</v>
      </c>
      <c r="AH73" s="33">
        <f t="shared" si="29"/>
        <v>47027</v>
      </c>
      <c r="AI73" s="36"/>
      <c r="AJ73" s="35"/>
      <c r="AK73" s="41"/>
      <c r="AL73" s="41"/>
      <c r="AM73" s="41" t="str">
        <f t="shared" si="20"/>
        <v>TNC V28-IUS</v>
      </c>
      <c r="AN73" s="45"/>
      <c r="AT73" s="56">
        <f t="shared" si="21"/>
        <v>2028</v>
      </c>
      <c r="AU73" s="57" t="str">
        <f t="shared" si="22"/>
        <v>28</v>
      </c>
      <c r="AV73" s="58">
        <f t="shared" si="23"/>
        <v>10</v>
      </c>
      <c r="AW73" s="58" t="str" cm="1">
        <f t="array" ref="AW73">_xlfn.IFS(AV73=$AR$3,$AQ$3,AV73=$AR$4,$AQ$4,AV73=$AR$5,$AQ$5,AV73=$AR$6,$AQ$6,AV73=$AR$7,$AQ$7,AV73=$AR$8,$AQ$8,AV73=$AR$9,$AQ$9,AV73=$AR$10,$AQ$10,AV73=$AR$11,$AQ$11,AV73=$AR$12,$AQ$12,AV73=$AR$13,$AQ$13,AV73=$AR$14,$AQ$14)</f>
        <v>V</v>
      </c>
      <c r="AY73" s="41" t="str">
        <f t="shared" si="24"/>
        <v>ADB V28-IUS</v>
      </c>
      <c r="AZ73" s="41" t="str">
        <f t="shared" si="24"/>
        <v>ADD V28-IUS</v>
      </c>
      <c r="BA73" s="41" t="str">
        <f t="shared" si="24"/>
        <v>HNG V28-IUS</v>
      </c>
      <c r="BB73" s="41" t="str">
        <f t="shared" si="24"/>
        <v>DOM V28-IUS</v>
      </c>
      <c r="BC73" s="41" t="str">
        <f t="shared" si="24"/>
        <v>TNC V28-IUS</v>
      </c>
    </row>
    <row r="74" spans="2:55">
      <c r="B74" s="33">
        <f t="shared" si="25"/>
        <v>47058</v>
      </c>
      <c r="D74" s="35"/>
      <c r="E74" s="41"/>
      <c r="F74" s="41"/>
      <c r="G74" s="41" t="str">
        <f t="shared" si="16"/>
        <v>ADB X28-IUS</v>
      </c>
      <c r="H74" s="42">
        <v>51.35</v>
      </c>
      <c r="J74" s="33">
        <f t="shared" si="26"/>
        <v>47058</v>
      </c>
      <c r="K74" s="36"/>
      <c r="L74" s="35"/>
      <c r="M74" s="41"/>
      <c r="N74" s="41"/>
      <c r="O74" s="41" t="str">
        <f t="shared" si="17"/>
        <v>ADD X28-IUS</v>
      </c>
      <c r="P74" s="42">
        <v>35.65</v>
      </c>
      <c r="R74" s="33">
        <f t="shared" si="27"/>
        <v>47058</v>
      </c>
      <c r="S74" s="36"/>
      <c r="T74" s="35"/>
      <c r="U74" s="41"/>
      <c r="V74" s="41"/>
      <c r="W74" s="41" t="str">
        <f t="shared" si="18"/>
        <v>HNG X28-IUS</v>
      </c>
      <c r="X74" s="44">
        <v>4.9249999999999998</v>
      </c>
      <c r="Z74" s="33">
        <f t="shared" si="28"/>
        <v>47058</v>
      </c>
      <c r="AA74" s="36"/>
      <c r="AB74" s="35"/>
      <c r="AC74" s="41"/>
      <c r="AD74" s="41"/>
      <c r="AE74" s="41" t="str">
        <f t="shared" si="19"/>
        <v>DOM X28-IUS</v>
      </c>
      <c r="AF74" s="44">
        <v>-0.78</v>
      </c>
      <c r="AH74" s="33">
        <f t="shared" si="29"/>
        <v>47058</v>
      </c>
      <c r="AI74" s="36"/>
      <c r="AJ74" s="35"/>
      <c r="AK74" s="41"/>
      <c r="AL74" s="41"/>
      <c r="AM74" s="41" t="str">
        <f t="shared" si="20"/>
        <v>TNC X28-IUS</v>
      </c>
      <c r="AN74" s="45"/>
      <c r="AT74" s="56">
        <f t="shared" si="21"/>
        <v>2028</v>
      </c>
      <c r="AU74" s="57" t="str">
        <f t="shared" si="22"/>
        <v>28</v>
      </c>
      <c r="AV74" s="58">
        <f t="shared" si="23"/>
        <v>11</v>
      </c>
      <c r="AW74" s="58" t="str" cm="1">
        <f t="array" ref="AW74">_xlfn.IFS(AV74=$AR$3,$AQ$3,AV74=$AR$4,$AQ$4,AV74=$AR$5,$AQ$5,AV74=$AR$6,$AQ$6,AV74=$AR$7,$AQ$7,AV74=$AR$8,$AQ$8,AV74=$AR$9,$AQ$9,AV74=$AR$10,$AQ$10,AV74=$AR$11,$AQ$11,AV74=$AR$12,$AQ$12,AV74=$AR$13,$AQ$13,AV74=$AR$14,$AQ$14)</f>
        <v>X</v>
      </c>
      <c r="AY74" s="41" t="str">
        <f t="shared" si="24"/>
        <v>ADB X28-IUS</v>
      </c>
      <c r="AZ74" s="41" t="str">
        <f t="shared" si="24"/>
        <v>ADD X28-IUS</v>
      </c>
      <c r="BA74" s="41" t="str">
        <f t="shared" si="24"/>
        <v>HNG X28-IUS</v>
      </c>
      <c r="BB74" s="41" t="str">
        <f t="shared" si="24"/>
        <v>DOM X28-IUS</v>
      </c>
      <c r="BC74" s="41" t="str">
        <f t="shared" si="24"/>
        <v>TNC X28-IUS</v>
      </c>
    </row>
    <row r="75" spans="2:55">
      <c r="B75" s="33">
        <f t="shared" si="25"/>
        <v>47088</v>
      </c>
      <c r="D75" s="35"/>
      <c r="E75" s="41"/>
      <c r="F75" s="41"/>
      <c r="G75" s="41" t="str">
        <f t="shared" si="16"/>
        <v>ADB Z28-IUS</v>
      </c>
      <c r="H75" s="42">
        <v>68.2</v>
      </c>
      <c r="J75" s="33">
        <f t="shared" si="26"/>
        <v>47088</v>
      </c>
      <c r="K75" s="36"/>
      <c r="L75" s="35"/>
      <c r="M75" s="41"/>
      <c r="N75" s="41"/>
      <c r="O75" s="41" t="str">
        <f t="shared" si="17"/>
        <v>ADD Z28-IUS</v>
      </c>
      <c r="P75" s="42">
        <v>44.3</v>
      </c>
      <c r="R75" s="33">
        <f t="shared" si="27"/>
        <v>47088</v>
      </c>
      <c r="S75" s="36"/>
      <c r="T75" s="35"/>
      <c r="U75" s="41"/>
      <c r="V75" s="41"/>
      <c r="W75" s="41" t="str">
        <f t="shared" si="18"/>
        <v>HNG Z28-IUS</v>
      </c>
      <c r="X75" s="44">
        <v>5.3490000000000002</v>
      </c>
      <c r="Z75" s="33">
        <f t="shared" si="28"/>
        <v>47088</v>
      </c>
      <c r="AA75" s="36"/>
      <c r="AB75" s="35"/>
      <c r="AC75" s="41"/>
      <c r="AD75" s="41"/>
      <c r="AE75" s="41" t="str">
        <f t="shared" si="19"/>
        <v>DOM Z28-IUS</v>
      </c>
      <c r="AF75" s="44">
        <v>-0.61250000000000004</v>
      </c>
      <c r="AH75" s="33">
        <f t="shared" si="29"/>
        <v>47088</v>
      </c>
      <c r="AI75" s="36"/>
      <c r="AJ75" s="35"/>
      <c r="AK75" s="41"/>
      <c r="AL75" s="41"/>
      <c r="AM75" s="41" t="str">
        <f t="shared" si="20"/>
        <v>TNC Z28-IUS</v>
      </c>
      <c r="AN75" s="45"/>
      <c r="AT75" s="56">
        <f t="shared" si="21"/>
        <v>2028</v>
      </c>
      <c r="AU75" s="57" t="str">
        <f t="shared" si="22"/>
        <v>28</v>
      </c>
      <c r="AV75" s="58">
        <f t="shared" si="23"/>
        <v>12</v>
      </c>
      <c r="AW75" s="58" t="str" cm="1">
        <f t="array" ref="AW75">_xlfn.IFS(AV75=$AR$3,$AQ$3,AV75=$AR$4,$AQ$4,AV75=$AR$5,$AQ$5,AV75=$AR$6,$AQ$6,AV75=$AR$7,$AQ$7,AV75=$AR$8,$AQ$8,AV75=$AR$9,$AQ$9,AV75=$AR$10,$AQ$10,AV75=$AR$11,$AQ$11,AV75=$AR$12,$AQ$12,AV75=$AR$13,$AQ$13,AV75=$AR$14,$AQ$14)</f>
        <v>Z</v>
      </c>
      <c r="AY75" s="41" t="str">
        <f t="shared" si="24"/>
        <v>ADB Z28-IUS</v>
      </c>
      <c r="AZ75" s="41" t="str">
        <f t="shared" si="24"/>
        <v>ADD Z28-IUS</v>
      </c>
      <c r="BA75" s="41" t="str">
        <f t="shared" si="24"/>
        <v>HNG Z28-IUS</v>
      </c>
      <c r="BB75" s="41" t="str">
        <f t="shared" si="24"/>
        <v>DOM Z28-IUS</v>
      </c>
      <c r="BC75" s="41" t="str">
        <f t="shared" si="24"/>
        <v>TNC Z28-IUS</v>
      </c>
    </row>
    <row r="76" spans="2:55">
      <c r="B76" s="33">
        <f t="shared" si="25"/>
        <v>47119</v>
      </c>
      <c r="D76" s="35"/>
      <c r="E76" s="41"/>
      <c r="F76" s="41"/>
      <c r="G76" s="41" t="str">
        <f t="shared" si="16"/>
        <v>ADB F29-IUS</v>
      </c>
      <c r="H76" s="42">
        <v>69</v>
      </c>
      <c r="J76" s="33">
        <f t="shared" si="26"/>
        <v>47119</v>
      </c>
      <c r="K76" s="36"/>
      <c r="L76" s="35"/>
      <c r="M76" s="41"/>
      <c r="N76" s="41"/>
      <c r="O76" s="41" t="str">
        <f t="shared" si="17"/>
        <v>ADD F29-IUS</v>
      </c>
      <c r="P76" s="42">
        <v>45.75</v>
      </c>
      <c r="R76" s="33">
        <f t="shared" si="27"/>
        <v>47119</v>
      </c>
      <c r="S76" s="36"/>
      <c r="T76" s="35"/>
      <c r="U76" s="41"/>
      <c r="V76" s="41"/>
      <c r="W76" s="41" t="str">
        <f t="shared" si="18"/>
        <v>HNG F29-IUS</v>
      </c>
      <c r="X76" s="44">
        <v>5.5830000000000002</v>
      </c>
      <c r="Z76" s="33">
        <f t="shared" si="28"/>
        <v>47119</v>
      </c>
      <c r="AA76" s="36"/>
      <c r="AB76" s="35"/>
      <c r="AC76" s="41"/>
      <c r="AD76" s="41"/>
      <c r="AE76" s="41" t="str">
        <f t="shared" si="19"/>
        <v>DOM F29-IUS</v>
      </c>
      <c r="AF76" s="44">
        <v>-0.6875</v>
      </c>
      <c r="AH76" s="33">
        <f t="shared" si="29"/>
        <v>47119</v>
      </c>
      <c r="AI76" s="36"/>
      <c r="AJ76" s="35"/>
      <c r="AK76" s="41"/>
      <c r="AL76" s="41"/>
      <c r="AM76" s="41" t="str">
        <f t="shared" si="20"/>
        <v>TNC F29-IUS</v>
      </c>
      <c r="AN76" s="45"/>
      <c r="AT76" s="56">
        <f t="shared" si="21"/>
        <v>2029</v>
      </c>
      <c r="AU76" s="57" t="str">
        <f t="shared" si="22"/>
        <v>29</v>
      </c>
      <c r="AV76" s="58">
        <f t="shared" si="23"/>
        <v>1</v>
      </c>
      <c r="AW76" s="58" t="str" cm="1">
        <f t="array" ref="AW76">_xlfn.IFS(AV76=$AR$3,$AQ$3,AV76=$AR$4,$AQ$4,AV76=$AR$5,$AQ$5,AV76=$AR$6,$AQ$6,AV76=$AR$7,$AQ$7,AV76=$AR$8,$AQ$8,AV76=$AR$9,$AQ$9,AV76=$AR$10,$AQ$10,AV76=$AR$11,$AQ$11,AV76=$AR$12,$AQ$12,AV76=$AR$13,$AQ$13,AV76=$AR$14,$AQ$14)</f>
        <v>F</v>
      </c>
      <c r="AY76" s="41" t="str">
        <f t="shared" si="24"/>
        <v>ADB F29-IUS</v>
      </c>
      <c r="AZ76" s="41" t="str">
        <f t="shared" si="24"/>
        <v>ADD F29-IUS</v>
      </c>
      <c r="BA76" s="41" t="str">
        <f t="shared" si="24"/>
        <v>HNG F29-IUS</v>
      </c>
      <c r="BB76" s="41" t="str">
        <f t="shared" si="24"/>
        <v>DOM F29-IUS</v>
      </c>
      <c r="BC76" s="41" t="str">
        <f t="shared" si="24"/>
        <v>TNC F29-IUS</v>
      </c>
    </row>
    <row r="77" spans="2:55">
      <c r="B77" s="33">
        <f t="shared" si="25"/>
        <v>47150</v>
      </c>
      <c r="D77" s="35"/>
      <c r="E77" s="41"/>
      <c r="F77" s="41"/>
      <c r="G77" s="41" t="str">
        <f t="shared" si="16"/>
        <v>ADB G29-IUS</v>
      </c>
      <c r="H77" s="42">
        <v>63.15</v>
      </c>
      <c r="J77" s="33">
        <f t="shared" si="26"/>
        <v>47150</v>
      </c>
      <c r="K77" s="36"/>
      <c r="L77" s="35"/>
      <c r="M77" s="41"/>
      <c r="N77" s="41"/>
      <c r="O77" s="41" t="str">
        <f t="shared" si="17"/>
        <v>ADD G29-IUS</v>
      </c>
      <c r="P77" s="42">
        <v>44.7</v>
      </c>
      <c r="R77" s="33">
        <f t="shared" si="27"/>
        <v>47150</v>
      </c>
      <c r="S77" s="36"/>
      <c r="T77" s="35"/>
      <c r="U77" s="41"/>
      <c r="V77" s="41"/>
      <c r="W77" s="41" t="str">
        <f t="shared" si="18"/>
        <v>HNG G29-IUS</v>
      </c>
      <c r="X77" s="44">
        <v>5.3920000000000003</v>
      </c>
      <c r="Z77" s="33">
        <f t="shared" si="28"/>
        <v>47150</v>
      </c>
      <c r="AA77" s="36"/>
      <c r="AB77" s="35"/>
      <c r="AC77" s="41"/>
      <c r="AD77" s="41"/>
      <c r="AE77" s="41" t="str">
        <f t="shared" si="19"/>
        <v>DOM G29-IUS</v>
      </c>
      <c r="AF77" s="44">
        <v>-0.63749999999999996</v>
      </c>
      <c r="AH77" s="33">
        <f t="shared" si="29"/>
        <v>47150</v>
      </c>
      <c r="AI77" s="36"/>
      <c r="AJ77" s="35"/>
      <c r="AK77" s="41"/>
      <c r="AL77" s="41"/>
      <c r="AM77" s="41" t="str">
        <f t="shared" si="20"/>
        <v>TNC G29-IUS</v>
      </c>
      <c r="AN77" s="45"/>
      <c r="AT77" s="56">
        <f t="shared" si="21"/>
        <v>2029</v>
      </c>
      <c r="AU77" s="57" t="str">
        <f t="shared" si="22"/>
        <v>29</v>
      </c>
      <c r="AV77" s="58">
        <f t="shared" si="23"/>
        <v>2</v>
      </c>
      <c r="AW77" s="58" t="str" cm="1">
        <f t="array" ref="AW77">_xlfn.IFS(AV77=$AR$3,$AQ$3,AV77=$AR$4,$AQ$4,AV77=$AR$5,$AQ$5,AV77=$AR$6,$AQ$6,AV77=$AR$7,$AQ$7,AV77=$AR$8,$AQ$8,AV77=$AR$9,$AQ$9,AV77=$AR$10,$AQ$10,AV77=$AR$11,$AQ$11,AV77=$AR$12,$AQ$12,AV77=$AR$13,$AQ$13,AV77=$AR$14,$AQ$14)</f>
        <v>G</v>
      </c>
      <c r="AY77" s="41" t="str">
        <f t="shared" si="24"/>
        <v>ADB G29-IUS</v>
      </c>
      <c r="AZ77" s="41" t="str">
        <f t="shared" si="24"/>
        <v>ADD G29-IUS</v>
      </c>
      <c r="BA77" s="41" t="str">
        <f t="shared" si="24"/>
        <v>HNG G29-IUS</v>
      </c>
      <c r="BB77" s="41" t="str">
        <f t="shared" si="24"/>
        <v>DOM G29-IUS</v>
      </c>
      <c r="BC77" s="41" t="str">
        <f t="shared" si="24"/>
        <v>TNC G29-IUS</v>
      </c>
    </row>
    <row r="78" spans="2:55">
      <c r="B78" s="33">
        <f t="shared" si="25"/>
        <v>47178</v>
      </c>
      <c r="D78" s="35"/>
      <c r="E78" s="41"/>
      <c r="F78" s="41"/>
      <c r="G78" s="41" t="str">
        <f t="shared" si="16"/>
        <v>ADB H29-IUS</v>
      </c>
      <c r="H78" s="42">
        <v>59.05</v>
      </c>
      <c r="J78" s="33">
        <f t="shared" si="26"/>
        <v>47178</v>
      </c>
      <c r="K78" s="36"/>
      <c r="L78" s="35"/>
      <c r="M78" s="41"/>
      <c r="N78" s="41"/>
      <c r="O78" s="41" t="str">
        <f t="shared" si="17"/>
        <v>ADD H29-IUS</v>
      </c>
      <c r="P78" s="42">
        <v>48.3</v>
      </c>
      <c r="R78" s="33">
        <f t="shared" si="27"/>
        <v>47178</v>
      </c>
      <c r="S78" s="36"/>
      <c r="T78" s="35"/>
      <c r="U78" s="41"/>
      <c r="V78" s="41"/>
      <c r="W78" s="41" t="str">
        <f t="shared" si="18"/>
        <v>HNG H29-IUS</v>
      </c>
      <c r="X78" s="44">
        <v>5.0709999999999997</v>
      </c>
      <c r="Z78" s="33">
        <f t="shared" si="28"/>
        <v>47178</v>
      </c>
      <c r="AA78" s="36"/>
      <c r="AB78" s="35"/>
      <c r="AC78" s="41"/>
      <c r="AD78" s="41"/>
      <c r="AE78" s="41" t="str">
        <f t="shared" si="19"/>
        <v>DOM H29-IUS</v>
      </c>
      <c r="AF78" s="44">
        <v>-0.68500000000000005</v>
      </c>
      <c r="AH78" s="33">
        <f t="shared" si="29"/>
        <v>47178</v>
      </c>
      <c r="AI78" s="36"/>
      <c r="AJ78" s="35"/>
      <c r="AK78" s="41"/>
      <c r="AL78" s="41"/>
      <c r="AM78" s="41" t="str">
        <f t="shared" si="20"/>
        <v>TNC H29-IUS</v>
      </c>
      <c r="AN78" s="45"/>
      <c r="AT78" s="56">
        <f t="shared" si="21"/>
        <v>2029</v>
      </c>
      <c r="AU78" s="57" t="str">
        <f t="shared" si="22"/>
        <v>29</v>
      </c>
      <c r="AV78" s="58">
        <f t="shared" si="23"/>
        <v>3</v>
      </c>
      <c r="AW78" s="58" t="str" cm="1">
        <f t="array" ref="AW78">_xlfn.IFS(AV78=$AR$3,$AQ$3,AV78=$AR$4,$AQ$4,AV78=$AR$5,$AQ$5,AV78=$AR$6,$AQ$6,AV78=$AR$7,$AQ$7,AV78=$AR$8,$AQ$8,AV78=$AR$9,$AQ$9,AV78=$AR$10,$AQ$10,AV78=$AR$11,$AQ$11,AV78=$AR$12,$AQ$12,AV78=$AR$13,$AQ$13,AV78=$AR$14,$AQ$14)</f>
        <v>H</v>
      </c>
      <c r="AY78" s="41" t="str">
        <f t="shared" si="24"/>
        <v>ADB H29-IUS</v>
      </c>
      <c r="AZ78" s="41" t="str">
        <f t="shared" si="24"/>
        <v>ADD H29-IUS</v>
      </c>
      <c r="BA78" s="41" t="str">
        <f t="shared" si="24"/>
        <v>HNG H29-IUS</v>
      </c>
      <c r="BB78" s="41" t="str">
        <f t="shared" si="24"/>
        <v>DOM H29-IUS</v>
      </c>
      <c r="BC78" s="41" t="str">
        <f t="shared" si="24"/>
        <v>TNC H29-IUS</v>
      </c>
    </row>
    <row r="79" spans="2:55">
      <c r="B79" s="33">
        <f t="shared" si="25"/>
        <v>47209</v>
      </c>
      <c r="D79" s="35"/>
      <c r="E79" s="41"/>
      <c r="F79" s="41"/>
      <c r="G79" s="41" t="str">
        <f t="shared" si="16"/>
        <v>ADB J29-IUS</v>
      </c>
      <c r="H79" s="42">
        <v>74.95</v>
      </c>
      <c r="J79" s="33">
        <f t="shared" si="26"/>
        <v>47209</v>
      </c>
      <c r="K79" s="36"/>
      <c r="L79" s="35"/>
      <c r="M79" s="41"/>
      <c r="N79" s="41"/>
      <c r="O79" s="41" t="str">
        <f t="shared" si="17"/>
        <v>ADD J29-IUS</v>
      </c>
      <c r="P79" s="42">
        <v>54.65</v>
      </c>
      <c r="R79" s="33">
        <f t="shared" si="27"/>
        <v>47209</v>
      </c>
      <c r="S79" s="36"/>
      <c r="T79" s="35"/>
      <c r="U79" s="41"/>
      <c r="V79" s="41"/>
      <c r="W79" s="41" t="str">
        <f t="shared" si="18"/>
        <v>HNG J29-IUS</v>
      </c>
      <c r="X79" s="44">
        <v>4.4649999999999999</v>
      </c>
      <c r="Z79" s="33">
        <f t="shared" si="28"/>
        <v>47209</v>
      </c>
      <c r="AA79" s="36"/>
      <c r="AB79" s="35"/>
      <c r="AC79" s="41"/>
      <c r="AD79" s="41"/>
      <c r="AE79" s="41" t="str">
        <f t="shared" si="19"/>
        <v>DOM J29-IUS</v>
      </c>
      <c r="AF79" s="44">
        <v>-0.57250000000000001</v>
      </c>
      <c r="AH79" s="33">
        <f t="shared" si="29"/>
        <v>47209</v>
      </c>
      <c r="AI79" s="36"/>
      <c r="AJ79" s="35"/>
      <c r="AK79" s="41"/>
      <c r="AL79" s="41"/>
      <c r="AM79" s="41" t="str">
        <f t="shared" si="20"/>
        <v>TNC J29-IUS</v>
      </c>
      <c r="AN79" s="45"/>
      <c r="AT79" s="56">
        <f t="shared" si="21"/>
        <v>2029</v>
      </c>
      <c r="AU79" s="57" t="str">
        <f t="shared" si="22"/>
        <v>29</v>
      </c>
      <c r="AV79" s="58">
        <f t="shared" si="23"/>
        <v>4</v>
      </c>
      <c r="AW79" s="58" t="str" cm="1">
        <f t="array" ref="AW79">_xlfn.IFS(AV79=$AR$3,$AQ$3,AV79=$AR$4,$AQ$4,AV79=$AR$5,$AQ$5,AV79=$AR$6,$AQ$6,AV79=$AR$7,$AQ$7,AV79=$AR$8,$AQ$8,AV79=$AR$9,$AQ$9,AV79=$AR$10,$AQ$10,AV79=$AR$11,$AQ$11,AV79=$AR$12,$AQ$12,AV79=$AR$13,$AQ$13,AV79=$AR$14,$AQ$14)</f>
        <v>J</v>
      </c>
      <c r="AY79" s="41" t="str">
        <f t="shared" si="24"/>
        <v>ADB J29-IUS</v>
      </c>
      <c r="AZ79" s="41" t="str">
        <f t="shared" si="24"/>
        <v>ADD J29-IUS</v>
      </c>
      <c r="BA79" s="41" t="str">
        <f t="shared" si="24"/>
        <v>HNG J29-IUS</v>
      </c>
      <c r="BB79" s="41" t="str">
        <f t="shared" si="24"/>
        <v>DOM J29-IUS</v>
      </c>
      <c r="BC79" s="41" t="str">
        <f t="shared" si="24"/>
        <v>TNC J29-IUS</v>
      </c>
    </row>
    <row r="80" spans="2:55">
      <c r="B80" s="33">
        <f t="shared" si="25"/>
        <v>47239</v>
      </c>
      <c r="D80" s="35"/>
      <c r="E80" s="41"/>
      <c r="F80" s="41"/>
      <c r="G80" s="41" t="str">
        <f t="shared" si="16"/>
        <v>ADB K29-IUS</v>
      </c>
      <c r="H80" s="42">
        <v>86.9</v>
      </c>
      <c r="J80" s="33">
        <f t="shared" si="26"/>
        <v>47239</v>
      </c>
      <c r="K80" s="36"/>
      <c r="L80" s="35"/>
      <c r="M80" s="41"/>
      <c r="N80" s="41"/>
      <c r="O80" s="41" t="str">
        <f t="shared" si="17"/>
        <v>ADD K29-IUS</v>
      </c>
      <c r="P80" s="42">
        <v>64.25</v>
      </c>
      <c r="R80" s="33">
        <f t="shared" si="27"/>
        <v>47239</v>
      </c>
      <c r="S80" s="36"/>
      <c r="T80" s="35"/>
      <c r="U80" s="41"/>
      <c r="V80" s="41"/>
      <c r="W80" s="41" t="str">
        <f t="shared" si="18"/>
        <v>HNG K29-IUS</v>
      </c>
      <c r="X80" s="44">
        <v>4.4569999999999999</v>
      </c>
      <c r="Z80" s="33">
        <f t="shared" si="28"/>
        <v>47239</v>
      </c>
      <c r="AA80" s="36"/>
      <c r="AB80" s="35"/>
      <c r="AC80" s="41"/>
      <c r="AD80" s="41"/>
      <c r="AE80" s="41" t="str">
        <f t="shared" si="19"/>
        <v>DOM K29-IUS</v>
      </c>
      <c r="AF80" s="44">
        <v>-0.80249999999999999</v>
      </c>
      <c r="AH80" s="33">
        <f t="shared" si="29"/>
        <v>47239</v>
      </c>
      <c r="AI80" s="36"/>
      <c r="AJ80" s="35"/>
      <c r="AK80" s="41"/>
      <c r="AL80" s="41"/>
      <c r="AM80" s="41" t="str">
        <f t="shared" si="20"/>
        <v>TNC K29-IUS</v>
      </c>
      <c r="AN80" s="45"/>
      <c r="AT80" s="56">
        <f t="shared" si="21"/>
        <v>2029</v>
      </c>
      <c r="AU80" s="57" t="str">
        <f t="shared" si="22"/>
        <v>29</v>
      </c>
      <c r="AV80" s="58">
        <f t="shared" si="23"/>
        <v>5</v>
      </c>
      <c r="AW80" s="58" t="str" cm="1">
        <f t="array" ref="AW80">_xlfn.IFS(AV80=$AR$3,$AQ$3,AV80=$AR$4,$AQ$4,AV80=$AR$5,$AQ$5,AV80=$AR$6,$AQ$6,AV80=$AR$7,$AQ$7,AV80=$AR$8,$AQ$8,AV80=$AR$9,$AQ$9,AV80=$AR$10,$AQ$10,AV80=$AR$11,$AQ$11,AV80=$AR$12,$AQ$12,AV80=$AR$13,$AQ$13,AV80=$AR$14,$AQ$14)</f>
        <v>K</v>
      </c>
      <c r="AY80" s="41" t="str">
        <f t="shared" si="24"/>
        <v>ADB K29-IUS</v>
      </c>
      <c r="AZ80" s="41" t="str">
        <f t="shared" si="24"/>
        <v>ADD K29-IUS</v>
      </c>
      <c r="BA80" s="41" t="str">
        <f t="shared" si="24"/>
        <v>HNG K29-IUS</v>
      </c>
      <c r="BB80" s="41" t="str">
        <f t="shared" si="24"/>
        <v>DOM K29-IUS</v>
      </c>
      <c r="BC80" s="41" t="str">
        <f t="shared" si="24"/>
        <v>TNC K29-IUS</v>
      </c>
    </row>
    <row r="81" spans="2:55">
      <c r="B81" s="33">
        <f t="shared" si="25"/>
        <v>47270</v>
      </c>
      <c r="D81" s="35"/>
      <c r="E81" s="41"/>
      <c r="F81" s="41"/>
      <c r="G81" s="41" t="str">
        <f t="shared" si="16"/>
        <v>ADB M29-IUS</v>
      </c>
      <c r="H81" s="42">
        <v>62.65</v>
      </c>
      <c r="J81" s="33">
        <f t="shared" si="26"/>
        <v>47270</v>
      </c>
      <c r="K81" s="36"/>
      <c r="L81" s="35"/>
      <c r="M81" s="41"/>
      <c r="N81" s="41"/>
      <c r="O81" s="41" t="str">
        <f t="shared" si="17"/>
        <v>ADD M29-IUS</v>
      </c>
      <c r="P81" s="42">
        <v>49.75</v>
      </c>
      <c r="R81" s="33">
        <f t="shared" si="27"/>
        <v>47270</v>
      </c>
      <c r="S81" s="36"/>
      <c r="T81" s="35"/>
      <c r="U81" s="41"/>
      <c r="V81" s="41"/>
      <c r="W81" s="41" t="str">
        <f t="shared" si="18"/>
        <v>HNG M29-IUS</v>
      </c>
      <c r="X81" s="44">
        <v>4.5199999999999996</v>
      </c>
      <c r="Z81" s="33">
        <f t="shared" si="28"/>
        <v>47270</v>
      </c>
      <c r="AA81" s="36"/>
      <c r="AB81" s="35"/>
      <c r="AC81" s="41"/>
      <c r="AD81" s="41"/>
      <c r="AE81" s="41" t="str">
        <f t="shared" si="19"/>
        <v>DOM M29-IUS</v>
      </c>
      <c r="AF81" s="44">
        <v>-0.79749999999999999</v>
      </c>
      <c r="AH81" s="33">
        <f t="shared" si="29"/>
        <v>47270</v>
      </c>
      <c r="AI81" s="36"/>
      <c r="AJ81" s="35"/>
      <c r="AK81" s="41"/>
      <c r="AL81" s="41"/>
      <c r="AM81" s="41" t="str">
        <f t="shared" si="20"/>
        <v>TNC M29-IUS</v>
      </c>
      <c r="AN81" s="45"/>
      <c r="AT81" s="56">
        <f t="shared" si="21"/>
        <v>2029</v>
      </c>
      <c r="AU81" s="57" t="str">
        <f t="shared" si="22"/>
        <v>29</v>
      </c>
      <c r="AV81" s="58">
        <f t="shared" si="23"/>
        <v>6</v>
      </c>
      <c r="AW81" s="58" t="str" cm="1">
        <f t="array" ref="AW81">_xlfn.IFS(AV81=$AR$3,$AQ$3,AV81=$AR$4,$AQ$4,AV81=$AR$5,$AQ$5,AV81=$AR$6,$AQ$6,AV81=$AR$7,$AQ$7,AV81=$AR$8,$AQ$8,AV81=$AR$9,$AQ$9,AV81=$AR$10,$AQ$10,AV81=$AR$11,$AQ$11,AV81=$AR$12,$AQ$12,AV81=$AR$13,$AQ$13,AV81=$AR$14,$AQ$14)</f>
        <v>M</v>
      </c>
      <c r="AY81" s="41" t="str">
        <f t="shared" si="24"/>
        <v>ADB M29-IUS</v>
      </c>
      <c r="AZ81" s="41" t="str">
        <f t="shared" si="24"/>
        <v>ADD M29-IUS</v>
      </c>
      <c r="BA81" s="41" t="str">
        <f t="shared" si="24"/>
        <v>HNG M29-IUS</v>
      </c>
      <c r="BB81" s="41" t="str">
        <f t="shared" si="24"/>
        <v>DOM M29-IUS</v>
      </c>
      <c r="BC81" s="41" t="str">
        <f t="shared" si="24"/>
        <v>TNC M29-IUS</v>
      </c>
    </row>
    <row r="82" spans="2:55">
      <c r="B82" s="33">
        <f t="shared" si="25"/>
        <v>47300</v>
      </c>
      <c r="D82" s="35"/>
      <c r="E82" s="41"/>
      <c r="F82" s="41"/>
      <c r="G82" s="41" t="str">
        <f t="shared" si="16"/>
        <v>ADB N29-IUS</v>
      </c>
      <c r="H82" s="42">
        <v>53.4</v>
      </c>
      <c r="J82" s="33">
        <f t="shared" si="26"/>
        <v>47300</v>
      </c>
      <c r="K82" s="36"/>
      <c r="L82" s="35"/>
      <c r="M82" s="41"/>
      <c r="N82" s="41"/>
      <c r="O82" s="41" t="str">
        <f t="shared" si="17"/>
        <v>ADD N29-IUS</v>
      </c>
      <c r="P82" s="42">
        <v>35.15</v>
      </c>
      <c r="R82" s="33">
        <f t="shared" si="27"/>
        <v>47300</v>
      </c>
      <c r="S82" s="36"/>
      <c r="T82" s="35"/>
      <c r="U82" s="41"/>
      <c r="V82" s="41"/>
      <c r="W82" s="41" t="str">
        <f t="shared" si="18"/>
        <v>HNG N29-IUS</v>
      </c>
      <c r="X82" s="44">
        <v>4.5940000000000003</v>
      </c>
      <c r="Z82" s="33">
        <f t="shared" si="28"/>
        <v>47300</v>
      </c>
      <c r="AA82" s="36"/>
      <c r="AB82" s="35"/>
      <c r="AC82" s="41"/>
      <c r="AD82" s="41"/>
      <c r="AE82" s="41" t="str">
        <f t="shared" si="19"/>
        <v>DOM N29-IUS</v>
      </c>
      <c r="AF82" s="44">
        <v>-0.93500000000000005</v>
      </c>
      <c r="AH82" s="33">
        <f t="shared" si="29"/>
        <v>47300</v>
      </c>
      <c r="AI82" s="36"/>
      <c r="AJ82" s="35"/>
      <c r="AK82" s="41"/>
      <c r="AL82" s="41"/>
      <c r="AM82" s="41" t="str">
        <f t="shared" si="20"/>
        <v>TNC N29-IUS</v>
      </c>
      <c r="AN82" s="45"/>
      <c r="AT82" s="56">
        <f t="shared" si="21"/>
        <v>2029</v>
      </c>
      <c r="AU82" s="57" t="str">
        <f t="shared" si="22"/>
        <v>29</v>
      </c>
      <c r="AV82" s="58">
        <f t="shared" si="23"/>
        <v>7</v>
      </c>
      <c r="AW82" s="58" t="str" cm="1">
        <f t="array" ref="AW82">_xlfn.IFS(AV82=$AR$3,$AQ$3,AV82=$AR$4,$AQ$4,AV82=$AR$5,$AQ$5,AV82=$AR$6,$AQ$6,AV82=$AR$7,$AQ$7,AV82=$AR$8,$AQ$8,AV82=$AR$9,$AQ$9,AV82=$AR$10,$AQ$10,AV82=$AR$11,$AQ$11,AV82=$AR$12,$AQ$12,AV82=$AR$13,$AQ$13,AV82=$AR$14,$AQ$14)</f>
        <v>N</v>
      </c>
      <c r="AY82" s="41" t="str">
        <f t="shared" si="24"/>
        <v>ADB N29-IUS</v>
      </c>
      <c r="AZ82" s="41" t="str">
        <f t="shared" si="24"/>
        <v>ADD N29-IUS</v>
      </c>
      <c r="BA82" s="41" t="str">
        <f t="shared" si="24"/>
        <v>HNG N29-IUS</v>
      </c>
      <c r="BB82" s="41" t="str">
        <f t="shared" si="24"/>
        <v>DOM N29-IUS</v>
      </c>
      <c r="BC82" s="41" t="str">
        <f t="shared" si="24"/>
        <v>TNC N29-IUS</v>
      </c>
    </row>
    <row r="83" spans="2:55">
      <c r="B83" s="33">
        <f t="shared" si="25"/>
        <v>47331</v>
      </c>
      <c r="D83" s="35"/>
      <c r="E83" s="41"/>
      <c r="F83" s="41"/>
      <c r="G83" s="41" t="str">
        <f t="shared" si="16"/>
        <v>ADB Q29-IUS</v>
      </c>
      <c r="H83" s="42">
        <v>52.25</v>
      </c>
      <c r="J83" s="33">
        <f t="shared" si="26"/>
        <v>47331</v>
      </c>
      <c r="K83" s="36"/>
      <c r="L83" s="35"/>
      <c r="M83" s="41"/>
      <c r="N83" s="41"/>
      <c r="O83" s="41" t="str">
        <f t="shared" si="17"/>
        <v>ADD Q29-IUS</v>
      </c>
      <c r="P83" s="42">
        <v>36</v>
      </c>
      <c r="R83" s="33">
        <f t="shared" si="27"/>
        <v>47331</v>
      </c>
      <c r="S83" s="36"/>
      <c r="T83" s="35"/>
      <c r="U83" s="41"/>
      <c r="V83" s="41"/>
      <c r="W83" s="41" t="str">
        <f t="shared" si="18"/>
        <v>HNG Q29-IUS</v>
      </c>
      <c r="X83" s="44">
        <v>4.6260000000000003</v>
      </c>
      <c r="Z83" s="33">
        <f t="shared" si="28"/>
        <v>47331</v>
      </c>
      <c r="AA83" s="36"/>
      <c r="AB83" s="35"/>
      <c r="AC83" s="41"/>
      <c r="AD83" s="41"/>
      <c r="AE83" s="41" t="str">
        <f t="shared" si="19"/>
        <v>DOM Q29-IUS</v>
      </c>
      <c r="AF83" s="44">
        <v>-1.0275000000000001</v>
      </c>
      <c r="AH83" s="33">
        <f t="shared" si="29"/>
        <v>47331</v>
      </c>
      <c r="AI83" s="36"/>
      <c r="AJ83" s="35"/>
      <c r="AK83" s="41"/>
      <c r="AL83" s="41"/>
      <c r="AM83" s="41" t="str">
        <f t="shared" si="20"/>
        <v>TNC Q29-IUS</v>
      </c>
      <c r="AN83" s="45"/>
      <c r="AT83" s="56">
        <f t="shared" si="21"/>
        <v>2029</v>
      </c>
      <c r="AU83" s="57" t="str">
        <f t="shared" si="22"/>
        <v>29</v>
      </c>
      <c r="AV83" s="58">
        <f t="shared" si="23"/>
        <v>8</v>
      </c>
      <c r="AW83" s="58" t="str" cm="1">
        <f t="array" ref="AW83">_xlfn.IFS(AV83=$AR$3,$AQ$3,AV83=$AR$4,$AQ$4,AV83=$AR$5,$AQ$5,AV83=$AR$6,$AQ$6,AV83=$AR$7,$AQ$7,AV83=$AR$8,$AQ$8,AV83=$AR$9,$AQ$9,AV83=$AR$10,$AQ$10,AV83=$AR$11,$AQ$11,AV83=$AR$12,$AQ$12,AV83=$AR$13,$AQ$13,AV83=$AR$14,$AQ$14)</f>
        <v>Q</v>
      </c>
      <c r="AY83" s="41" t="str">
        <f t="shared" si="24"/>
        <v>ADB Q29-IUS</v>
      </c>
      <c r="AZ83" s="41" t="str">
        <f t="shared" si="24"/>
        <v>ADD Q29-IUS</v>
      </c>
      <c r="BA83" s="41" t="str">
        <f t="shared" si="24"/>
        <v>HNG Q29-IUS</v>
      </c>
      <c r="BB83" s="41" t="str">
        <f t="shared" si="24"/>
        <v>DOM Q29-IUS</v>
      </c>
      <c r="BC83" s="41" t="str">
        <f t="shared" si="24"/>
        <v>TNC Q29-IUS</v>
      </c>
    </row>
    <row r="84" spans="2:55">
      <c r="B84" s="33">
        <f t="shared" si="25"/>
        <v>47362</v>
      </c>
      <c r="D84" s="35"/>
      <c r="E84" s="41"/>
      <c r="F84" s="41"/>
      <c r="G84" s="41" t="str">
        <f t="shared" si="16"/>
        <v>ADB U29-IUS</v>
      </c>
      <c r="H84" s="42">
        <v>68.7</v>
      </c>
      <c r="J84" s="33">
        <f t="shared" si="26"/>
        <v>47362</v>
      </c>
      <c r="K84" s="36"/>
      <c r="L84" s="35"/>
      <c r="M84" s="41"/>
      <c r="N84" s="41"/>
      <c r="O84" s="41" t="str">
        <f t="shared" si="17"/>
        <v>ADD U29-IUS</v>
      </c>
      <c r="P84" s="42">
        <v>44.4</v>
      </c>
      <c r="R84" s="33">
        <f t="shared" si="27"/>
        <v>47362</v>
      </c>
      <c r="S84" s="36"/>
      <c r="T84" s="35"/>
      <c r="U84" s="41"/>
      <c r="V84" s="41"/>
      <c r="W84" s="41" t="str">
        <f t="shared" si="18"/>
        <v>HNG U29-IUS</v>
      </c>
      <c r="X84" s="44">
        <v>4.6349999999999998</v>
      </c>
      <c r="Z84" s="33">
        <f t="shared" si="28"/>
        <v>47362</v>
      </c>
      <c r="AA84" s="36"/>
      <c r="AB84" s="35"/>
      <c r="AC84" s="41"/>
      <c r="AD84" s="41"/>
      <c r="AE84" s="41" t="str">
        <f t="shared" si="19"/>
        <v>DOM U29-IUS</v>
      </c>
      <c r="AF84" s="44">
        <v>-1.3325</v>
      </c>
      <c r="AH84" s="33">
        <f t="shared" si="29"/>
        <v>47362</v>
      </c>
      <c r="AI84" s="36"/>
      <c r="AJ84" s="35"/>
      <c r="AK84" s="41"/>
      <c r="AL84" s="41"/>
      <c r="AM84" s="41" t="str">
        <f t="shared" si="20"/>
        <v>TNC U29-IUS</v>
      </c>
      <c r="AN84" s="45"/>
      <c r="AT84" s="56">
        <f t="shared" si="21"/>
        <v>2029</v>
      </c>
      <c r="AU84" s="57" t="str">
        <f t="shared" si="22"/>
        <v>29</v>
      </c>
      <c r="AV84" s="58">
        <f t="shared" si="23"/>
        <v>9</v>
      </c>
      <c r="AW84" s="58" t="str" cm="1">
        <f t="array" ref="AW84">_xlfn.IFS(AV84=$AR$3,$AQ$3,AV84=$AR$4,$AQ$4,AV84=$AR$5,$AQ$5,AV84=$AR$6,$AQ$6,AV84=$AR$7,$AQ$7,AV84=$AR$8,$AQ$8,AV84=$AR$9,$AQ$9,AV84=$AR$10,$AQ$10,AV84=$AR$11,$AQ$11,AV84=$AR$12,$AQ$12,AV84=$AR$13,$AQ$13,AV84=$AR$14,$AQ$14)</f>
        <v>U</v>
      </c>
      <c r="AY84" s="41" t="str">
        <f t="shared" si="24"/>
        <v>ADB U29-IUS</v>
      </c>
      <c r="AZ84" s="41" t="str">
        <f t="shared" si="24"/>
        <v>ADD U29-IUS</v>
      </c>
      <c r="BA84" s="41" t="str">
        <f t="shared" si="24"/>
        <v>HNG U29-IUS</v>
      </c>
      <c r="BB84" s="41" t="str">
        <f t="shared" si="24"/>
        <v>DOM U29-IUS</v>
      </c>
      <c r="BC84" s="41" t="str">
        <f t="shared" si="24"/>
        <v>TNC U29-IUS</v>
      </c>
    </row>
    <row r="85" spans="2:55">
      <c r="B85" s="33">
        <f t="shared" si="25"/>
        <v>47392</v>
      </c>
      <c r="D85" s="35"/>
      <c r="E85" s="41"/>
      <c r="F85" s="41"/>
      <c r="G85" s="41" t="str">
        <f t="shared" si="16"/>
        <v>ADB V29-IUS</v>
      </c>
      <c r="H85" s="42">
        <v>55.5</v>
      </c>
      <c r="J85" s="33">
        <f t="shared" si="26"/>
        <v>47392</v>
      </c>
      <c r="K85" s="36"/>
      <c r="L85" s="35"/>
      <c r="M85" s="41"/>
      <c r="N85" s="41"/>
      <c r="O85" s="41" t="str">
        <f t="shared" si="17"/>
        <v>ADD V29-IUS</v>
      </c>
      <c r="P85" s="42">
        <v>35.5</v>
      </c>
      <c r="R85" s="33">
        <f t="shared" si="27"/>
        <v>47392</v>
      </c>
      <c r="S85" s="36"/>
      <c r="T85" s="35"/>
      <c r="U85" s="41"/>
      <c r="V85" s="41"/>
      <c r="W85" s="41" t="str">
        <f t="shared" si="18"/>
        <v>HNG V29-IUS</v>
      </c>
      <c r="X85" s="44">
        <v>4.718</v>
      </c>
      <c r="Z85" s="33">
        <f t="shared" si="28"/>
        <v>47392</v>
      </c>
      <c r="AA85" s="36"/>
      <c r="AB85" s="35"/>
      <c r="AC85" s="41"/>
      <c r="AD85" s="41"/>
      <c r="AE85" s="41" t="str">
        <f t="shared" si="19"/>
        <v>DOM V29-IUS</v>
      </c>
      <c r="AF85" s="44">
        <v>-1.3125</v>
      </c>
      <c r="AH85" s="33">
        <f t="shared" si="29"/>
        <v>47392</v>
      </c>
      <c r="AI85" s="36"/>
      <c r="AJ85" s="35"/>
      <c r="AK85" s="41"/>
      <c r="AL85" s="41"/>
      <c r="AM85" s="41" t="str">
        <f t="shared" si="20"/>
        <v>TNC V29-IUS</v>
      </c>
      <c r="AN85" s="45"/>
      <c r="AT85" s="56">
        <f t="shared" si="21"/>
        <v>2029</v>
      </c>
      <c r="AU85" s="57" t="str">
        <f t="shared" si="22"/>
        <v>29</v>
      </c>
      <c r="AV85" s="58">
        <f t="shared" si="23"/>
        <v>10</v>
      </c>
      <c r="AW85" s="58" t="str" cm="1">
        <f t="array" ref="AW85">_xlfn.IFS(AV85=$AR$3,$AQ$3,AV85=$AR$4,$AQ$4,AV85=$AR$5,$AQ$5,AV85=$AR$6,$AQ$6,AV85=$AR$7,$AQ$7,AV85=$AR$8,$AQ$8,AV85=$AR$9,$AQ$9,AV85=$AR$10,$AQ$10,AV85=$AR$11,$AQ$11,AV85=$AR$12,$AQ$12,AV85=$AR$13,$AQ$13,AV85=$AR$14,$AQ$14)</f>
        <v>V</v>
      </c>
      <c r="AY85" s="41" t="str">
        <f t="shared" si="24"/>
        <v>ADB V29-IUS</v>
      </c>
      <c r="AZ85" s="41" t="str">
        <f t="shared" si="24"/>
        <v>ADD V29-IUS</v>
      </c>
      <c r="BA85" s="41" t="str">
        <f t="shared" si="24"/>
        <v>HNG V29-IUS</v>
      </c>
      <c r="BB85" s="41" t="str">
        <f t="shared" si="24"/>
        <v>DOM V29-IUS</v>
      </c>
      <c r="BC85" s="41" t="str">
        <f t="shared" si="24"/>
        <v>TNC V29-IUS</v>
      </c>
    </row>
    <row r="86" spans="2:55">
      <c r="B86" s="33">
        <f t="shared" si="25"/>
        <v>47423</v>
      </c>
      <c r="D86" s="35"/>
      <c r="E86" s="41"/>
      <c r="F86" s="41"/>
      <c r="G86" s="41" t="str">
        <f t="shared" si="16"/>
        <v>ADB X29-IUS</v>
      </c>
      <c r="H86" s="42">
        <v>47.85</v>
      </c>
      <c r="J86" s="33">
        <f t="shared" si="26"/>
        <v>47423</v>
      </c>
      <c r="K86" s="36"/>
      <c r="L86" s="35"/>
      <c r="M86" s="41"/>
      <c r="N86" s="41"/>
      <c r="O86" s="41" t="str">
        <f t="shared" si="17"/>
        <v>ADD X29-IUS</v>
      </c>
      <c r="P86" s="42">
        <v>39.200000000000003</v>
      </c>
      <c r="R86" s="33">
        <f t="shared" si="27"/>
        <v>47423</v>
      </c>
      <c r="S86" s="36"/>
      <c r="T86" s="35"/>
      <c r="U86" s="41"/>
      <c r="V86" s="41"/>
      <c r="W86" s="41" t="str">
        <f t="shared" si="18"/>
        <v>HNG X29-IUS</v>
      </c>
      <c r="X86" s="44">
        <v>5.0670000000000002</v>
      </c>
      <c r="Z86" s="33">
        <f t="shared" si="28"/>
        <v>47423</v>
      </c>
      <c r="AA86" s="36"/>
      <c r="AB86" s="35"/>
      <c r="AC86" s="41"/>
      <c r="AD86" s="41"/>
      <c r="AE86" s="41" t="str">
        <f t="shared" si="19"/>
        <v>DOM X29-IUS</v>
      </c>
      <c r="AF86" s="44">
        <v>-0.85250000000000004</v>
      </c>
      <c r="AH86" s="33">
        <f t="shared" si="29"/>
        <v>47423</v>
      </c>
      <c r="AI86" s="36"/>
      <c r="AJ86" s="35"/>
      <c r="AK86" s="41"/>
      <c r="AL86" s="41"/>
      <c r="AM86" s="41" t="str">
        <f t="shared" si="20"/>
        <v>TNC X29-IUS</v>
      </c>
      <c r="AN86" s="45"/>
      <c r="AT86" s="56">
        <f t="shared" si="21"/>
        <v>2029</v>
      </c>
      <c r="AU86" s="57" t="str">
        <f t="shared" si="22"/>
        <v>29</v>
      </c>
      <c r="AV86" s="58">
        <f t="shared" si="23"/>
        <v>11</v>
      </c>
      <c r="AW86" s="58" t="str" cm="1">
        <f t="array" ref="AW86">_xlfn.IFS(AV86=$AR$3,$AQ$3,AV86=$AR$4,$AQ$4,AV86=$AR$5,$AQ$5,AV86=$AR$6,$AQ$6,AV86=$AR$7,$AQ$7,AV86=$AR$8,$AQ$8,AV86=$AR$9,$AQ$9,AV86=$AR$10,$AQ$10,AV86=$AR$11,$AQ$11,AV86=$AR$12,$AQ$12,AV86=$AR$13,$AQ$13,AV86=$AR$14,$AQ$14)</f>
        <v>X</v>
      </c>
      <c r="AY86" s="41" t="str">
        <f t="shared" si="24"/>
        <v>ADB X29-IUS</v>
      </c>
      <c r="AZ86" s="41" t="str">
        <f t="shared" si="24"/>
        <v>ADD X29-IUS</v>
      </c>
      <c r="BA86" s="41" t="str">
        <f t="shared" si="24"/>
        <v>HNG X29-IUS</v>
      </c>
      <c r="BB86" s="41" t="str">
        <f t="shared" si="24"/>
        <v>DOM X29-IUS</v>
      </c>
      <c r="BC86" s="41" t="str">
        <f t="shared" si="24"/>
        <v>TNC X29-IUS</v>
      </c>
    </row>
    <row r="87" spans="2:55">
      <c r="B87" s="33">
        <f t="shared" si="25"/>
        <v>47453</v>
      </c>
      <c r="D87" s="35"/>
      <c r="E87" s="41"/>
      <c r="F87" s="41"/>
      <c r="G87" s="41" t="str">
        <f t="shared" si="16"/>
        <v>ADB Z29-IUS</v>
      </c>
      <c r="H87" s="42">
        <v>55.4</v>
      </c>
      <c r="J87" s="33">
        <f t="shared" si="26"/>
        <v>47453</v>
      </c>
      <c r="K87" s="36"/>
      <c r="L87" s="35"/>
      <c r="M87" s="41"/>
      <c r="N87" s="41"/>
      <c r="O87" s="41" t="str">
        <f t="shared" si="17"/>
        <v>ADD Z29-IUS</v>
      </c>
      <c r="P87" s="42">
        <v>41.3</v>
      </c>
      <c r="R87" s="33">
        <f t="shared" si="27"/>
        <v>47453</v>
      </c>
      <c r="S87" s="36"/>
      <c r="T87" s="35"/>
      <c r="U87" s="41"/>
      <c r="V87" s="41"/>
      <c r="W87" s="41" t="str">
        <f t="shared" si="18"/>
        <v>HNG Z29-IUS</v>
      </c>
      <c r="X87" s="44">
        <v>5.4909999999999997</v>
      </c>
      <c r="Z87" s="33">
        <f t="shared" si="28"/>
        <v>47453</v>
      </c>
      <c r="AA87" s="36"/>
      <c r="AB87" s="35"/>
      <c r="AC87" s="41"/>
      <c r="AD87" s="41"/>
      <c r="AE87" s="41" t="str">
        <f t="shared" si="19"/>
        <v>DOM Z29-IUS</v>
      </c>
      <c r="AF87" s="44">
        <v>-0.67249999999999999</v>
      </c>
      <c r="AH87" s="33">
        <f t="shared" si="29"/>
        <v>47453</v>
      </c>
      <c r="AI87" s="36"/>
      <c r="AJ87" s="35"/>
      <c r="AK87" s="41"/>
      <c r="AL87" s="41"/>
      <c r="AM87" s="41" t="str">
        <f t="shared" si="20"/>
        <v>TNC Z29-IUS</v>
      </c>
      <c r="AN87" s="45"/>
      <c r="AT87" s="56">
        <f t="shared" si="21"/>
        <v>2029</v>
      </c>
      <c r="AU87" s="57" t="str">
        <f t="shared" si="22"/>
        <v>29</v>
      </c>
      <c r="AV87" s="58">
        <f t="shared" si="23"/>
        <v>12</v>
      </c>
      <c r="AW87" s="58" t="str" cm="1">
        <f t="array" ref="AW87">_xlfn.IFS(AV87=$AR$3,$AQ$3,AV87=$AR$4,$AQ$4,AV87=$AR$5,$AQ$5,AV87=$AR$6,$AQ$6,AV87=$AR$7,$AQ$7,AV87=$AR$8,$AQ$8,AV87=$AR$9,$AQ$9,AV87=$AR$10,$AQ$10,AV87=$AR$11,$AQ$11,AV87=$AR$12,$AQ$12,AV87=$AR$13,$AQ$13,AV87=$AR$14,$AQ$14)</f>
        <v>Z</v>
      </c>
      <c r="AY87" s="41" t="str">
        <f t="shared" si="24"/>
        <v>ADB Z29-IUS</v>
      </c>
      <c r="AZ87" s="41" t="str">
        <f t="shared" si="24"/>
        <v>ADD Z29-IUS</v>
      </c>
      <c r="BA87" s="41" t="str">
        <f t="shared" si="24"/>
        <v>HNG Z29-IUS</v>
      </c>
      <c r="BB87" s="41" t="str">
        <f t="shared" si="24"/>
        <v>DOM Z29-IUS</v>
      </c>
      <c r="BC87" s="41" t="str">
        <f t="shared" si="24"/>
        <v>TNC Z29-IUS</v>
      </c>
    </row>
    <row r="88" spans="2:55">
      <c r="B88" s="33">
        <f t="shared" si="25"/>
        <v>47484</v>
      </c>
      <c r="D88" s="35"/>
      <c r="E88" s="41"/>
      <c r="F88" s="41"/>
      <c r="G88" s="41"/>
      <c r="H88" s="42">
        <v>76.599999999999994</v>
      </c>
      <c r="J88" s="33">
        <f t="shared" si="26"/>
        <v>47484</v>
      </c>
      <c r="K88" s="36"/>
      <c r="L88" s="35"/>
      <c r="M88" s="41"/>
      <c r="N88" s="41"/>
      <c r="O88" s="41"/>
      <c r="P88" s="42">
        <v>58.65</v>
      </c>
      <c r="R88" s="33">
        <f t="shared" si="27"/>
        <v>47484</v>
      </c>
      <c r="S88" s="36"/>
      <c r="T88" s="35"/>
      <c r="U88" s="41"/>
      <c r="V88" s="41"/>
      <c r="W88" s="41"/>
      <c r="X88" s="44">
        <v>5.7160000000000002</v>
      </c>
      <c r="Z88" s="33">
        <f t="shared" si="28"/>
        <v>47484</v>
      </c>
      <c r="AA88" s="36"/>
      <c r="AB88" s="35"/>
      <c r="AC88" s="41"/>
      <c r="AD88" s="41"/>
      <c r="AE88" s="41"/>
      <c r="AF88" s="44">
        <v>-0.58750000000000002</v>
      </c>
      <c r="AH88" s="33">
        <f t="shared" si="29"/>
        <v>47484</v>
      </c>
      <c r="AI88" s="36"/>
      <c r="AJ88" s="35"/>
      <c r="AK88" s="41"/>
      <c r="AL88" s="41"/>
      <c r="AN88" s="45"/>
      <c r="AT88" s="56">
        <f t="shared" si="21"/>
        <v>2030</v>
      </c>
      <c r="AU88" s="57" t="str">
        <f t="shared" si="22"/>
        <v>30</v>
      </c>
      <c r="AV88" s="58">
        <f t="shared" si="23"/>
        <v>1</v>
      </c>
      <c r="AW88" s="58" t="str" cm="1">
        <f t="array" ref="AW88">_xlfn.IFS(AV88=$AR$3,$AQ$3,AV88=$AR$4,$AQ$4,AV88=$AR$5,$AQ$5,AV88=$AR$6,$AQ$6,AV88=$AR$7,$AQ$7,AV88=$AR$8,$AQ$8,AV88=$AR$9,$AQ$9,AV88=$AR$10,$AQ$10,AV88=$AR$11,$AQ$11,AV88=$AR$12,$AQ$12,AV88=$AR$13,$AQ$13,AV88=$AR$14,$AQ$14)</f>
        <v>F</v>
      </c>
      <c r="AY88" s="41" t="str">
        <f t="shared" si="24"/>
        <v>ADB F30-IUS</v>
      </c>
      <c r="AZ88" s="41" t="str">
        <f t="shared" si="24"/>
        <v>ADD F30-IUS</v>
      </c>
      <c r="BA88" s="41" t="str">
        <f t="shared" si="24"/>
        <v>HNG F30-IUS</v>
      </c>
      <c r="BB88" s="41" t="str">
        <f t="shared" si="24"/>
        <v>DOM F30-IUS</v>
      </c>
      <c r="BC88" s="41" t="str">
        <f t="shared" si="24"/>
        <v>TNC F30-IUS</v>
      </c>
    </row>
    <row r="89" spans="2:55">
      <c r="B89" s="33">
        <f t="shared" si="25"/>
        <v>47515</v>
      </c>
      <c r="D89" s="35"/>
      <c r="E89" s="41"/>
      <c r="F89" s="41"/>
      <c r="G89" s="41"/>
      <c r="H89" s="42">
        <v>87.55</v>
      </c>
      <c r="J89" s="33">
        <f t="shared" si="26"/>
        <v>47515</v>
      </c>
      <c r="K89" s="36"/>
      <c r="L89" s="35"/>
      <c r="M89" s="41"/>
      <c r="N89" s="41"/>
      <c r="O89" s="41"/>
      <c r="P89" s="42">
        <v>64.400000000000006</v>
      </c>
      <c r="R89" s="33">
        <f t="shared" si="27"/>
        <v>47515</v>
      </c>
      <c r="S89" s="36"/>
      <c r="T89" s="35"/>
      <c r="U89" s="41"/>
      <c r="V89" s="41"/>
      <c r="W89" s="41"/>
      <c r="X89" s="44">
        <v>5.585</v>
      </c>
      <c r="Z89" s="33">
        <f t="shared" si="28"/>
        <v>47515</v>
      </c>
      <c r="AA89" s="36"/>
      <c r="AB89" s="35"/>
      <c r="AC89" s="41"/>
      <c r="AD89" s="41"/>
      <c r="AE89" s="41"/>
      <c r="AF89" s="44">
        <v>-0.55500000000000005</v>
      </c>
      <c r="AH89" s="33">
        <f t="shared" si="29"/>
        <v>47515</v>
      </c>
      <c r="AI89" s="36"/>
      <c r="AJ89" s="35"/>
      <c r="AK89" s="41"/>
      <c r="AL89" s="41"/>
      <c r="AN89" s="45"/>
      <c r="AT89" s="56">
        <f t="shared" si="21"/>
        <v>2030</v>
      </c>
      <c r="AU89" s="57" t="str">
        <f t="shared" si="22"/>
        <v>30</v>
      </c>
      <c r="AV89" s="58">
        <f t="shared" si="23"/>
        <v>2</v>
      </c>
      <c r="AW89" s="58" t="str" cm="1">
        <f t="array" ref="AW89">_xlfn.IFS(AV89=$AR$3,$AQ$3,AV89=$AR$4,$AQ$4,AV89=$AR$5,$AQ$5,AV89=$AR$6,$AQ$6,AV89=$AR$7,$AQ$7,AV89=$AR$8,$AQ$8,AV89=$AR$9,$AQ$9,AV89=$AR$10,$AQ$10,AV89=$AR$11,$AQ$11,AV89=$AR$12,$AQ$12,AV89=$AR$13,$AQ$13,AV89=$AR$14,$AQ$14)</f>
        <v>G</v>
      </c>
      <c r="AY89" s="41" t="str">
        <f t="shared" si="24"/>
        <v>ADB G30-IUS</v>
      </c>
      <c r="AZ89" s="41" t="str">
        <f t="shared" si="24"/>
        <v>ADD G30-IUS</v>
      </c>
      <c r="BA89" s="41" t="str">
        <f t="shared" si="24"/>
        <v>HNG G30-IUS</v>
      </c>
      <c r="BB89" s="41" t="str">
        <f t="shared" si="24"/>
        <v>DOM G30-IUS</v>
      </c>
      <c r="BC89" s="41" t="str">
        <f t="shared" si="24"/>
        <v>TNC G30-IUS</v>
      </c>
    </row>
    <row r="90" spans="2:55">
      <c r="B90" s="33">
        <f t="shared" si="25"/>
        <v>47543</v>
      </c>
      <c r="D90" s="35"/>
      <c r="E90" s="41"/>
      <c r="F90" s="41"/>
      <c r="G90" s="41"/>
      <c r="H90" s="42">
        <v>67.150000000000006</v>
      </c>
      <c r="J90" s="33">
        <f t="shared" si="26"/>
        <v>47543</v>
      </c>
      <c r="K90" s="36"/>
      <c r="L90" s="35"/>
      <c r="M90" s="41"/>
      <c r="N90" s="41"/>
      <c r="O90" s="41"/>
      <c r="P90" s="42">
        <v>51.15</v>
      </c>
      <c r="R90" s="33">
        <f t="shared" si="27"/>
        <v>47543</v>
      </c>
      <c r="S90" s="36"/>
      <c r="T90" s="35"/>
      <c r="U90" s="41"/>
      <c r="V90" s="41"/>
      <c r="W90" s="41"/>
      <c r="X90" s="44">
        <v>5.3339999999999996</v>
      </c>
      <c r="Z90" s="33">
        <f t="shared" si="28"/>
        <v>47543</v>
      </c>
      <c r="AA90" s="36"/>
      <c r="AB90" s="35"/>
      <c r="AC90" s="41"/>
      <c r="AD90" s="41"/>
      <c r="AE90" s="41"/>
      <c r="AF90" s="44">
        <v>-0.58499999999999996</v>
      </c>
      <c r="AH90" s="33">
        <f t="shared" si="29"/>
        <v>47543</v>
      </c>
      <c r="AI90" s="36"/>
      <c r="AJ90" s="35"/>
      <c r="AK90" s="41"/>
      <c r="AL90" s="41"/>
      <c r="AN90" s="45"/>
      <c r="AT90" s="56">
        <f t="shared" si="21"/>
        <v>2030</v>
      </c>
      <c r="AU90" s="57" t="str">
        <f t="shared" si="22"/>
        <v>30</v>
      </c>
      <c r="AV90" s="58">
        <f t="shared" si="23"/>
        <v>3</v>
      </c>
      <c r="AW90" s="58" t="str" cm="1">
        <f t="array" ref="AW90">_xlfn.IFS(AV90=$AR$3,$AQ$3,AV90=$AR$4,$AQ$4,AV90=$AR$5,$AQ$5,AV90=$AR$6,$AQ$6,AV90=$AR$7,$AQ$7,AV90=$AR$8,$AQ$8,AV90=$AR$9,$AQ$9,AV90=$AR$10,$AQ$10,AV90=$AR$11,$AQ$11,AV90=$AR$12,$AQ$12,AV90=$AR$13,$AQ$13,AV90=$AR$14,$AQ$14)</f>
        <v>H</v>
      </c>
      <c r="AY90" s="41" t="str">
        <f t="shared" si="24"/>
        <v>ADB H30-IUS</v>
      </c>
      <c r="AZ90" s="41" t="str">
        <f t="shared" si="24"/>
        <v>ADD H30-IUS</v>
      </c>
      <c r="BA90" s="41" t="str">
        <f t="shared" si="24"/>
        <v>HNG H30-IUS</v>
      </c>
      <c r="BB90" s="41" t="str">
        <f t="shared" si="24"/>
        <v>DOM H30-IUS</v>
      </c>
      <c r="BC90" s="41" t="str">
        <f t="shared" si="24"/>
        <v>TNC H30-IUS</v>
      </c>
    </row>
    <row r="91" spans="2:55">
      <c r="B91" s="33">
        <f t="shared" si="25"/>
        <v>47574</v>
      </c>
      <c r="D91" s="35"/>
      <c r="E91" s="41"/>
      <c r="F91" s="41"/>
      <c r="G91" s="41"/>
      <c r="H91" s="42">
        <v>52.8</v>
      </c>
      <c r="J91" s="33">
        <f t="shared" si="26"/>
        <v>47574</v>
      </c>
      <c r="K91" s="36"/>
      <c r="L91" s="35"/>
      <c r="M91" s="41"/>
      <c r="N91" s="41"/>
      <c r="O91" s="41"/>
      <c r="P91" s="42">
        <v>34.85</v>
      </c>
      <c r="R91" s="33">
        <f t="shared" si="27"/>
        <v>47574</v>
      </c>
      <c r="S91" s="36"/>
      <c r="T91" s="35"/>
      <c r="U91" s="41"/>
      <c r="V91" s="41"/>
      <c r="W91" s="41"/>
      <c r="X91" s="44">
        <v>4.7439999999999998</v>
      </c>
      <c r="Z91" s="33">
        <f t="shared" si="28"/>
        <v>47574</v>
      </c>
      <c r="AA91" s="36"/>
      <c r="AB91" s="35"/>
      <c r="AC91" s="41"/>
      <c r="AD91" s="41"/>
      <c r="AE91" s="41"/>
      <c r="AF91" s="44">
        <v>-0.5575</v>
      </c>
      <c r="AH91" s="33">
        <f t="shared" si="29"/>
        <v>47574</v>
      </c>
      <c r="AI91" s="36"/>
      <c r="AJ91" s="35"/>
      <c r="AK91" s="41"/>
      <c r="AL91" s="41"/>
      <c r="AN91" s="45"/>
      <c r="AT91" s="56">
        <f t="shared" si="21"/>
        <v>2030</v>
      </c>
      <c r="AU91" s="57" t="str">
        <f t="shared" si="22"/>
        <v>30</v>
      </c>
      <c r="AV91" s="58">
        <f t="shared" si="23"/>
        <v>4</v>
      </c>
      <c r="AW91" s="58" t="str" cm="1">
        <f t="array" ref="AW91">_xlfn.IFS(AV91=$AR$3,$AQ$3,AV91=$AR$4,$AQ$4,AV91=$AR$5,$AQ$5,AV91=$AR$6,$AQ$6,AV91=$AR$7,$AQ$7,AV91=$AR$8,$AQ$8,AV91=$AR$9,$AQ$9,AV91=$AR$10,$AQ$10,AV91=$AR$11,$AQ$11,AV91=$AR$12,$AQ$12,AV91=$AR$13,$AQ$13,AV91=$AR$14,$AQ$14)</f>
        <v>J</v>
      </c>
      <c r="AY91" s="41" t="str">
        <f t="shared" si="24"/>
        <v>ADB J30-IUS</v>
      </c>
      <c r="AZ91" s="41" t="str">
        <f t="shared" si="24"/>
        <v>ADD J30-IUS</v>
      </c>
      <c r="BA91" s="41" t="str">
        <f t="shared" si="24"/>
        <v>HNG J30-IUS</v>
      </c>
      <c r="BB91" s="41" t="str">
        <f t="shared" si="24"/>
        <v>DOM J30-IUS</v>
      </c>
      <c r="BC91" s="41" t="str">
        <f t="shared" si="24"/>
        <v>TNC J30-IUS</v>
      </c>
    </row>
    <row r="92" spans="2:55">
      <c r="B92" s="33">
        <f t="shared" si="25"/>
        <v>47604</v>
      </c>
      <c r="D92" s="35"/>
      <c r="E92" s="41"/>
      <c r="F92" s="41"/>
      <c r="G92" s="41"/>
      <c r="H92" s="42">
        <v>53.5</v>
      </c>
      <c r="J92" s="33">
        <f t="shared" si="26"/>
        <v>47604</v>
      </c>
      <c r="K92" s="36"/>
      <c r="L92" s="35"/>
      <c r="M92" s="41"/>
      <c r="N92" s="41"/>
      <c r="O92" s="41"/>
      <c r="P92" s="42">
        <v>38.950000000000003</v>
      </c>
      <c r="R92" s="33">
        <f t="shared" si="27"/>
        <v>47604</v>
      </c>
      <c r="S92" s="36"/>
      <c r="T92" s="35"/>
      <c r="U92" s="41"/>
      <c r="V92" s="41"/>
      <c r="W92" s="41"/>
      <c r="X92" s="44">
        <v>4.7220000000000004</v>
      </c>
      <c r="Z92" s="33">
        <f t="shared" si="28"/>
        <v>47604</v>
      </c>
      <c r="AA92" s="36"/>
      <c r="AB92" s="35"/>
      <c r="AC92" s="41"/>
      <c r="AD92" s="41"/>
      <c r="AE92" s="41"/>
      <c r="AF92" s="44">
        <v>-0.78500000000000003</v>
      </c>
      <c r="AH92" s="33">
        <f t="shared" si="29"/>
        <v>47604</v>
      </c>
      <c r="AI92" s="36"/>
      <c r="AJ92" s="35"/>
      <c r="AK92" s="41"/>
      <c r="AL92" s="41"/>
      <c r="AN92" s="45"/>
      <c r="AT92" s="56">
        <f t="shared" si="21"/>
        <v>2030</v>
      </c>
      <c r="AU92" s="57" t="str">
        <f t="shared" si="22"/>
        <v>30</v>
      </c>
      <c r="AV92" s="58">
        <f t="shared" si="23"/>
        <v>5</v>
      </c>
      <c r="AW92" s="58" t="str" cm="1">
        <f t="array" ref="AW92">_xlfn.IFS(AV92=$AR$3,$AQ$3,AV92=$AR$4,$AQ$4,AV92=$AR$5,$AQ$5,AV92=$AR$6,$AQ$6,AV92=$AR$7,$AQ$7,AV92=$AR$8,$AQ$8,AV92=$AR$9,$AQ$9,AV92=$AR$10,$AQ$10,AV92=$AR$11,$AQ$11,AV92=$AR$12,$AQ$12,AV92=$AR$13,$AQ$13,AV92=$AR$14,$AQ$14)</f>
        <v>K</v>
      </c>
      <c r="AY92" s="41" t="str">
        <f t="shared" si="24"/>
        <v>ADB K30-IUS</v>
      </c>
      <c r="AZ92" s="41" t="str">
        <f t="shared" si="24"/>
        <v>ADD K30-IUS</v>
      </c>
      <c r="BA92" s="41" t="str">
        <f t="shared" si="24"/>
        <v>HNG K30-IUS</v>
      </c>
      <c r="BB92" s="41" t="str">
        <f t="shared" si="24"/>
        <v>DOM K30-IUS</v>
      </c>
      <c r="BC92" s="41" t="str">
        <f t="shared" si="24"/>
        <v>TNC K30-IUS</v>
      </c>
    </row>
    <row r="93" spans="2:55">
      <c r="B93" s="33">
        <f t="shared" si="25"/>
        <v>47635</v>
      </c>
      <c r="D93" s="35"/>
      <c r="E93" s="41"/>
      <c r="F93" s="41"/>
      <c r="G93" s="41"/>
      <c r="H93" s="42">
        <v>69.2</v>
      </c>
      <c r="J93" s="33">
        <f t="shared" si="26"/>
        <v>47635</v>
      </c>
      <c r="K93" s="36"/>
      <c r="L93" s="35"/>
      <c r="M93" s="41"/>
      <c r="N93" s="41"/>
      <c r="O93" s="41"/>
      <c r="P93" s="42">
        <v>44.55</v>
      </c>
      <c r="R93" s="33">
        <f t="shared" si="27"/>
        <v>47635</v>
      </c>
      <c r="S93" s="36"/>
      <c r="T93" s="35"/>
      <c r="U93" s="41"/>
      <c r="V93" s="41"/>
      <c r="W93" s="41"/>
      <c r="X93" s="44">
        <v>4.782</v>
      </c>
      <c r="Z93" s="33">
        <f t="shared" si="28"/>
        <v>47635</v>
      </c>
      <c r="AA93" s="36"/>
      <c r="AB93" s="35"/>
      <c r="AC93" s="41"/>
      <c r="AD93" s="41"/>
      <c r="AE93" s="41"/>
      <c r="AF93" s="44">
        <v>-0.78249999999999997</v>
      </c>
      <c r="AH93" s="33">
        <f t="shared" si="29"/>
        <v>47635</v>
      </c>
      <c r="AI93" s="36"/>
      <c r="AJ93" s="35"/>
      <c r="AK93" s="41"/>
      <c r="AL93" s="41"/>
      <c r="AN93" s="45"/>
      <c r="AT93" s="56">
        <f t="shared" si="21"/>
        <v>2030</v>
      </c>
      <c r="AU93" s="57" t="str">
        <f t="shared" si="22"/>
        <v>30</v>
      </c>
      <c r="AV93" s="58">
        <f t="shared" si="23"/>
        <v>6</v>
      </c>
      <c r="AW93" s="58" t="str" cm="1">
        <f t="array" ref="AW93">_xlfn.IFS(AV93=$AR$3,$AQ$3,AV93=$AR$4,$AQ$4,AV93=$AR$5,$AQ$5,AV93=$AR$6,$AQ$6,AV93=$AR$7,$AQ$7,AV93=$AR$8,$AQ$8,AV93=$AR$9,$AQ$9,AV93=$AR$10,$AQ$10,AV93=$AR$11,$AQ$11,AV93=$AR$12,$AQ$12,AV93=$AR$13,$AQ$13,AV93=$AR$14,$AQ$14)</f>
        <v>M</v>
      </c>
      <c r="AY93" s="41" t="str">
        <f t="shared" si="24"/>
        <v>ADB M30-IUS</v>
      </c>
      <c r="AZ93" s="41" t="str">
        <f t="shared" si="24"/>
        <v>ADD M30-IUS</v>
      </c>
      <c r="BA93" s="41" t="str">
        <f t="shared" si="24"/>
        <v>HNG M30-IUS</v>
      </c>
      <c r="BB93" s="41" t="str">
        <f t="shared" si="24"/>
        <v>DOM M30-IUS</v>
      </c>
      <c r="BC93" s="41" t="str">
        <f t="shared" si="24"/>
        <v>TNC M30-IUS</v>
      </c>
    </row>
    <row r="94" spans="2:55">
      <c r="B94" s="33">
        <f t="shared" si="25"/>
        <v>47665</v>
      </c>
      <c r="D94" s="35"/>
      <c r="E94" s="41"/>
      <c r="F94" s="41"/>
      <c r="G94" s="41"/>
      <c r="H94" s="42">
        <v>55.45</v>
      </c>
      <c r="J94" s="33">
        <f t="shared" si="26"/>
        <v>47665</v>
      </c>
      <c r="K94" s="36"/>
      <c r="L94" s="35"/>
      <c r="M94" s="41"/>
      <c r="N94" s="41"/>
      <c r="O94" s="41"/>
      <c r="P94" s="42">
        <v>34.15</v>
      </c>
      <c r="R94" s="33">
        <f t="shared" si="27"/>
        <v>47665</v>
      </c>
      <c r="S94" s="36"/>
      <c r="T94" s="35"/>
      <c r="U94" s="41"/>
      <c r="V94" s="41"/>
      <c r="W94" s="41"/>
      <c r="X94" s="44">
        <v>4.8520000000000003</v>
      </c>
      <c r="Z94" s="33">
        <f t="shared" si="28"/>
        <v>47665</v>
      </c>
      <c r="AA94" s="36"/>
      <c r="AB94" s="35"/>
      <c r="AC94" s="41"/>
      <c r="AD94" s="41"/>
      <c r="AE94" s="41"/>
      <c r="AF94" s="44">
        <v>-0.91749999999999998</v>
      </c>
      <c r="AH94" s="33">
        <f t="shared" si="29"/>
        <v>47665</v>
      </c>
      <c r="AI94" s="36"/>
      <c r="AJ94" s="35"/>
      <c r="AK94" s="41"/>
      <c r="AL94" s="41"/>
      <c r="AN94" s="45"/>
      <c r="AT94" s="56">
        <f t="shared" si="21"/>
        <v>2030</v>
      </c>
      <c r="AU94" s="57" t="str">
        <f t="shared" si="22"/>
        <v>30</v>
      </c>
      <c r="AV94" s="58">
        <f t="shared" si="23"/>
        <v>7</v>
      </c>
      <c r="AW94" s="58" t="str" cm="1">
        <f t="array" ref="AW94">_xlfn.IFS(AV94=$AR$3,$AQ$3,AV94=$AR$4,$AQ$4,AV94=$AR$5,$AQ$5,AV94=$AR$6,$AQ$6,AV94=$AR$7,$AQ$7,AV94=$AR$8,$AQ$8,AV94=$AR$9,$AQ$9,AV94=$AR$10,$AQ$10,AV94=$AR$11,$AQ$11,AV94=$AR$12,$AQ$12,AV94=$AR$13,$AQ$13,AV94=$AR$14,$AQ$14)</f>
        <v>N</v>
      </c>
      <c r="AY94" s="41" t="str">
        <f t="shared" si="24"/>
        <v>ADB N30-IUS</v>
      </c>
      <c r="AZ94" s="41" t="str">
        <f t="shared" si="24"/>
        <v>ADD N30-IUS</v>
      </c>
      <c r="BA94" s="41" t="str">
        <f t="shared" si="24"/>
        <v>HNG N30-IUS</v>
      </c>
      <c r="BB94" s="41" t="str">
        <f t="shared" si="24"/>
        <v>DOM N30-IUS</v>
      </c>
      <c r="BC94" s="41" t="str">
        <f t="shared" si="24"/>
        <v>TNC N30-IUS</v>
      </c>
    </row>
    <row r="95" spans="2:55">
      <c r="B95" s="33">
        <f t="shared" si="25"/>
        <v>47696</v>
      </c>
      <c r="D95" s="35"/>
      <c r="E95" s="41"/>
      <c r="F95" s="41"/>
      <c r="G95" s="41"/>
      <c r="H95" s="42">
        <v>50.75</v>
      </c>
      <c r="J95" s="33">
        <f t="shared" si="26"/>
        <v>47696</v>
      </c>
      <c r="K95" s="36"/>
      <c r="L95" s="35"/>
      <c r="M95" s="41"/>
      <c r="N95" s="41"/>
      <c r="O95" s="41"/>
      <c r="P95" s="42">
        <v>36.75</v>
      </c>
      <c r="R95" s="33">
        <f t="shared" si="27"/>
        <v>47696</v>
      </c>
      <c r="S95" s="36"/>
      <c r="T95" s="35"/>
      <c r="U95" s="41"/>
      <c r="V95" s="41"/>
      <c r="W95" s="41"/>
      <c r="X95" s="44">
        <v>4.8920000000000003</v>
      </c>
      <c r="Z95" s="33">
        <f t="shared" si="28"/>
        <v>47696</v>
      </c>
      <c r="AA95" s="36"/>
      <c r="AB95" s="35"/>
      <c r="AC95" s="41"/>
      <c r="AD95" s="41"/>
      <c r="AE95" s="41"/>
      <c r="AF95" s="44">
        <v>-1.01</v>
      </c>
      <c r="AH95" s="33">
        <f t="shared" si="29"/>
        <v>47696</v>
      </c>
      <c r="AI95" s="36"/>
      <c r="AJ95" s="35"/>
      <c r="AK95" s="41"/>
      <c r="AL95" s="41"/>
      <c r="AN95" s="45"/>
      <c r="AT95" s="56">
        <f t="shared" si="21"/>
        <v>2030</v>
      </c>
      <c r="AU95" s="57" t="str">
        <f t="shared" si="22"/>
        <v>30</v>
      </c>
      <c r="AV95" s="58">
        <f t="shared" si="23"/>
        <v>8</v>
      </c>
      <c r="AW95" s="58" t="str" cm="1">
        <f t="array" ref="AW95">_xlfn.IFS(AV95=$AR$3,$AQ$3,AV95=$AR$4,$AQ$4,AV95=$AR$5,$AQ$5,AV95=$AR$6,$AQ$6,AV95=$AR$7,$AQ$7,AV95=$AR$8,$AQ$8,AV95=$AR$9,$AQ$9,AV95=$AR$10,$AQ$10,AV95=$AR$11,$AQ$11,AV95=$AR$12,$AQ$12,AV95=$AR$13,$AQ$13,AV95=$AR$14,$AQ$14)</f>
        <v>Q</v>
      </c>
      <c r="AY95" s="41" t="str">
        <f t="shared" si="24"/>
        <v>ADB Q30-IUS</v>
      </c>
      <c r="AZ95" s="41" t="str">
        <f t="shared" si="24"/>
        <v>ADD Q30-IUS</v>
      </c>
      <c r="BA95" s="41" t="str">
        <f t="shared" si="24"/>
        <v>HNG Q30-IUS</v>
      </c>
      <c r="BB95" s="41" t="str">
        <f t="shared" si="24"/>
        <v>DOM Q30-IUS</v>
      </c>
      <c r="BC95" s="41" t="str">
        <f t="shared" si="24"/>
        <v>TNC Q30-IUS</v>
      </c>
    </row>
    <row r="96" spans="2:55">
      <c r="B96" s="33">
        <f t="shared" si="25"/>
        <v>47727</v>
      </c>
      <c r="D96" s="35"/>
      <c r="E96" s="41"/>
      <c r="F96" s="41"/>
      <c r="G96" s="41"/>
      <c r="H96" s="42">
        <v>56.85</v>
      </c>
      <c r="J96" s="33">
        <f t="shared" si="26"/>
        <v>47727</v>
      </c>
      <c r="K96" s="36"/>
      <c r="L96" s="35"/>
      <c r="M96" s="41"/>
      <c r="N96" s="41"/>
      <c r="O96" s="41"/>
      <c r="P96" s="42">
        <v>42.75</v>
      </c>
      <c r="R96" s="33">
        <f t="shared" si="27"/>
        <v>47727</v>
      </c>
      <c r="S96" s="36"/>
      <c r="T96" s="35"/>
      <c r="U96" s="41"/>
      <c r="V96" s="41"/>
      <c r="W96" s="41"/>
      <c r="X96" s="44">
        <v>4.907</v>
      </c>
      <c r="Z96" s="33">
        <f t="shared" si="28"/>
        <v>47727</v>
      </c>
      <c r="AA96" s="36"/>
      <c r="AB96" s="35"/>
      <c r="AC96" s="41"/>
      <c r="AD96" s="41"/>
      <c r="AE96" s="41"/>
      <c r="AF96" s="44">
        <v>-1.3174999999999999</v>
      </c>
      <c r="AH96" s="33">
        <f t="shared" si="29"/>
        <v>47727</v>
      </c>
      <c r="AI96" s="36"/>
      <c r="AJ96" s="35"/>
      <c r="AK96" s="41"/>
      <c r="AL96" s="41"/>
      <c r="AN96" s="45"/>
      <c r="AT96" s="56">
        <f t="shared" si="21"/>
        <v>2030</v>
      </c>
      <c r="AU96" s="57" t="str">
        <f t="shared" si="22"/>
        <v>30</v>
      </c>
      <c r="AV96" s="58">
        <f t="shared" si="23"/>
        <v>9</v>
      </c>
      <c r="AW96" s="58" t="str" cm="1">
        <f t="array" ref="AW96">_xlfn.IFS(AV96=$AR$3,$AQ$3,AV96=$AR$4,$AQ$4,AV96=$AR$5,$AQ$5,AV96=$AR$6,$AQ$6,AV96=$AR$7,$AQ$7,AV96=$AR$8,$AQ$8,AV96=$AR$9,$AQ$9,AV96=$AR$10,$AQ$10,AV96=$AR$11,$AQ$11,AV96=$AR$12,$AQ$12,AV96=$AR$13,$AQ$13,AV96=$AR$14,$AQ$14)</f>
        <v>U</v>
      </c>
      <c r="AY96" s="41" t="str">
        <f t="shared" si="24"/>
        <v>ADB U30-IUS</v>
      </c>
      <c r="AZ96" s="41" t="str">
        <f t="shared" si="24"/>
        <v>ADD U30-IUS</v>
      </c>
      <c r="BA96" s="41" t="str">
        <f t="shared" si="24"/>
        <v>HNG U30-IUS</v>
      </c>
      <c r="BB96" s="41" t="str">
        <f t="shared" si="24"/>
        <v>DOM U30-IUS</v>
      </c>
      <c r="BC96" s="41" t="str">
        <f t="shared" si="24"/>
        <v>TNC U30-IUS</v>
      </c>
    </row>
    <row r="97" spans="2:55">
      <c r="B97" s="33">
        <f t="shared" si="25"/>
        <v>47757</v>
      </c>
      <c r="D97" s="35"/>
      <c r="E97" s="41"/>
      <c r="F97" s="41"/>
      <c r="G97" s="41"/>
      <c r="H97" s="42">
        <v>79.849999999999994</v>
      </c>
      <c r="J97" s="33">
        <f t="shared" si="26"/>
        <v>47757</v>
      </c>
      <c r="K97" s="36"/>
      <c r="L97" s="35"/>
      <c r="M97" s="41"/>
      <c r="N97" s="41"/>
      <c r="O97" s="41"/>
      <c r="P97" s="42">
        <v>58.7</v>
      </c>
      <c r="R97" s="33">
        <f t="shared" si="27"/>
        <v>47757</v>
      </c>
      <c r="S97" s="36"/>
      <c r="T97" s="35"/>
      <c r="U97" s="41"/>
      <c r="V97" s="41"/>
      <c r="W97" s="41"/>
      <c r="X97" s="44">
        <v>4.9530000000000003</v>
      </c>
      <c r="Z97" s="33">
        <f t="shared" si="28"/>
        <v>47757</v>
      </c>
      <c r="AA97" s="36"/>
      <c r="AB97" s="35"/>
      <c r="AC97" s="41"/>
      <c r="AD97" s="41"/>
      <c r="AE97" s="41"/>
      <c r="AF97" s="44">
        <v>-1.2949999999999999</v>
      </c>
      <c r="AH97" s="33">
        <f t="shared" si="29"/>
        <v>47757</v>
      </c>
      <c r="AI97" s="36"/>
      <c r="AJ97" s="35"/>
      <c r="AK97" s="41"/>
      <c r="AL97" s="41"/>
      <c r="AN97" s="45"/>
      <c r="AT97" s="56">
        <f t="shared" si="21"/>
        <v>2030</v>
      </c>
      <c r="AU97" s="57" t="str">
        <f t="shared" si="22"/>
        <v>30</v>
      </c>
      <c r="AV97" s="58">
        <f t="shared" si="23"/>
        <v>10</v>
      </c>
      <c r="AW97" s="58" t="str" cm="1">
        <f t="array" ref="AW97">_xlfn.IFS(AV97=$AR$3,$AQ$3,AV97=$AR$4,$AQ$4,AV97=$AR$5,$AQ$5,AV97=$AR$6,$AQ$6,AV97=$AR$7,$AQ$7,AV97=$AR$8,$AQ$8,AV97=$AR$9,$AQ$9,AV97=$AR$10,$AQ$10,AV97=$AR$11,$AQ$11,AV97=$AR$12,$AQ$12,AV97=$AR$13,$AQ$13,AV97=$AR$14,$AQ$14)</f>
        <v>V</v>
      </c>
      <c r="AY97" s="41" t="str">
        <f t="shared" si="24"/>
        <v>ADB V30-IUS</v>
      </c>
      <c r="AZ97" s="41" t="str">
        <f t="shared" si="24"/>
        <v>ADD V30-IUS</v>
      </c>
      <c r="BA97" s="41" t="str">
        <f t="shared" si="24"/>
        <v>HNG V30-IUS</v>
      </c>
      <c r="BB97" s="41" t="str">
        <f t="shared" si="24"/>
        <v>DOM V30-IUS</v>
      </c>
      <c r="BC97" s="41" t="str">
        <f t="shared" si="24"/>
        <v>TNC V30-IUS</v>
      </c>
    </row>
    <row r="98" spans="2:55">
      <c r="B98" s="33">
        <f t="shared" si="25"/>
        <v>47788</v>
      </c>
      <c r="D98" s="35"/>
      <c r="E98" s="41"/>
      <c r="F98" s="41"/>
      <c r="G98" s="41"/>
      <c r="H98" s="42">
        <v>63.05</v>
      </c>
      <c r="J98" s="33">
        <f t="shared" si="26"/>
        <v>47788</v>
      </c>
      <c r="K98" s="36"/>
      <c r="L98" s="35"/>
      <c r="M98" s="41"/>
      <c r="N98" s="41"/>
      <c r="O98" s="41"/>
      <c r="P98" s="42">
        <v>44.3</v>
      </c>
      <c r="R98" s="33">
        <f t="shared" si="27"/>
        <v>47788</v>
      </c>
      <c r="S98" s="36"/>
      <c r="T98" s="35"/>
      <c r="U98" s="41"/>
      <c r="V98" s="41"/>
      <c r="W98" s="41"/>
      <c r="X98" s="44">
        <v>5.2629999999999999</v>
      </c>
      <c r="Z98" s="33">
        <f t="shared" si="28"/>
        <v>47788</v>
      </c>
      <c r="AA98" s="36"/>
      <c r="AB98" s="35"/>
      <c r="AC98" s="41"/>
      <c r="AD98" s="41"/>
      <c r="AE98" s="41"/>
      <c r="AF98" s="44">
        <v>-0.82750000000000001</v>
      </c>
      <c r="AH98" s="33">
        <f t="shared" si="29"/>
        <v>47788</v>
      </c>
      <c r="AI98" s="36"/>
      <c r="AJ98" s="35"/>
      <c r="AK98" s="41"/>
      <c r="AL98" s="41"/>
      <c r="AN98" s="45"/>
      <c r="AT98" s="56">
        <f t="shared" si="21"/>
        <v>2030</v>
      </c>
      <c r="AU98" s="57" t="str">
        <f t="shared" si="22"/>
        <v>30</v>
      </c>
      <c r="AV98" s="58">
        <f t="shared" si="23"/>
        <v>11</v>
      </c>
      <c r="AW98" s="58" t="str" cm="1">
        <f t="array" ref="AW98">_xlfn.IFS(AV98=$AR$3,$AQ$3,AV98=$AR$4,$AQ$4,AV98=$AR$5,$AQ$5,AV98=$AR$6,$AQ$6,AV98=$AR$7,$AQ$7,AV98=$AR$8,$AQ$8,AV98=$AR$9,$AQ$9,AV98=$AR$10,$AQ$10,AV98=$AR$11,$AQ$11,AV98=$AR$12,$AQ$12,AV98=$AR$13,$AQ$13,AV98=$AR$14,$AQ$14)</f>
        <v>X</v>
      </c>
      <c r="AY98" s="41" t="str">
        <f t="shared" si="24"/>
        <v>ADB X30-IUS</v>
      </c>
      <c r="AZ98" s="41" t="str">
        <f t="shared" si="24"/>
        <v>ADD X30-IUS</v>
      </c>
      <c r="BA98" s="41" t="str">
        <f t="shared" si="24"/>
        <v>HNG X30-IUS</v>
      </c>
      <c r="BB98" s="41" t="str">
        <f t="shared" si="24"/>
        <v>DOM X30-IUS</v>
      </c>
      <c r="BC98" s="41" t="str">
        <f t="shared" si="24"/>
        <v>TNC X30-IUS</v>
      </c>
    </row>
    <row r="99" spans="2:55">
      <c r="B99" s="33">
        <f t="shared" si="25"/>
        <v>47818</v>
      </c>
      <c r="D99" s="35"/>
      <c r="E99" s="41"/>
      <c r="F99" s="41"/>
      <c r="G99" s="41"/>
      <c r="H99" s="42">
        <v>56.1</v>
      </c>
      <c r="J99" s="33">
        <f t="shared" si="26"/>
        <v>47818</v>
      </c>
      <c r="K99" s="36"/>
      <c r="L99" s="35"/>
      <c r="M99" s="41"/>
      <c r="N99" s="41"/>
      <c r="O99" s="41"/>
      <c r="P99" s="42">
        <v>40.049999999999997</v>
      </c>
      <c r="R99" s="33">
        <f t="shared" si="27"/>
        <v>47818</v>
      </c>
      <c r="S99" s="36"/>
      <c r="T99" s="35"/>
      <c r="U99" s="41"/>
      <c r="V99" s="41"/>
      <c r="W99" s="41"/>
      <c r="X99" s="44">
        <v>5.5880000000000001</v>
      </c>
      <c r="Z99" s="33">
        <f t="shared" si="28"/>
        <v>47818</v>
      </c>
      <c r="AA99" s="36"/>
      <c r="AB99" s="35"/>
      <c r="AC99" s="41"/>
      <c r="AD99" s="41"/>
      <c r="AE99" s="41"/>
      <c r="AF99" s="44">
        <v>-0.63249999999999995</v>
      </c>
      <c r="AH99" s="33">
        <f t="shared" si="29"/>
        <v>47818</v>
      </c>
      <c r="AI99" s="36"/>
      <c r="AJ99" s="35"/>
      <c r="AK99" s="41"/>
      <c r="AL99" s="41"/>
      <c r="AN99" s="45"/>
      <c r="AT99" s="56">
        <f t="shared" si="21"/>
        <v>2030</v>
      </c>
      <c r="AU99" s="57" t="str">
        <f t="shared" si="22"/>
        <v>30</v>
      </c>
      <c r="AV99" s="58">
        <f t="shared" si="23"/>
        <v>12</v>
      </c>
      <c r="AW99" s="58" t="str" cm="1">
        <f t="array" ref="AW99">_xlfn.IFS(AV99=$AR$3,$AQ$3,AV99=$AR$4,$AQ$4,AV99=$AR$5,$AQ$5,AV99=$AR$6,$AQ$6,AV99=$AR$7,$AQ$7,AV99=$AR$8,$AQ$8,AV99=$AR$9,$AQ$9,AV99=$AR$10,$AQ$10,AV99=$AR$11,$AQ$11,AV99=$AR$12,$AQ$12,AV99=$AR$13,$AQ$13,AV99=$AR$14,$AQ$14)</f>
        <v>Z</v>
      </c>
      <c r="AY99" s="41" t="str">
        <f t="shared" si="24"/>
        <v>ADB Z30-IUS</v>
      </c>
      <c r="AZ99" s="41" t="str">
        <f t="shared" si="24"/>
        <v>ADD Z30-IUS</v>
      </c>
      <c r="BA99" s="41" t="str">
        <f t="shared" si="24"/>
        <v>HNG Z30-IUS</v>
      </c>
      <c r="BB99" s="41" t="str">
        <f t="shared" si="24"/>
        <v>DOM Z30-IUS</v>
      </c>
      <c r="BC99" s="41" t="str">
        <f t="shared" si="24"/>
        <v>TNC Z30-IUS</v>
      </c>
    </row>
    <row r="100" spans="2:55">
      <c r="B100" s="33">
        <f t="shared" si="25"/>
        <v>47849</v>
      </c>
      <c r="D100" s="35"/>
      <c r="E100" s="41"/>
      <c r="F100" s="41"/>
      <c r="G100" s="41"/>
      <c r="H100" s="42">
        <v>52.3</v>
      </c>
      <c r="J100" s="33">
        <f t="shared" si="26"/>
        <v>47849</v>
      </c>
      <c r="K100" s="36"/>
      <c r="L100" s="35"/>
      <c r="M100" s="41"/>
      <c r="N100" s="41"/>
      <c r="O100" s="41"/>
      <c r="P100" s="42">
        <v>36.15</v>
      </c>
      <c r="R100" s="33">
        <f t="shared" si="27"/>
        <v>47849</v>
      </c>
      <c r="S100" s="36"/>
      <c r="T100" s="35"/>
      <c r="U100" s="41"/>
      <c r="V100" s="41"/>
      <c r="W100" s="41"/>
      <c r="X100" s="44">
        <v>5.7430000000000003</v>
      </c>
      <c r="Z100" s="33">
        <f t="shared" si="28"/>
        <v>47849</v>
      </c>
      <c r="AA100" s="36"/>
      <c r="AB100" s="35"/>
      <c r="AC100" s="41"/>
      <c r="AD100" s="41"/>
      <c r="AE100" s="41"/>
      <c r="AF100" s="44">
        <v>-0.52749999999999997</v>
      </c>
      <c r="AH100" s="33">
        <f t="shared" si="29"/>
        <v>47849</v>
      </c>
      <c r="AI100" s="36"/>
      <c r="AJ100" s="35"/>
      <c r="AK100" s="41"/>
      <c r="AL100" s="41"/>
      <c r="AN100" s="45"/>
      <c r="AT100" s="56">
        <f t="shared" si="21"/>
        <v>2031</v>
      </c>
      <c r="AU100" s="57" t="str">
        <f t="shared" si="22"/>
        <v>31</v>
      </c>
      <c r="AV100" s="58">
        <f t="shared" si="23"/>
        <v>1</v>
      </c>
      <c r="AW100" s="58" t="str" cm="1">
        <f t="array" ref="AW100">_xlfn.IFS(AV100=$AR$3,$AQ$3,AV100=$AR$4,$AQ$4,AV100=$AR$5,$AQ$5,AV100=$AR$6,$AQ$6,AV100=$AR$7,$AQ$7,AV100=$AR$8,$AQ$8,AV100=$AR$9,$AQ$9,AV100=$AR$10,$AQ$10,AV100=$AR$11,$AQ$11,AV100=$AR$12,$AQ$12,AV100=$AR$13,$AQ$13,AV100=$AR$14,$AQ$14)</f>
        <v>F</v>
      </c>
      <c r="AY100" s="41" t="str">
        <f t="shared" si="24"/>
        <v>ADB F31-IUS</v>
      </c>
      <c r="AZ100" s="41" t="str">
        <f t="shared" si="24"/>
        <v>ADD F31-IUS</v>
      </c>
      <c r="BA100" s="41" t="str">
        <f t="shared" si="24"/>
        <v>HNG F31-IUS</v>
      </c>
      <c r="BB100" s="41" t="str">
        <f t="shared" si="24"/>
        <v>DOM F31-IUS</v>
      </c>
      <c r="BC100" s="41" t="str">
        <f t="shared" si="24"/>
        <v>TNC F31-IUS</v>
      </c>
    </row>
    <row r="101" spans="2:55">
      <c r="B101" s="33">
        <f t="shared" si="25"/>
        <v>47880</v>
      </c>
      <c r="D101" s="35"/>
      <c r="E101" s="41"/>
      <c r="F101" s="41"/>
      <c r="G101" s="41"/>
      <c r="H101" s="42">
        <v>55.65</v>
      </c>
      <c r="J101" s="33">
        <f t="shared" si="26"/>
        <v>47880</v>
      </c>
      <c r="K101" s="36"/>
      <c r="L101" s="35"/>
      <c r="M101" s="41"/>
      <c r="N101" s="41"/>
      <c r="O101" s="41"/>
      <c r="P101" s="42">
        <v>38.950000000000003</v>
      </c>
      <c r="R101" s="33">
        <f t="shared" si="27"/>
        <v>47880</v>
      </c>
      <c r="S101" s="36"/>
      <c r="T101" s="35"/>
      <c r="U101" s="41"/>
      <c r="V101" s="41"/>
      <c r="W101" s="41"/>
      <c r="X101" s="44">
        <v>5.6429999999999998</v>
      </c>
      <c r="Z101" s="33">
        <f t="shared" si="28"/>
        <v>47880</v>
      </c>
      <c r="AA101" s="36"/>
      <c r="AB101" s="35"/>
      <c r="AC101" s="41"/>
      <c r="AD101" s="41"/>
      <c r="AE101" s="41"/>
      <c r="AF101" s="44">
        <v>-0.50249999999999995</v>
      </c>
      <c r="AH101" s="33">
        <f t="shared" si="29"/>
        <v>47880</v>
      </c>
      <c r="AI101" s="36"/>
      <c r="AJ101" s="35"/>
      <c r="AK101" s="41"/>
      <c r="AL101" s="41"/>
      <c r="AN101" s="45"/>
      <c r="AT101" s="56">
        <f t="shared" si="21"/>
        <v>2031</v>
      </c>
      <c r="AU101" s="57" t="str">
        <f t="shared" si="22"/>
        <v>31</v>
      </c>
      <c r="AV101" s="58">
        <f t="shared" si="23"/>
        <v>2</v>
      </c>
      <c r="AW101" s="58" t="str" cm="1">
        <f t="array" ref="AW101">_xlfn.IFS(AV101=$AR$3,$AQ$3,AV101=$AR$4,$AQ$4,AV101=$AR$5,$AQ$5,AV101=$AR$6,$AQ$6,AV101=$AR$7,$AQ$7,AV101=$AR$8,$AQ$8,AV101=$AR$9,$AQ$9,AV101=$AR$10,$AQ$10,AV101=$AR$11,$AQ$11,AV101=$AR$12,$AQ$12,AV101=$AR$13,$AQ$13,AV101=$AR$14,$AQ$14)</f>
        <v>G</v>
      </c>
      <c r="AY101" s="41" t="str">
        <f t="shared" ref="AY101:BC132" si="30">AY$3&amp;" "&amp;$AW101&amp;$AU101&amp;"-IUS"</f>
        <v>ADB G31-IUS</v>
      </c>
      <c r="AZ101" s="41" t="str">
        <f t="shared" si="30"/>
        <v>ADD G31-IUS</v>
      </c>
      <c r="BA101" s="41" t="str">
        <f t="shared" si="30"/>
        <v>HNG G31-IUS</v>
      </c>
      <c r="BB101" s="41" t="str">
        <f t="shared" si="30"/>
        <v>DOM G31-IUS</v>
      </c>
      <c r="BC101" s="41" t="str">
        <f t="shared" si="30"/>
        <v>TNC G31-IUS</v>
      </c>
    </row>
    <row r="102" spans="2:55">
      <c r="B102" s="33">
        <f t="shared" si="25"/>
        <v>47908</v>
      </c>
      <c r="D102" s="35"/>
      <c r="E102" s="41"/>
      <c r="F102" s="41"/>
      <c r="G102" s="41"/>
      <c r="H102" s="42">
        <v>80.599999999999994</v>
      </c>
      <c r="J102" s="33">
        <f t="shared" si="26"/>
        <v>47908</v>
      </c>
      <c r="K102" s="36"/>
      <c r="L102" s="35"/>
      <c r="M102" s="41"/>
      <c r="N102" s="41"/>
      <c r="O102" s="41"/>
      <c r="P102" s="42">
        <v>50.15</v>
      </c>
      <c r="R102" s="33">
        <f t="shared" si="27"/>
        <v>47908</v>
      </c>
      <c r="S102" s="36"/>
      <c r="T102" s="35"/>
      <c r="U102" s="41"/>
      <c r="V102" s="41"/>
      <c r="W102" s="41"/>
      <c r="X102" s="44">
        <v>5.4930000000000003</v>
      </c>
      <c r="Z102" s="33">
        <f t="shared" si="28"/>
        <v>47908</v>
      </c>
      <c r="AA102" s="36"/>
      <c r="AB102" s="35"/>
      <c r="AC102" s="41"/>
      <c r="AD102" s="41"/>
      <c r="AE102" s="41"/>
      <c r="AF102" s="44">
        <v>-0.52500000000000002</v>
      </c>
      <c r="AH102" s="33">
        <f t="shared" si="29"/>
        <v>47908</v>
      </c>
      <c r="AI102" s="36"/>
      <c r="AJ102" s="35"/>
      <c r="AK102" s="41"/>
      <c r="AL102" s="41"/>
      <c r="AN102" s="45"/>
      <c r="AT102" s="56">
        <f t="shared" si="21"/>
        <v>2031</v>
      </c>
      <c r="AU102" s="57" t="str">
        <f t="shared" si="22"/>
        <v>31</v>
      </c>
      <c r="AV102" s="58">
        <f t="shared" si="23"/>
        <v>3</v>
      </c>
      <c r="AW102" s="58" t="str" cm="1">
        <f t="array" ref="AW102">_xlfn.IFS(AV102=$AR$3,$AQ$3,AV102=$AR$4,$AQ$4,AV102=$AR$5,$AQ$5,AV102=$AR$6,$AQ$6,AV102=$AR$7,$AQ$7,AV102=$AR$8,$AQ$8,AV102=$AR$9,$AQ$9,AV102=$AR$10,$AQ$10,AV102=$AR$11,$AQ$11,AV102=$AR$12,$AQ$12,AV102=$AR$13,$AQ$13,AV102=$AR$14,$AQ$14)</f>
        <v>H</v>
      </c>
      <c r="AY102" s="41" t="str">
        <f t="shared" si="30"/>
        <v>ADB H31-IUS</v>
      </c>
      <c r="AZ102" s="41" t="str">
        <f t="shared" si="30"/>
        <v>ADD H31-IUS</v>
      </c>
      <c r="BA102" s="41" t="str">
        <f t="shared" si="30"/>
        <v>HNG H31-IUS</v>
      </c>
      <c r="BB102" s="41" t="str">
        <f t="shared" si="30"/>
        <v>DOM H31-IUS</v>
      </c>
      <c r="BC102" s="41" t="str">
        <f t="shared" si="30"/>
        <v>TNC H31-IUS</v>
      </c>
    </row>
    <row r="103" spans="2:55">
      <c r="B103" s="33">
        <f t="shared" si="25"/>
        <v>47939</v>
      </c>
      <c r="D103" s="35"/>
      <c r="E103" s="41"/>
      <c r="F103" s="41"/>
      <c r="G103" s="41"/>
      <c r="H103" s="42">
        <v>53.9</v>
      </c>
      <c r="J103" s="33">
        <f t="shared" si="26"/>
        <v>47939</v>
      </c>
      <c r="K103" s="36"/>
      <c r="L103" s="35"/>
      <c r="M103" s="41"/>
      <c r="N103" s="41"/>
      <c r="O103" s="41"/>
      <c r="P103" s="42">
        <v>34.799999999999997</v>
      </c>
      <c r="R103" s="33">
        <f t="shared" si="27"/>
        <v>47939</v>
      </c>
      <c r="S103" s="36"/>
      <c r="T103" s="35"/>
      <c r="U103" s="41"/>
      <c r="V103" s="41"/>
      <c r="W103" s="41"/>
      <c r="X103" s="44">
        <v>5.0030000000000001</v>
      </c>
      <c r="Z103" s="33">
        <f t="shared" si="28"/>
        <v>47939</v>
      </c>
      <c r="AA103" s="36"/>
      <c r="AB103" s="35"/>
      <c r="AC103" s="41"/>
      <c r="AD103" s="41"/>
      <c r="AE103" s="41"/>
      <c r="AF103" s="44">
        <v>-0.505</v>
      </c>
      <c r="AH103" s="33">
        <f t="shared" si="29"/>
        <v>47939</v>
      </c>
      <c r="AI103" s="36"/>
      <c r="AJ103" s="35"/>
      <c r="AK103" s="41"/>
      <c r="AL103" s="41"/>
      <c r="AN103" s="45"/>
      <c r="AT103" s="56">
        <f t="shared" si="21"/>
        <v>2031</v>
      </c>
      <c r="AU103" s="57" t="str">
        <f t="shared" si="22"/>
        <v>31</v>
      </c>
      <c r="AV103" s="58">
        <f t="shared" si="23"/>
        <v>4</v>
      </c>
      <c r="AW103" s="58" t="str" cm="1">
        <f t="array" ref="AW103">_xlfn.IFS(AV103=$AR$3,$AQ$3,AV103=$AR$4,$AQ$4,AV103=$AR$5,$AQ$5,AV103=$AR$6,$AQ$6,AV103=$AR$7,$AQ$7,AV103=$AR$8,$AQ$8,AV103=$AR$9,$AQ$9,AV103=$AR$10,$AQ$10,AV103=$AR$11,$AQ$11,AV103=$AR$12,$AQ$12,AV103=$AR$13,$AQ$13,AV103=$AR$14,$AQ$14)</f>
        <v>J</v>
      </c>
      <c r="AY103" s="41" t="str">
        <f t="shared" si="30"/>
        <v>ADB J31-IUS</v>
      </c>
      <c r="AZ103" s="41" t="str">
        <f t="shared" si="30"/>
        <v>ADD J31-IUS</v>
      </c>
      <c r="BA103" s="41" t="str">
        <f t="shared" si="30"/>
        <v>HNG J31-IUS</v>
      </c>
      <c r="BB103" s="41" t="str">
        <f t="shared" si="30"/>
        <v>DOM J31-IUS</v>
      </c>
      <c r="BC103" s="41" t="str">
        <f t="shared" si="30"/>
        <v>TNC J31-IUS</v>
      </c>
    </row>
    <row r="104" spans="2:55">
      <c r="B104" s="33">
        <f t="shared" si="25"/>
        <v>47969</v>
      </c>
      <c r="D104" s="35"/>
      <c r="E104" s="41"/>
      <c r="F104" s="41"/>
      <c r="G104" s="41"/>
      <c r="H104" s="42">
        <v>51.7</v>
      </c>
      <c r="J104" s="33">
        <f t="shared" si="26"/>
        <v>47969</v>
      </c>
      <c r="K104" s="36"/>
      <c r="L104" s="35"/>
      <c r="M104" s="41"/>
      <c r="N104" s="41"/>
      <c r="O104" s="41"/>
      <c r="P104" s="42">
        <v>36.549999999999997</v>
      </c>
      <c r="R104" s="33">
        <f t="shared" si="27"/>
        <v>47969</v>
      </c>
      <c r="S104" s="36"/>
      <c r="T104" s="35"/>
      <c r="U104" s="41"/>
      <c r="V104" s="41"/>
      <c r="W104" s="41"/>
      <c r="X104" s="44">
        <v>4.9809999999999999</v>
      </c>
      <c r="Z104" s="33">
        <f t="shared" si="28"/>
        <v>47969</v>
      </c>
      <c r="AA104" s="36"/>
      <c r="AB104" s="35"/>
      <c r="AC104" s="41"/>
      <c r="AD104" s="41"/>
      <c r="AE104" s="41"/>
      <c r="AF104" s="44">
        <v>-0.73</v>
      </c>
      <c r="AH104" s="33">
        <f t="shared" si="29"/>
        <v>47969</v>
      </c>
      <c r="AI104" s="36"/>
      <c r="AJ104" s="35"/>
      <c r="AK104" s="41"/>
      <c r="AL104" s="41"/>
      <c r="AN104" s="45"/>
      <c r="AT104" s="56">
        <f t="shared" si="21"/>
        <v>2031</v>
      </c>
      <c r="AU104" s="57" t="str">
        <f t="shared" si="22"/>
        <v>31</v>
      </c>
      <c r="AV104" s="58">
        <f t="shared" si="23"/>
        <v>5</v>
      </c>
      <c r="AW104" s="58" t="str" cm="1">
        <f t="array" ref="AW104">_xlfn.IFS(AV104=$AR$3,$AQ$3,AV104=$AR$4,$AQ$4,AV104=$AR$5,$AQ$5,AV104=$AR$6,$AQ$6,AV104=$AR$7,$AQ$7,AV104=$AR$8,$AQ$8,AV104=$AR$9,$AQ$9,AV104=$AR$10,$AQ$10,AV104=$AR$11,$AQ$11,AV104=$AR$12,$AQ$12,AV104=$AR$13,$AQ$13,AV104=$AR$14,$AQ$14)</f>
        <v>K</v>
      </c>
      <c r="AY104" s="41" t="str">
        <f t="shared" si="30"/>
        <v>ADB K31-IUS</v>
      </c>
      <c r="AZ104" s="41" t="str">
        <f t="shared" si="30"/>
        <v>ADD K31-IUS</v>
      </c>
      <c r="BA104" s="41" t="str">
        <f t="shared" si="30"/>
        <v>HNG K31-IUS</v>
      </c>
      <c r="BB104" s="41" t="str">
        <f t="shared" si="30"/>
        <v>DOM K31-IUS</v>
      </c>
      <c r="BC104" s="41" t="str">
        <f t="shared" si="30"/>
        <v>TNC K31-IUS</v>
      </c>
    </row>
    <row r="105" spans="2:55">
      <c r="B105" s="33">
        <f t="shared" si="25"/>
        <v>48000</v>
      </c>
      <c r="D105" s="35"/>
      <c r="E105" s="41"/>
      <c r="F105" s="41"/>
      <c r="G105" s="41"/>
      <c r="H105" s="42">
        <v>56.9</v>
      </c>
      <c r="J105" s="33">
        <f t="shared" si="26"/>
        <v>48000</v>
      </c>
      <c r="K105" s="36"/>
      <c r="L105" s="35"/>
      <c r="M105" s="41"/>
      <c r="N105" s="41"/>
      <c r="O105" s="41"/>
      <c r="P105" s="42">
        <v>42.95</v>
      </c>
      <c r="R105" s="33">
        <f t="shared" si="27"/>
        <v>48000</v>
      </c>
      <c r="S105" s="36"/>
      <c r="T105" s="35"/>
      <c r="U105" s="41"/>
      <c r="V105" s="41"/>
      <c r="W105" s="41"/>
      <c r="X105" s="44">
        <v>5.016</v>
      </c>
      <c r="Z105" s="33">
        <f t="shared" si="28"/>
        <v>48000</v>
      </c>
      <c r="AA105" s="36"/>
      <c r="AB105" s="35"/>
      <c r="AC105" s="41"/>
      <c r="AD105" s="41"/>
      <c r="AE105" s="41"/>
      <c r="AF105" s="44">
        <v>-0.73</v>
      </c>
      <c r="AH105" s="33">
        <f t="shared" si="29"/>
        <v>48000</v>
      </c>
      <c r="AI105" s="36"/>
      <c r="AJ105" s="35"/>
      <c r="AK105" s="41"/>
      <c r="AL105" s="41"/>
      <c r="AN105" s="45"/>
      <c r="AT105" s="56">
        <f t="shared" si="21"/>
        <v>2031</v>
      </c>
      <c r="AU105" s="57" t="str">
        <f t="shared" si="22"/>
        <v>31</v>
      </c>
      <c r="AV105" s="58">
        <f t="shared" si="23"/>
        <v>6</v>
      </c>
      <c r="AW105" s="58" t="str" cm="1">
        <f t="array" ref="AW105">_xlfn.IFS(AV105=$AR$3,$AQ$3,AV105=$AR$4,$AQ$4,AV105=$AR$5,$AQ$5,AV105=$AR$6,$AQ$6,AV105=$AR$7,$AQ$7,AV105=$AR$8,$AQ$8,AV105=$AR$9,$AQ$9,AV105=$AR$10,$AQ$10,AV105=$AR$11,$AQ$11,AV105=$AR$12,$AQ$12,AV105=$AR$13,$AQ$13,AV105=$AR$14,$AQ$14)</f>
        <v>M</v>
      </c>
      <c r="AY105" s="41" t="str">
        <f t="shared" si="30"/>
        <v>ADB M31-IUS</v>
      </c>
      <c r="AZ105" s="41" t="str">
        <f t="shared" si="30"/>
        <v>ADD M31-IUS</v>
      </c>
      <c r="BA105" s="41" t="str">
        <f t="shared" si="30"/>
        <v>HNG M31-IUS</v>
      </c>
      <c r="BB105" s="41" t="str">
        <f t="shared" si="30"/>
        <v>DOM M31-IUS</v>
      </c>
      <c r="BC105" s="41" t="str">
        <f t="shared" si="30"/>
        <v>TNC M31-IUS</v>
      </c>
    </row>
    <row r="106" spans="2:55">
      <c r="B106" s="33">
        <f t="shared" si="25"/>
        <v>48030</v>
      </c>
      <c r="D106" s="35"/>
      <c r="E106" s="41"/>
      <c r="F106" s="41"/>
      <c r="G106" s="41"/>
      <c r="H106" s="42">
        <v>80.5</v>
      </c>
      <c r="J106" s="33">
        <f t="shared" si="26"/>
        <v>48030</v>
      </c>
      <c r="K106" s="36"/>
      <c r="L106" s="35"/>
      <c r="M106" s="41"/>
      <c r="N106" s="41"/>
      <c r="O106" s="41"/>
      <c r="P106" s="42">
        <v>58.75</v>
      </c>
      <c r="R106" s="33">
        <f t="shared" si="27"/>
        <v>48030</v>
      </c>
      <c r="S106" s="36"/>
      <c r="T106" s="35"/>
      <c r="U106" s="41"/>
      <c r="V106" s="41"/>
      <c r="W106" s="41"/>
      <c r="X106" s="44">
        <v>5.056</v>
      </c>
      <c r="Z106" s="33">
        <f t="shared" si="28"/>
        <v>48030</v>
      </c>
      <c r="AA106" s="36"/>
      <c r="AB106" s="35"/>
      <c r="AC106" s="41"/>
      <c r="AD106" s="41"/>
      <c r="AE106" s="41"/>
      <c r="AF106" s="44">
        <v>-0.86250000000000004</v>
      </c>
      <c r="AH106" s="33">
        <f t="shared" si="29"/>
        <v>48030</v>
      </c>
      <c r="AI106" s="36"/>
      <c r="AJ106" s="35"/>
      <c r="AK106" s="41"/>
      <c r="AL106" s="41"/>
      <c r="AN106" s="45"/>
      <c r="AT106" s="56">
        <f t="shared" si="21"/>
        <v>2031</v>
      </c>
      <c r="AU106" s="57" t="str">
        <f t="shared" si="22"/>
        <v>31</v>
      </c>
      <c r="AV106" s="58">
        <f t="shared" si="23"/>
        <v>7</v>
      </c>
      <c r="AW106" s="58" t="str" cm="1">
        <f t="array" ref="AW106">_xlfn.IFS(AV106=$AR$3,$AQ$3,AV106=$AR$4,$AQ$4,AV106=$AR$5,$AQ$5,AV106=$AR$6,$AQ$6,AV106=$AR$7,$AQ$7,AV106=$AR$8,$AQ$8,AV106=$AR$9,$AQ$9,AV106=$AR$10,$AQ$10,AV106=$AR$11,$AQ$11,AV106=$AR$12,$AQ$12,AV106=$AR$13,$AQ$13,AV106=$AR$14,$AQ$14)</f>
        <v>N</v>
      </c>
      <c r="AY106" s="41" t="str">
        <f t="shared" si="30"/>
        <v>ADB N31-IUS</v>
      </c>
      <c r="AZ106" s="41" t="str">
        <f t="shared" si="30"/>
        <v>ADD N31-IUS</v>
      </c>
      <c r="BA106" s="41" t="str">
        <f t="shared" si="30"/>
        <v>HNG N31-IUS</v>
      </c>
      <c r="BB106" s="41" t="str">
        <f t="shared" si="30"/>
        <v>DOM N31-IUS</v>
      </c>
      <c r="BC106" s="41" t="str">
        <f t="shared" si="30"/>
        <v>TNC N31-IUS</v>
      </c>
    </row>
    <row r="107" spans="2:55">
      <c r="B107" s="33">
        <f t="shared" si="25"/>
        <v>48061</v>
      </c>
      <c r="D107" s="35"/>
      <c r="E107" s="41"/>
      <c r="F107" s="41"/>
      <c r="G107" s="41"/>
      <c r="H107" s="42">
        <v>50</v>
      </c>
      <c r="J107" s="33">
        <f t="shared" si="26"/>
        <v>48061</v>
      </c>
      <c r="K107" s="36"/>
      <c r="L107" s="35"/>
      <c r="M107" s="41"/>
      <c r="N107" s="41"/>
      <c r="O107" s="41"/>
      <c r="P107" s="42">
        <v>36.299999999999997</v>
      </c>
      <c r="R107" s="33">
        <f t="shared" si="27"/>
        <v>48061</v>
      </c>
      <c r="S107" s="36"/>
      <c r="T107" s="35"/>
      <c r="U107" s="41"/>
      <c r="V107" s="41"/>
      <c r="W107" s="41"/>
      <c r="X107" s="44">
        <v>5.0960000000000001</v>
      </c>
      <c r="Z107" s="33">
        <f t="shared" si="28"/>
        <v>48061</v>
      </c>
      <c r="AA107" s="36"/>
      <c r="AB107" s="35"/>
      <c r="AC107" s="41"/>
      <c r="AD107" s="41"/>
      <c r="AE107" s="41"/>
      <c r="AF107" s="44">
        <v>-0.95499999999999996</v>
      </c>
      <c r="AH107" s="33">
        <f t="shared" si="29"/>
        <v>48061</v>
      </c>
      <c r="AI107" s="36"/>
      <c r="AJ107" s="35"/>
      <c r="AK107" s="41"/>
      <c r="AL107" s="41"/>
      <c r="AN107" s="45"/>
      <c r="AT107" s="56">
        <f t="shared" si="21"/>
        <v>2031</v>
      </c>
      <c r="AU107" s="57" t="str">
        <f t="shared" si="22"/>
        <v>31</v>
      </c>
      <c r="AV107" s="58">
        <f t="shared" si="23"/>
        <v>8</v>
      </c>
      <c r="AW107" s="58" t="str" cm="1">
        <f t="array" ref="AW107">_xlfn.IFS(AV107=$AR$3,$AQ$3,AV107=$AR$4,$AQ$4,AV107=$AR$5,$AQ$5,AV107=$AR$6,$AQ$6,AV107=$AR$7,$AQ$7,AV107=$AR$8,$AQ$8,AV107=$AR$9,$AQ$9,AV107=$AR$10,$AQ$10,AV107=$AR$11,$AQ$11,AV107=$AR$12,$AQ$12,AV107=$AR$13,$AQ$13,AV107=$AR$14,$AQ$14)</f>
        <v>Q</v>
      </c>
      <c r="AY107" s="41" t="str">
        <f t="shared" si="30"/>
        <v>ADB Q31-IUS</v>
      </c>
      <c r="AZ107" s="41" t="str">
        <f t="shared" si="30"/>
        <v>ADD Q31-IUS</v>
      </c>
      <c r="BA107" s="41" t="str">
        <f t="shared" si="30"/>
        <v>HNG Q31-IUS</v>
      </c>
      <c r="BB107" s="41" t="str">
        <f t="shared" si="30"/>
        <v>DOM Q31-IUS</v>
      </c>
      <c r="BC107" s="41" t="str">
        <f t="shared" si="30"/>
        <v>TNC Q31-IUS</v>
      </c>
    </row>
    <row r="108" spans="2:55">
      <c r="B108" s="33">
        <f t="shared" si="25"/>
        <v>48092</v>
      </c>
      <c r="D108" s="35"/>
      <c r="E108" s="41"/>
      <c r="F108" s="41"/>
      <c r="G108" s="41"/>
      <c r="H108" s="42">
        <v>52.9</v>
      </c>
      <c r="J108" s="33">
        <f t="shared" si="26"/>
        <v>48092</v>
      </c>
      <c r="K108" s="36"/>
      <c r="L108" s="35"/>
      <c r="M108" s="41"/>
      <c r="N108" s="41"/>
      <c r="O108" s="41"/>
      <c r="P108" s="42">
        <v>37.299999999999997</v>
      </c>
      <c r="R108" s="33">
        <f t="shared" si="27"/>
        <v>48092</v>
      </c>
      <c r="S108" s="36"/>
      <c r="T108" s="35"/>
      <c r="U108" s="41"/>
      <c r="V108" s="41"/>
      <c r="W108" s="41"/>
      <c r="X108" s="44">
        <v>5.1109999999999998</v>
      </c>
      <c r="Z108" s="33">
        <f t="shared" si="28"/>
        <v>48092</v>
      </c>
      <c r="AA108" s="36"/>
      <c r="AB108" s="35"/>
      <c r="AC108" s="41"/>
      <c r="AD108" s="41"/>
      <c r="AE108" s="41"/>
      <c r="AF108" s="44">
        <v>-1.2649999999999999</v>
      </c>
      <c r="AH108" s="33">
        <f t="shared" si="29"/>
        <v>48092</v>
      </c>
      <c r="AI108" s="36"/>
      <c r="AJ108" s="35"/>
      <c r="AK108" s="41"/>
      <c r="AL108" s="41"/>
      <c r="AN108" s="45"/>
      <c r="AT108" s="56">
        <f t="shared" si="21"/>
        <v>2031</v>
      </c>
      <c r="AU108" s="57" t="str">
        <f t="shared" si="22"/>
        <v>31</v>
      </c>
      <c r="AV108" s="58">
        <f t="shared" si="23"/>
        <v>9</v>
      </c>
      <c r="AW108" s="58" t="str" cm="1">
        <f t="array" ref="AW108">_xlfn.IFS(AV108=$AR$3,$AQ$3,AV108=$AR$4,$AQ$4,AV108=$AR$5,$AQ$5,AV108=$AR$6,$AQ$6,AV108=$AR$7,$AQ$7,AV108=$AR$8,$AQ$8,AV108=$AR$9,$AQ$9,AV108=$AR$10,$AQ$10,AV108=$AR$11,$AQ$11,AV108=$AR$12,$AQ$12,AV108=$AR$13,$AQ$13,AV108=$AR$14,$AQ$14)</f>
        <v>U</v>
      </c>
      <c r="AY108" s="41" t="str">
        <f t="shared" si="30"/>
        <v>ADB U31-IUS</v>
      </c>
      <c r="AZ108" s="41" t="str">
        <f t="shared" si="30"/>
        <v>ADD U31-IUS</v>
      </c>
      <c r="BA108" s="41" t="str">
        <f t="shared" si="30"/>
        <v>HNG U31-IUS</v>
      </c>
      <c r="BB108" s="41" t="str">
        <f t="shared" si="30"/>
        <v>DOM U31-IUS</v>
      </c>
      <c r="BC108" s="41" t="str">
        <f t="shared" si="30"/>
        <v>TNC U31-IUS</v>
      </c>
    </row>
    <row r="109" spans="2:55">
      <c r="B109" s="33">
        <f t="shared" si="25"/>
        <v>48122</v>
      </c>
      <c r="D109" s="35"/>
      <c r="E109" s="41"/>
      <c r="F109" s="41"/>
      <c r="G109" s="41"/>
      <c r="H109" s="42">
        <v>52.1</v>
      </c>
      <c r="J109" s="33">
        <f t="shared" si="26"/>
        <v>48122</v>
      </c>
      <c r="K109" s="36"/>
      <c r="L109" s="35"/>
      <c r="M109" s="41"/>
      <c r="N109" s="41"/>
      <c r="O109" s="41"/>
      <c r="P109" s="42">
        <v>36.450000000000003</v>
      </c>
      <c r="R109" s="33">
        <f t="shared" si="27"/>
        <v>48122</v>
      </c>
      <c r="S109" s="36"/>
      <c r="T109" s="35"/>
      <c r="U109" s="41"/>
      <c r="V109" s="41"/>
      <c r="W109" s="41"/>
      <c r="X109" s="44">
        <v>5.181</v>
      </c>
      <c r="Z109" s="33">
        <f t="shared" si="28"/>
        <v>48122</v>
      </c>
      <c r="AA109" s="36"/>
      <c r="AB109" s="35"/>
      <c r="AC109" s="41"/>
      <c r="AD109" s="41"/>
      <c r="AE109" s="41"/>
      <c r="AF109" s="44">
        <v>-1.24</v>
      </c>
      <c r="AH109" s="33">
        <f t="shared" si="29"/>
        <v>48122</v>
      </c>
      <c r="AI109" s="36"/>
      <c r="AJ109" s="35"/>
      <c r="AK109" s="41"/>
      <c r="AL109" s="41"/>
      <c r="AN109" s="45"/>
      <c r="AT109" s="56">
        <f t="shared" si="21"/>
        <v>2031</v>
      </c>
      <c r="AU109" s="57" t="str">
        <f t="shared" si="22"/>
        <v>31</v>
      </c>
      <c r="AV109" s="58">
        <f t="shared" si="23"/>
        <v>10</v>
      </c>
      <c r="AW109" s="58" t="str" cm="1">
        <f t="array" ref="AW109">_xlfn.IFS(AV109=$AR$3,$AQ$3,AV109=$AR$4,$AQ$4,AV109=$AR$5,$AQ$5,AV109=$AR$6,$AQ$6,AV109=$AR$7,$AQ$7,AV109=$AR$8,$AQ$8,AV109=$AR$9,$AQ$9,AV109=$AR$10,$AQ$10,AV109=$AR$11,$AQ$11,AV109=$AR$12,$AQ$12,AV109=$AR$13,$AQ$13,AV109=$AR$14,$AQ$14)</f>
        <v>V</v>
      </c>
      <c r="AY109" s="41" t="str">
        <f t="shared" si="30"/>
        <v>ADB V31-IUS</v>
      </c>
      <c r="AZ109" s="41" t="str">
        <f t="shared" si="30"/>
        <v>ADD V31-IUS</v>
      </c>
      <c r="BA109" s="41" t="str">
        <f t="shared" si="30"/>
        <v>HNG V31-IUS</v>
      </c>
      <c r="BB109" s="41" t="str">
        <f t="shared" si="30"/>
        <v>DOM V31-IUS</v>
      </c>
      <c r="BC109" s="41" t="str">
        <f t="shared" si="30"/>
        <v>TNC V31-IUS</v>
      </c>
    </row>
    <row r="110" spans="2:55">
      <c r="B110" s="33">
        <f t="shared" si="25"/>
        <v>48153</v>
      </c>
      <c r="D110" s="35"/>
      <c r="E110" s="41"/>
      <c r="F110" s="41"/>
      <c r="G110" s="41"/>
      <c r="H110" s="42">
        <v>56.15</v>
      </c>
      <c r="J110" s="33">
        <f t="shared" si="26"/>
        <v>48153</v>
      </c>
      <c r="K110" s="36"/>
      <c r="L110" s="35"/>
      <c r="M110" s="41"/>
      <c r="N110" s="41"/>
      <c r="O110" s="41"/>
      <c r="P110" s="42">
        <v>39</v>
      </c>
      <c r="R110" s="33">
        <f t="shared" si="27"/>
        <v>48153</v>
      </c>
      <c r="S110" s="36"/>
      <c r="T110" s="35"/>
      <c r="U110" s="41"/>
      <c r="V110" s="41"/>
      <c r="W110" s="41"/>
      <c r="X110" s="44">
        <v>5.5010000000000003</v>
      </c>
      <c r="Z110" s="33">
        <f t="shared" si="28"/>
        <v>48153</v>
      </c>
      <c r="AA110" s="36"/>
      <c r="AB110" s="35"/>
      <c r="AC110" s="41"/>
      <c r="AD110" s="41"/>
      <c r="AE110" s="41"/>
      <c r="AF110" s="44">
        <v>-0.87250000000000005</v>
      </c>
      <c r="AH110" s="33">
        <f t="shared" si="29"/>
        <v>48153</v>
      </c>
      <c r="AI110" s="36"/>
      <c r="AJ110" s="35"/>
      <c r="AK110" s="41"/>
      <c r="AL110" s="41"/>
      <c r="AN110" s="45"/>
      <c r="AT110" s="56">
        <f t="shared" si="21"/>
        <v>2031</v>
      </c>
      <c r="AU110" s="57" t="str">
        <f t="shared" si="22"/>
        <v>31</v>
      </c>
      <c r="AV110" s="58">
        <f t="shared" si="23"/>
        <v>11</v>
      </c>
      <c r="AW110" s="58" t="str" cm="1">
        <f t="array" ref="AW110">_xlfn.IFS(AV110=$AR$3,$AQ$3,AV110=$AR$4,$AQ$4,AV110=$AR$5,$AQ$5,AV110=$AR$6,$AQ$6,AV110=$AR$7,$AQ$7,AV110=$AR$8,$AQ$8,AV110=$AR$9,$AQ$9,AV110=$AR$10,$AQ$10,AV110=$AR$11,$AQ$11,AV110=$AR$12,$AQ$12,AV110=$AR$13,$AQ$13,AV110=$AR$14,$AQ$14)</f>
        <v>X</v>
      </c>
      <c r="AY110" s="41" t="str">
        <f t="shared" si="30"/>
        <v>ADB X31-IUS</v>
      </c>
      <c r="AZ110" s="41" t="str">
        <f t="shared" si="30"/>
        <v>ADD X31-IUS</v>
      </c>
      <c r="BA110" s="41" t="str">
        <f t="shared" si="30"/>
        <v>HNG X31-IUS</v>
      </c>
      <c r="BB110" s="41" t="str">
        <f t="shared" si="30"/>
        <v>DOM X31-IUS</v>
      </c>
      <c r="BC110" s="41" t="str">
        <f t="shared" si="30"/>
        <v>TNC X31-IUS</v>
      </c>
    </row>
    <row r="111" spans="2:55">
      <c r="B111" s="33">
        <f t="shared" si="25"/>
        <v>48183</v>
      </c>
      <c r="D111" s="35"/>
      <c r="E111" s="41"/>
      <c r="F111" s="41"/>
      <c r="G111" s="41"/>
      <c r="H111" s="42">
        <v>69.349999999999994</v>
      </c>
      <c r="J111" s="33">
        <f t="shared" si="26"/>
        <v>48183</v>
      </c>
      <c r="K111" s="36"/>
      <c r="L111" s="35"/>
      <c r="M111" s="41"/>
      <c r="N111" s="41"/>
      <c r="O111" s="41"/>
      <c r="P111" s="42">
        <v>42.2</v>
      </c>
      <c r="R111" s="33">
        <f t="shared" si="27"/>
        <v>48183</v>
      </c>
      <c r="S111" s="36"/>
      <c r="T111" s="35"/>
      <c r="U111" s="41"/>
      <c r="V111" s="41"/>
      <c r="W111" s="41"/>
      <c r="X111" s="44">
        <v>5.8410000000000002</v>
      </c>
      <c r="Z111" s="33">
        <f t="shared" si="28"/>
        <v>48183</v>
      </c>
      <c r="AA111" s="36"/>
      <c r="AB111" s="35"/>
      <c r="AC111" s="41"/>
      <c r="AD111" s="41"/>
      <c r="AE111" s="41"/>
      <c r="AF111" s="44">
        <v>-0.66749999999999998</v>
      </c>
      <c r="AH111" s="33">
        <f t="shared" si="29"/>
        <v>48183</v>
      </c>
      <c r="AI111" s="36"/>
      <c r="AJ111" s="35"/>
      <c r="AK111" s="41"/>
      <c r="AL111" s="41"/>
      <c r="AN111" s="45"/>
      <c r="AT111" s="56">
        <f t="shared" si="21"/>
        <v>2031</v>
      </c>
      <c r="AU111" s="57" t="str">
        <f t="shared" si="22"/>
        <v>31</v>
      </c>
      <c r="AV111" s="58">
        <f t="shared" si="23"/>
        <v>12</v>
      </c>
      <c r="AW111" s="58" t="str" cm="1">
        <f t="array" ref="AW111">_xlfn.IFS(AV111=$AR$3,$AQ$3,AV111=$AR$4,$AQ$4,AV111=$AR$5,$AQ$5,AV111=$AR$6,$AQ$6,AV111=$AR$7,$AQ$7,AV111=$AR$8,$AQ$8,AV111=$AR$9,$AQ$9,AV111=$AR$10,$AQ$10,AV111=$AR$11,$AQ$11,AV111=$AR$12,$AQ$12,AV111=$AR$13,$AQ$13,AV111=$AR$14,$AQ$14)</f>
        <v>Z</v>
      </c>
      <c r="AY111" s="41" t="str">
        <f t="shared" si="30"/>
        <v>ADB Z31-IUS</v>
      </c>
      <c r="AZ111" s="41" t="str">
        <f t="shared" si="30"/>
        <v>ADD Z31-IUS</v>
      </c>
      <c r="BA111" s="41" t="str">
        <f t="shared" si="30"/>
        <v>HNG Z31-IUS</v>
      </c>
      <c r="BB111" s="41" t="str">
        <f t="shared" si="30"/>
        <v>DOM Z31-IUS</v>
      </c>
      <c r="BC111" s="41" t="str">
        <f t="shared" si="30"/>
        <v>TNC Z31-IUS</v>
      </c>
    </row>
    <row r="112" spans="2:55">
      <c r="B112" s="33">
        <f t="shared" si="25"/>
        <v>48214</v>
      </c>
      <c r="D112" s="35"/>
      <c r="E112" s="41"/>
      <c r="F112" s="41"/>
      <c r="G112" s="41"/>
      <c r="H112" s="42">
        <v>53.75</v>
      </c>
      <c r="J112" s="33">
        <f t="shared" si="26"/>
        <v>48214</v>
      </c>
      <c r="K112" s="36"/>
      <c r="L112" s="35"/>
      <c r="M112" s="41"/>
      <c r="N112" s="41"/>
      <c r="O112" s="41"/>
      <c r="P112" s="42">
        <v>36</v>
      </c>
      <c r="R112" s="33">
        <f t="shared" si="27"/>
        <v>48214</v>
      </c>
      <c r="S112" s="36"/>
      <c r="T112" s="35"/>
      <c r="U112" s="41"/>
      <c r="V112" s="41"/>
      <c r="W112" s="41"/>
      <c r="X112" s="44">
        <v>6.0209999999999999</v>
      </c>
      <c r="Z112" s="33">
        <f t="shared" si="28"/>
        <v>48214</v>
      </c>
      <c r="AA112" s="36"/>
      <c r="AB112" s="35"/>
      <c r="AC112" s="41"/>
      <c r="AD112" s="41"/>
      <c r="AE112" s="41"/>
      <c r="AF112" s="44">
        <v>-0.48749999999999999</v>
      </c>
      <c r="AH112" s="33">
        <f t="shared" si="29"/>
        <v>48214</v>
      </c>
      <c r="AI112" s="36"/>
      <c r="AJ112" s="35"/>
      <c r="AK112" s="41"/>
      <c r="AL112" s="41"/>
      <c r="AN112" s="45"/>
      <c r="AT112" s="56">
        <f t="shared" si="21"/>
        <v>2032</v>
      </c>
      <c r="AU112" s="57" t="str">
        <f t="shared" si="22"/>
        <v>32</v>
      </c>
      <c r="AV112" s="58">
        <f t="shared" si="23"/>
        <v>1</v>
      </c>
      <c r="AW112" s="58" t="str" cm="1">
        <f t="array" ref="AW112">_xlfn.IFS(AV112=$AR$3,$AQ$3,AV112=$AR$4,$AQ$4,AV112=$AR$5,$AQ$5,AV112=$AR$6,$AQ$6,AV112=$AR$7,$AQ$7,AV112=$AR$8,$AQ$8,AV112=$AR$9,$AQ$9,AV112=$AR$10,$AQ$10,AV112=$AR$11,$AQ$11,AV112=$AR$12,$AQ$12,AV112=$AR$13,$AQ$13,AV112=$AR$14,$AQ$14)</f>
        <v>F</v>
      </c>
      <c r="AY112" s="41" t="str">
        <f t="shared" si="30"/>
        <v>ADB F32-IUS</v>
      </c>
      <c r="AZ112" s="41" t="str">
        <f t="shared" si="30"/>
        <v>ADD F32-IUS</v>
      </c>
      <c r="BA112" s="41" t="str">
        <f t="shared" si="30"/>
        <v>HNG F32-IUS</v>
      </c>
      <c r="BB112" s="41" t="str">
        <f t="shared" si="30"/>
        <v>DOM F32-IUS</v>
      </c>
      <c r="BC112" s="41" t="str">
        <f t="shared" si="30"/>
        <v>TNC F32-IUS</v>
      </c>
    </row>
    <row r="113" spans="2:55">
      <c r="B113" s="33">
        <f t="shared" si="25"/>
        <v>48245</v>
      </c>
      <c r="D113" s="35"/>
      <c r="E113" s="41"/>
      <c r="F113" s="41"/>
      <c r="G113" s="41"/>
      <c r="H113" s="42">
        <v>52.7</v>
      </c>
      <c r="J113" s="33">
        <f t="shared" si="26"/>
        <v>48245</v>
      </c>
      <c r="K113" s="36"/>
      <c r="L113" s="35"/>
      <c r="M113" s="41"/>
      <c r="N113" s="41"/>
      <c r="O113" s="41"/>
      <c r="P113" s="42">
        <v>37.700000000000003</v>
      </c>
      <c r="R113" s="33">
        <f t="shared" si="27"/>
        <v>48245</v>
      </c>
      <c r="S113" s="36"/>
      <c r="T113" s="35"/>
      <c r="U113" s="41"/>
      <c r="V113" s="41"/>
      <c r="W113" s="41"/>
      <c r="X113" s="44">
        <v>5.9009999999999998</v>
      </c>
      <c r="Z113" s="33">
        <f t="shared" si="28"/>
        <v>48245</v>
      </c>
      <c r="AA113" s="36"/>
      <c r="AB113" s="35"/>
      <c r="AC113" s="41"/>
      <c r="AD113" s="41"/>
      <c r="AE113" s="41"/>
      <c r="AF113" s="44">
        <v>-0.4975</v>
      </c>
      <c r="AH113" s="33">
        <f t="shared" si="29"/>
        <v>48245</v>
      </c>
      <c r="AI113" s="36"/>
      <c r="AJ113" s="35"/>
      <c r="AK113" s="41"/>
      <c r="AL113" s="41"/>
      <c r="AN113" s="45"/>
      <c r="AT113" s="56">
        <f t="shared" si="21"/>
        <v>2032</v>
      </c>
      <c r="AU113" s="57" t="str">
        <f t="shared" si="22"/>
        <v>32</v>
      </c>
      <c r="AV113" s="58">
        <f t="shared" si="23"/>
        <v>2</v>
      </c>
      <c r="AW113" s="58" t="str" cm="1">
        <f t="array" ref="AW113">_xlfn.IFS(AV113=$AR$3,$AQ$3,AV113=$AR$4,$AQ$4,AV113=$AR$5,$AQ$5,AV113=$AR$6,$AQ$6,AV113=$AR$7,$AQ$7,AV113=$AR$8,$AQ$8,AV113=$AR$9,$AQ$9,AV113=$AR$10,$AQ$10,AV113=$AR$11,$AQ$11,AV113=$AR$12,$AQ$12,AV113=$AR$13,$AQ$13,AV113=$AR$14,$AQ$14)</f>
        <v>G</v>
      </c>
      <c r="AY113" s="41" t="str">
        <f t="shared" si="30"/>
        <v>ADB G32-IUS</v>
      </c>
      <c r="AZ113" s="41" t="str">
        <f t="shared" si="30"/>
        <v>ADD G32-IUS</v>
      </c>
      <c r="BA113" s="41" t="str">
        <f t="shared" si="30"/>
        <v>HNG G32-IUS</v>
      </c>
      <c r="BB113" s="41" t="str">
        <f t="shared" si="30"/>
        <v>DOM G32-IUS</v>
      </c>
      <c r="BC113" s="41" t="str">
        <f t="shared" si="30"/>
        <v>TNC G32-IUS</v>
      </c>
    </row>
    <row r="114" spans="2:55">
      <c r="B114" s="33">
        <f t="shared" si="25"/>
        <v>48274</v>
      </c>
      <c r="D114" s="35"/>
      <c r="E114" s="41"/>
      <c r="F114" s="41"/>
      <c r="G114" s="41"/>
      <c r="H114" s="42">
        <v>58.2</v>
      </c>
      <c r="J114" s="33">
        <f t="shared" si="26"/>
        <v>48274</v>
      </c>
      <c r="K114" s="36"/>
      <c r="L114" s="35"/>
      <c r="M114" s="41"/>
      <c r="N114" s="41"/>
      <c r="O114" s="41"/>
      <c r="P114" s="42">
        <v>46.4</v>
      </c>
      <c r="R114" s="33">
        <f t="shared" si="27"/>
        <v>48274</v>
      </c>
      <c r="S114" s="36"/>
      <c r="T114" s="35"/>
      <c r="U114" s="41"/>
      <c r="V114" s="41"/>
      <c r="W114" s="41"/>
      <c r="X114" s="44">
        <v>5.7009999999999996</v>
      </c>
      <c r="Z114" s="33">
        <f t="shared" si="28"/>
        <v>48274</v>
      </c>
      <c r="AA114" s="36"/>
      <c r="AB114" s="35"/>
      <c r="AC114" s="41"/>
      <c r="AD114" s="41"/>
      <c r="AE114" s="41"/>
      <c r="AF114" s="44">
        <v>-0.48499999999999999</v>
      </c>
      <c r="AH114" s="33">
        <f t="shared" si="29"/>
        <v>48274</v>
      </c>
      <c r="AI114" s="36"/>
      <c r="AJ114" s="35"/>
      <c r="AK114" s="41"/>
      <c r="AL114" s="41"/>
      <c r="AN114" s="45"/>
      <c r="AT114" s="56">
        <f t="shared" si="21"/>
        <v>2032</v>
      </c>
      <c r="AU114" s="57" t="str">
        <f t="shared" si="22"/>
        <v>32</v>
      </c>
      <c r="AV114" s="58">
        <f t="shared" si="23"/>
        <v>3</v>
      </c>
      <c r="AW114" s="58" t="str" cm="1">
        <f t="array" ref="AW114">_xlfn.IFS(AV114=$AR$3,$AQ$3,AV114=$AR$4,$AQ$4,AV114=$AR$5,$AQ$5,AV114=$AR$6,$AQ$6,AV114=$AR$7,$AQ$7,AV114=$AR$8,$AQ$8,AV114=$AR$9,$AQ$9,AV114=$AR$10,$AQ$10,AV114=$AR$11,$AQ$11,AV114=$AR$12,$AQ$12,AV114=$AR$13,$AQ$13,AV114=$AR$14,$AQ$14)</f>
        <v>H</v>
      </c>
      <c r="AY114" s="41" t="str">
        <f t="shared" si="30"/>
        <v>ADB H32-IUS</v>
      </c>
      <c r="AZ114" s="41" t="str">
        <f t="shared" si="30"/>
        <v>ADD H32-IUS</v>
      </c>
      <c r="BA114" s="41" t="str">
        <f t="shared" si="30"/>
        <v>HNG H32-IUS</v>
      </c>
      <c r="BB114" s="41" t="str">
        <f t="shared" si="30"/>
        <v>DOM H32-IUS</v>
      </c>
      <c r="BC114" s="41" t="str">
        <f t="shared" si="30"/>
        <v>TNC H32-IUS</v>
      </c>
    </row>
    <row r="115" spans="2:55">
      <c r="B115" s="33">
        <f t="shared" si="25"/>
        <v>48305</v>
      </c>
      <c r="D115" s="35"/>
      <c r="E115" s="41"/>
      <c r="F115" s="41"/>
      <c r="G115" s="41"/>
      <c r="H115" s="42">
        <v>81.099999999999994</v>
      </c>
      <c r="J115" s="33">
        <f t="shared" si="26"/>
        <v>48305</v>
      </c>
      <c r="K115" s="36"/>
      <c r="L115" s="35"/>
      <c r="M115" s="41"/>
      <c r="N115" s="41"/>
      <c r="O115" s="41"/>
      <c r="P115" s="42">
        <v>58.8</v>
      </c>
      <c r="R115" s="33">
        <f t="shared" si="27"/>
        <v>48305</v>
      </c>
      <c r="S115" s="36"/>
      <c r="T115" s="35"/>
      <c r="U115" s="41"/>
      <c r="V115" s="41"/>
      <c r="W115" s="41"/>
      <c r="X115" s="44">
        <v>5.2110000000000003</v>
      </c>
      <c r="Z115" s="33">
        <f t="shared" si="28"/>
        <v>48305</v>
      </c>
      <c r="AA115" s="36"/>
      <c r="AB115" s="35"/>
      <c r="AC115" s="41"/>
      <c r="AD115" s="41"/>
      <c r="AE115" s="41"/>
      <c r="AF115" s="44">
        <v>-0.51249999999999996</v>
      </c>
      <c r="AH115" s="33">
        <f t="shared" si="29"/>
        <v>48305</v>
      </c>
      <c r="AI115" s="36"/>
      <c r="AJ115" s="35"/>
      <c r="AK115" s="41"/>
      <c r="AL115" s="41"/>
      <c r="AN115" s="45"/>
      <c r="AT115" s="56">
        <f t="shared" si="21"/>
        <v>2032</v>
      </c>
      <c r="AU115" s="57" t="str">
        <f t="shared" si="22"/>
        <v>32</v>
      </c>
      <c r="AV115" s="58">
        <f t="shared" si="23"/>
        <v>4</v>
      </c>
      <c r="AW115" s="58" t="str" cm="1">
        <f t="array" ref="AW115">_xlfn.IFS(AV115=$AR$3,$AQ$3,AV115=$AR$4,$AQ$4,AV115=$AR$5,$AQ$5,AV115=$AR$6,$AQ$6,AV115=$AR$7,$AQ$7,AV115=$AR$8,$AQ$8,AV115=$AR$9,$AQ$9,AV115=$AR$10,$AQ$10,AV115=$AR$11,$AQ$11,AV115=$AR$12,$AQ$12,AV115=$AR$13,$AQ$13,AV115=$AR$14,$AQ$14)</f>
        <v>J</v>
      </c>
      <c r="AY115" s="41" t="str">
        <f t="shared" si="30"/>
        <v>ADB J32-IUS</v>
      </c>
      <c r="AZ115" s="41" t="str">
        <f t="shared" si="30"/>
        <v>ADD J32-IUS</v>
      </c>
      <c r="BA115" s="41" t="str">
        <f t="shared" si="30"/>
        <v>HNG J32-IUS</v>
      </c>
      <c r="BB115" s="41" t="str">
        <f t="shared" si="30"/>
        <v>DOM J32-IUS</v>
      </c>
      <c r="BC115" s="41" t="str">
        <f t="shared" si="30"/>
        <v>TNC J32-IUS</v>
      </c>
    </row>
    <row r="116" spans="2:55">
      <c r="B116" s="33">
        <f t="shared" si="25"/>
        <v>48335</v>
      </c>
      <c r="D116" s="35"/>
      <c r="E116" s="41"/>
      <c r="F116" s="41"/>
      <c r="G116" s="41"/>
      <c r="H116" s="42">
        <v>50.45</v>
      </c>
      <c r="J116" s="33">
        <f t="shared" si="26"/>
        <v>48335</v>
      </c>
      <c r="K116" s="36"/>
      <c r="L116" s="35"/>
      <c r="M116" s="41"/>
      <c r="N116" s="41"/>
      <c r="O116" s="41"/>
      <c r="P116" s="42">
        <v>36</v>
      </c>
      <c r="R116" s="33">
        <f t="shared" si="27"/>
        <v>48335</v>
      </c>
      <c r="S116" s="36"/>
      <c r="T116" s="35"/>
      <c r="U116" s="41"/>
      <c r="V116" s="41"/>
      <c r="W116" s="41"/>
      <c r="X116" s="44">
        <v>5.1890000000000001</v>
      </c>
      <c r="Z116" s="33">
        <f t="shared" si="28"/>
        <v>48335</v>
      </c>
      <c r="AA116" s="36"/>
      <c r="AB116" s="35"/>
      <c r="AC116" s="41"/>
      <c r="AD116" s="41"/>
      <c r="AE116" s="41"/>
      <c r="AF116" s="44">
        <v>-0.73750000000000004</v>
      </c>
      <c r="AH116" s="33">
        <f t="shared" si="29"/>
        <v>48335</v>
      </c>
      <c r="AI116" s="36"/>
      <c r="AJ116" s="35"/>
      <c r="AK116" s="41"/>
      <c r="AL116" s="41"/>
      <c r="AN116" s="45"/>
      <c r="AT116" s="56">
        <f t="shared" si="21"/>
        <v>2032</v>
      </c>
      <c r="AU116" s="57" t="str">
        <f t="shared" si="22"/>
        <v>32</v>
      </c>
      <c r="AV116" s="58">
        <f t="shared" si="23"/>
        <v>5</v>
      </c>
      <c r="AW116" s="58" t="str" cm="1">
        <f t="array" ref="AW116">_xlfn.IFS(AV116=$AR$3,$AQ$3,AV116=$AR$4,$AQ$4,AV116=$AR$5,$AQ$5,AV116=$AR$6,$AQ$6,AV116=$AR$7,$AQ$7,AV116=$AR$8,$AQ$8,AV116=$AR$9,$AQ$9,AV116=$AR$10,$AQ$10,AV116=$AR$11,$AQ$11,AV116=$AR$12,$AQ$12,AV116=$AR$13,$AQ$13,AV116=$AR$14,$AQ$14)</f>
        <v>K</v>
      </c>
      <c r="AY116" s="41" t="str">
        <f t="shared" si="30"/>
        <v>ADB K32-IUS</v>
      </c>
      <c r="AZ116" s="41" t="str">
        <f t="shared" si="30"/>
        <v>ADD K32-IUS</v>
      </c>
      <c r="BA116" s="41" t="str">
        <f t="shared" si="30"/>
        <v>HNG K32-IUS</v>
      </c>
      <c r="BB116" s="41" t="str">
        <f t="shared" si="30"/>
        <v>DOM K32-IUS</v>
      </c>
      <c r="BC116" s="41" t="str">
        <f t="shared" si="30"/>
        <v>TNC K32-IUS</v>
      </c>
    </row>
    <row r="117" spans="2:55">
      <c r="B117" s="33">
        <f t="shared" si="25"/>
        <v>48366</v>
      </c>
      <c r="D117" s="35"/>
      <c r="E117" s="41"/>
      <c r="F117" s="41"/>
      <c r="G117" s="41"/>
      <c r="H117" s="42">
        <v>52.7</v>
      </c>
      <c r="J117" s="33">
        <f t="shared" si="26"/>
        <v>48366</v>
      </c>
      <c r="K117" s="36"/>
      <c r="L117" s="35"/>
      <c r="M117" s="41"/>
      <c r="N117" s="41"/>
      <c r="O117" s="41"/>
      <c r="P117" s="42">
        <v>38.450000000000003</v>
      </c>
      <c r="R117" s="33">
        <f t="shared" si="27"/>
        <v>48366</v>
      </c>
      <c r="S117" s="36"/>
      <c r="T117" s="35"/>
      <c r="U117" s="41"/>
      <c r="V117" s="41"/>
      <c r="W117" s="41"/>
      <c r="X117" s="44">
        <v>5.2240000000000002</v>
      </c>
      <c r="Z117" s="33">
        <f t="shared" si="28"/>
        <v>48366</v>
      </c>
      <c r="AA117" s="36"/>
      <c r="AB117" s="35"/>
      <c r="AC117" s="41"/>
      <c r="AD117" s="41"/>
      <c r="AE117" s="41"/>
      <c r="AF117" s="44">
        <v>-0.73750000000000004</v>
      </c>
      <c r="AH117" s="33">
        <f t="shared" si="29"/>
        <v>48366</v>
      </c>
      <c r="AI117" s="36"/>
      <c r="AJ117" s="35"/>
      <c r="AK117" s="41"/>
      <c r="AL117" s="41"/>
      <c r="AN117" s="45"/>
      <c r="AT117" s="56">
        <f t="shared" si="21"/>
        <v>2032</v>
      </c>
      <c r="AU117" s="57" t="str">
        <f t="shared" si="22"/>
        <v>32</v>
      </c>
      <c r="AV117" s="58">
        <f t="shared" si="23"/>
        <v>6</v>
      </c>
      <c r="AW117" s="58" t="str" cm="1">
        <f t="array" ref="AW117">_xlfn.IFS(AV117=$AR$3,$AQ$3,AV117=$AR$4,$AQ$4,AV117=$AR$5,$AQ$5,AV117=$AR$6,$AQ$6,AV117=$AR$7,$AQ$7,AV117=$AR$8,$AQ$8,AV117=$AR$9,$AQ$9,AV117=$AR$10,$AQ$10,AV117=$AR$11,$AQ$11,AV117=$AR$12,$AQ$12,AV117=$AR$13,$AQ$13,AV117=$AR$14,$AQ$14)</f>
        <v>M</v>
      </c>
      <c r="AY117" s="41" t="str">
        <f t="shared" si="30"/>
        <v>ADB M32-IUS</v>
      </c>
      <c r="AZ117" s="41" t="str">
        <f t="shared" si="30"/>
        <v>ADD M32-IUS</v>
      </c>
      <c r="BA117" s="41" t="str">
        <f t="shared" si="30"/>
        <v>HNG M32-IUS</v>
      </c>
      <c r="BB117" s="41" t="str">
        <f t="shared" si="30"/>
        <v>DOM M32-IUS</v>
      </c>
      <c r="BC117" s="41" t="str">
        <f t="shared" si="30"/>
        <v>TNC M32-IUS</v>
      </c>
    </row>
    <row r="118" spans="2:55">
      <c r="B118" s="33">
        <f t="shared" si="25"/>
        <v>48396</v>
      </c>
      <c r="D118" s="35"/>
      <c r="E118" s="41"/>
      <c r="F118" s="41"/>
      <c r="G118" s="41"/>
      <c r="H118" s="42">
        <v>53.5</v>
      </c>
      <c r="J118" s="33">
        <f t="shared" si="26"/>
        <v>48396</v>
      </c>
      <c r="K118" s="36"/>
      <c r="L118" s="35"/>
      <c r="M118" s="41"/>
      <c r="N118" s="41"/>
      <c r="O118" s="41"/>
      <c r="P118" s="42">
        <v>39.299999999999997</v>
      </c>
      <c r="R118" s="33">
        <f t="shared" si="27"/>
        <v>48396</v>
      </c>
      <c r="S118" s="36"/>
      <c r="T118" s="35"/>
      <c r="U118" s="41"/>
      <c r="V118" s="41"/>
      <c r="W118" s="41"/>
      <c r="X118" s="44">
        <v>5.2640000000000002</v>
      </c>
      <c r="Z118" s="33">
        <f t="shared" si="28"/>
        <v>48396</v>
      </c>
      <c r="AA118" s="36"/>
      <c r="AB118" s="35"/>
      <c r="AC118" s="41"/>
      <c r="AD118" s="41"/>
      <c r="AE118" s="41"/>
      <c r="AF118" s="44">
        <v>-0.87</v>
      </c>
      <c r="AH118" s="33">
        <f t="shared" si="29"/>
        <v>48396</v>
      </c>
      <c r="AI118" s="36"/>
      <c r="AJ118" s="35"/>
      <c r="AK118" s="41"/>
      <c r="AL118" s="41"/>
      <c r="AN118" s="45"/>
      <c r="AT118" s="56">
        <f t="shared" si="21"/>
        <v>2032</v>
      </c>
      <c r="AU118" s="57" t="str">
        <f t="shared" si="22"/>
        <v>32</v>
      </c>
      <c r="AV118" s="58">
        <f t="shared" si="23"/>
        <v>7</v>
      </c>
      <c r="AW118" s="58" t="str" cm="1">
        <f t="array" ref="AW118">_xlfn.IFS(AV118=$AR$3,$AQ$3,AV118=$AR$4,$AQ$4,AV118=$AR$5,$AQ$5,AV118=$AR$6,$AQ$6,AV118=$AR$7,$AQ$7,AV118=$AR$8,$AQ$8,AV118=$AR$9,$AQ$9,AV118=$AR$10,$AQ$10,AV118=$AR$11,$AQ$11,AV118=$AR$12,$AQ$12,AV118=$AR$13,$AQ$13,AV118=$AR$14,$AQ$14)</f>
        <v>N</v>
      </c>
      <c r="AY118" s="41" t="str">
        <f t="shared" si="30"/>
        <v>ADB N32-IUS</v>
      </c>
      <c r="AZ118" s="41" t="str">
        <f t="shared" si="30"/>
        <v>ADD N32-IUS</v>
      </c>
      <c r="BA118" s="41" t="str">
        <f t="shared" si="30"/>
        <v>HNG N32-IUS</v>
      </c>
      <c r="BB118" s="41" t="str">
        <f t="shared" si="30"/>
        <v>DOM N32-IUS</v>
      </c>
      <c r="BC118" s="41" t="str">
        <f t="shared" si="30"/>
        <v>TNC N32-IUS</v>
      </c>
    </row>
    <row r="119" spans="2:55">
      <c r="B119" s="33">
        <f t="shared" si="25"/>
        <v>48427</v>
      </c>
      <c r="D119" s="35"/>
      <c r="E119" s="41"/>
      <c r="F119" s="41"/>
      <c r="G119" s="41"/>
      <c r="H119" s="42">
        <v>56.6</v>
      </c>
      <c r="J119" s="33">
        <f t="shared" si="26"/>
        <v>48427</v>
      </c>
      <c r="K119" s="36"/>
      <c r="L119" s="35"/>
      <c r="M119" s="41"/>
      <c r="N119" s="41"/>
      <c r="O119" s="41"/>
      <c r="P119" s="42">
        <v>38.950000000000003</v>
      </c>
      <c r="R119" s="33">
        <f t="shared" si="27"/>
        <v>48427</v>
      </c>
      <c r="S119" s="36"/>
      <c r="T119" s="35"/>
      <c r="U119" s="41"/>
      <c r="V119" s="41"/>
      <c r="W119" s="41"/>
      <c r="X119" s="44">
        <v>5.3040000000000003</v>
      </c>
      <c r="Z119" s="33">
        <f t="shared" si="28"/>
        <v>48427</v>
      </c>
      <c r="AA119" s="36"/>
      <c r="AB119" s="35"/>
      <c r="AC119" s="41"/>
      <c r="AD119" s="41"/>
      <c r="AE119" s="41"/>
      <c r="AF119" s="44">
        <v>-0.96250000000000002</v>
      </c>
      <c r="AH119" s="33">
        <f t="shared" si="29"/>
        <v>48427</v>
      </c>
      <c r="AI119" s="36"/>
      <c r="AJ119" s="35"/>
      <c r="AK119" s="41"/>
      <c r="AL119" s="41"/>
      <c r="AN119" s="45"/>
      <c r="AT119" s="56">
        <f t="shared" si="21"/>
        <v>2032</v>
      </c>
      <c r="AU119" s="57" t="str">
        <f t="shared" si="22"/>
        <v>32</v>
      </c>
      <c r="AV119" s="58">
        <f t="shared" si="23"/>
        <v>8</v>
      </c>
      <c r="AW119" s="58" t="str" cm="1">
        <f t="array" ref="AW119">_xlfn.IFS(AV119=$AR$3,$AQ$3,AV119=$AR$4,$AQ$4,AV119=$AR$5,$AQ$5,AV119=$AR$6,$AQ$6,AV119=$AR$7,$AQ$7,AV119=$AR$8,$AQ$8,AV119=$AR$9,$AQ$9,AV119=$AR$10,$AQ$10,AV119=$AR$11,$AQ$11,AV119=$AR$12,$AQ$12,AV119=$AR$13,$AQ$13,AV119=$AR$14,$AQ$14)</f>
        <v>Q</v>
      </c>
      <c r="AY119" s="41" t="str">
        <f t="shared" si="30"/>
        <v>ADB Q32-IUS</v>
      </c>
      <c r="AZ119" s="41" t="str">
        <f t="shared" si="30"/>
        <v>ADD Q32-IUS</v>
      </c>
      <c r="BA119" s="41" t="str">
        <f t="shared" si="30"/>
        <v>HNG Q32-IUS</v>
      </c>
      <c r="BB119" s="41" t="str">
        <f t="shared" si="30"/>
        <v>DOM Q32-IUS</v>
      </c>
      <c r="BC119" s="41" t="str">
        <f t="shared" si="30"/>
        <v>TNC Q32-IUS</v>
      </c>
    </row>
    <row r="120" spans="2:55">
      <c r="B120" s="33">
        <f t="shared" si="25"/>
        <v>48458</v>
      </c>
      <c r="D120" s="35"/>
      <c r="E120" s="41"/>
      <c r="F120" s="41"/>
      <c r="G120" s="41"/>
      <c r="H120" s="42">
        <v>66.8</v>
      </c>
      <c r="J120" s="33">
        <f t="shared" si="26"/>
        <v>48458</v>
      </c>
      <c r="K120" s="36"/>
      <c r="L120" s="35"/>
      <c r="M120" s="41"/>
      <c r="N120" s="41"/>
      <c r="O120" s="41"/>
      <c r="P120" s="42">
        <v>39.15</v>
      </c>
      <c r="R120" s="33">
        <f t="shared" si="27"/>
        <v>48458</v>
      </c>
      <c r="S120" s="36"/>
      <c r="T120" s="35"/>
      <c r="U120" s="41"/>
      <c r="V120" s="41"/>
      <c r="W120" s="41"/>
      <c r="X120" s="44">
        <v>5.319</v>
      </c>
      <c r="Z120" s="33">
        <f t="shared" si="28"/>
        <v>48458</v>
      </c>
      <c r="AA120" s="36"/>
      <c r="AB120" s="35"/>
      <c r="AC120" s="41"/>
      <c r="AD120" s="41"/>
      <c r="AE120" s="41"/>
      <c r="AF120" s="44">
        <v>-1.2725</v>
      </c>
      <c r="AH120" s="33">
        <f t="shared" si="29"/>
        <v>48458</v>
      </c>
      <c r="AI120" s="36"/>
      <c r="AJ120" s="35"/>
      <c r="AK120" s="41"/>
      <c r="AL120" s="41"/>
      <c r="AN120" s="45"/>
      <c r="AT120" s="56">
        <f t="shared" si="21"/>
        <v>2032</v>
      </c>
      <c r="AU120" s="57" t="str">
        <f t="shared" si="22"/>
        <v>32</v>
      </c>
      <c r="AV120" s="58">
        <f t="shared" si="23"/>
        <v>9</v>
      </c>
      <c r="AW120" s="58" t="str" cm="1">
        <f t="array" ref="AW120">_xlfn.IFS(AV120=$AR$3,$AQ$3,AV120=$AR$4,$AQ$4,AV120=$AR$5,$AQ$5,AV120=$AR$6,$AQ$6,AV120=$AR$7,$AQ$7,AV120=$AR$8,$AQ$8,AV120=$AR$9,$AQ$9,AV120=$AR$10,$AQ$10,AV120=$AR$11,$AQ$11,AV120=$AR$12,$AQ$12,AV120=$AR$13,$AQ$13,AV120=$AR$14,$AQ$14)</f>
        <v>U</v>
      </c>
      <c r="AY120" s="41" t="str">
        <f t="shared" si="30"/>
        <v>ADB U32-IUS</v>
      </c>
      <c r="AZ120" s="41" t="str">
        <f t="shared" si="30"/>
        <v>ADD U32-IUS</v>
      </c>
      <c r="BA120" s="41" t="str">
        <f t="shared" si="30"/>
        <v>HNG U32-IUS</v>
      </c>
      <c r="BB120" s="41" t="str">
        <f t="shared" si="30"/>
        <v>DOM U32-IUS</v>
      </c>
      <c r="BC120" s="41" t="str">
        <f t="shared" si="30"/>
        <v>TNC U32-IUS</v>
      </c>
    </row>
    <row r="121" spans="2:55">
      <c r="B121" s="33">
        <f t="shared" si="25"/>
        <v>48488</v>
      </c>
      <c r="D121" s="35"/>
      <c r="E121" s="41"/>
      <c r="F121" s="41"/>
      <c r="G121" s="41"/>
      <c r="H121" s="42">
        <v>54.4</v>
      </c>
      <c r="J121" s="33">
        <f t="shared" si="26"/>
        <v>48488</v>
      </c>
      <c r="K121" s="36"/>
      <c r="L121" s="35"/>
      <c r="M121" s="41"/>
      <c r="N121" s="41"/>
      <c r="O121" s="41"/>
      <c r="P121" s="42">
        <v>36.35</v>
      </c>
      <c r="R121" s="33">
        <f t="shared" si="27"/>
        <v>48488</v>
      </c>
      <c r="S121" s="36"/>
      <c r="T121" s="35"/>
      <c r="U121" s="41"/>
      <c r="V121" s="41"/>
      <c r="W121" s="41"/>
      <c r="X121" s="44">
        <v>5.3650000000000002</v>
      </c>
      <c r="Z121" s="33">
        <f t="shared" si="28"/>
        <v>48488</v>
      </c>
      <c r="AA121" s="36"/>
      <c r="AB121" s="35"/>
      <c r="AC121" s="41"/>
      <c r="AD121" s="41"/>
      <c r="AE121" s="41"/>
      <c r="AF121" s="44">
        <v>-1.2475000000000001</v>
      </c>
      <c r="AH121" s="33">
        <f t="shared" si="29"/>
        <v>48488</v>
      </c>
      <c r="AI121" s="36"/>
      <c r="AJ121" s="35"/>
      <c r="AK121" s="41"/>
      <c r="AL121" s="41"/>
      <c r="AN121" s="45"/>
      <c r="AT121" s="56">
        <f t="shared" si="21"/>
        <v>2032</v>
      </c>
      <c r="AU121" s="57" t="str">
        <f t="shared" si="22"/>
        <v>32</v>
      </c>
      <c r="AV121" s="58">
        <f t="shared" si="23"/>
        <v>10</v>
      </c>
      <c r="AW121" s="58" t="str" cm="1">
        <f t="array" ref="AW121">_xlfn.IFS(AV121=$AR$3,$AQ$3,AV121=$AR$4,$AQ$4,AV121=$AR$5,$AQ$5,AV121=$AR$6,$AQ$6,AV121=$AR$7,$AQ$7,AV121=$AR$8,$AQ$8,AV121=$AR$9,$AQ$9,AV121=$AR$10,$AQ$10,AV121=$AR$11,$AQ$11,AV121=$AR$12,$AQ$12,AV121=$AR$13,$AQ$13,AV121=$AR$14,$AQ$14)</f>
        <v>V</v>
      </c>
      <c r="AY121" s="41" t="str">
        <f t="shared" si="30"/>
        <v>ADB V32-IUS</v>
      </c>
      <c r="AZ121" s="41" t="str">
        <f t="shared" si="30"/>
        <v>ADD V32-IUS</v>
      </c>
      <c r="BA121" s="41" t="str">
        <f t="shared" si="30"/>
        <v>HNG V32-IUS</v>
      </c>
      <c r="BB121" s="41" t="str">
        <f t="shared" si="30"/>
        <v>DOM V32-IUS</v>
      </c>
      <c r="BC121" s="41" t="str">
        <f t="shared" si="30"/>
        <v>TNC V32-IUS</v>
      </c>
    </row>
    <row r="122" spans="2:55">
      <c r="B122" s="33">
        <f t="shared" si="25"/>
        <v>48519</v>
      </c>
      <c r="D122" s="35"/>
      <c r="E122" s="41"/>
      <c r="F122" s="41"/>
      <c r="G122" s="41"/>
      <c r="H122" s="42">
        <v>53.2</v>
      </c>
      <c r="J122" s="33">
        <f t="shared" si="26"/>
        <v>48519</v>
      </c>
      <c r="K122" s="36"/>
      <c r="L122" s="35"/>
      <c r="M122" s="41"/>
      <c r="N122" s="41"/>
      <c r="O122" s="41"/>
      <c r="P122" s="42">
        <v>37.65</v>
      </c>
      <c r="R122" s="33">
        <f t="shared" si="27"/>
        <v>48519</v>
      </c>
      <c r="S122" s="36"/>
      <c r="T122" s="35"/>
      <c r="U122" s="41"/>
      <c r="V122" s="41"/>
      <c r="W122" s="41"/>
      <c r="X122" s="44">
        <v>5.5149999999999997</v>
      </c>
      <c r="Z122" s="33">
        <f t="shared" si="28"/>
        <v>48519</v>
      </c>
      <c r="AA122" s="36"/>
      <c r="AB122" s="35"/>
      <c r="AC122" s="41"/>
      <c r="AD122" s="41"/>
      <c r="AE122" s="41"/>
      <c r="AF122" s="44">
        <v>-0.67249999999999999</v>
      </c>
      <c r="AH122" s="33">
        <f t="shared" si="29"/>
        <v>48519</v>
      </c>
      <c r="AI122" s="36"/>
      <c r="AJ122" s="35"/>
      <c r="AK122" s="41"/>
      <c r="AL122" s="41"/>
      <c r="AN122" s="45"/>
      <c r="AT122" s="56">
        <f t="shared" si="21"/>
        <v>2032</v>
      </c>
      <c r="AU122" s="57" t="str">
        <f t="shared" si="22"/>
        <v>32</v>
      </c>
      <c r="AV122" s="58">
        <f t="shared" si="23"/>
        <v>11</v>
      </c>
      <c r="AW122" s="58" t="str" cm="1">
        <f t="array" ref="AW122">_xlfn.IFS(AV122=$AR$3,$AQ$3,AV122=$AR$4,$AQ$4,AV122=$AR$5,$AQ$5,AV122=$AR$6,$AQ$6,AV122=$AR$7,$AQ$7,AV122=$AR$8,$AQ$8,AV122=$AR$9,$AQ$9,AV122=$AR$10,$AQ$10,AV122=$AR$11,$AQ$11,AV122=$AR$12,$AQ$12,AV122=$AR$13,$AQ$13,AV122=$AR$14,$AQ$14)</f>
        <v>X</v>
      </c>
      <c r="AY122" s="41" t="str">
        <f t="shared" si="30"/>
        <v>ADB X32-IUS</v>
      </c>
      <c r="AZ122" s="41" t="str">
        <f t="shared" si="30"/>
        <v>ADD X32-IUS</v>
      </c>
      <c r="BA122" s="41" t="str">
        <f t="shared" si="30"/>
        <v>HNG X32-IUS</v>
      </c>
      <c r="BB122" s="41" t="str">
        <f t="shared" si="30"/>
        <v>DOM X32-IUS</v>
      </c>
      <c r="BC122" s="41" t="str">
        <f t="shared" si="30"/>
        <v>TNC X32-IUS</v>
      </c>
    </row>
    <row r="123" spans="2:55">
      <c r="B123" s="33">
        <f t="shared" si="25"/>
        <v>48549</v>
      </c>
      <c r="D123" s="35"/>
      <c r="E123" s="41"/>
      <c r="F123" s="41"/>
      <c r="G123" s="41"/>
      <c r="H123" s="42">
        <v>60.5</v>
      </c>
      <c r="J123" s="33">
        <f t="shared" si="26"/>
        <v>48549</v>
      </c>
      <c r="K123" s="36"/>
      <c r="L123" s="35"/>
      <c r="M123" s="41"/>
      <c r="N123" s="41"/>
      <c r="O123" s="41"/>
      <c r="P123" s="42">
        <v>46.35</v>
      </c>
      <c r="R123" s="33">
        <f t="shared" si="27"/>
        <v>48549</v>
      </c>
      <c r="S123" s="36"/>
      <c r="T123" s="35"/>
      <c r="U123" s="41"/>
      <c r="V123" s="41"/>
      <c r="W123" s="41"/>
      <c r="X123" s="44">
        <v>5.7649999999999997</v>
      </c>
      <c r="Z123" s="33">
        <f t="shared" si="28"/>
        <v>48549</v>
      </c>
      <c r="AA123" s="36"/>
      <c r="AB123" s="35"/>
      <c r="AC123" s="41"/>
      <c r="AD123" s="41"/>
      <c r="AE123" s="41"/>
      <c r="AF123" s="44">
        <v>-0.46250000000000002</v>
      </c>
      <c r="AH123" s="33">
        <f t="shared" si="29"/>
        <v>48549</v>
      </c>
      <c r="AT123" s="56">
        <f t="shared" si="21"/>
        <v>2032</v>
      </c>
      <c r="AU123" s="57" t="str">
        <f t="shared" si="22"/>
        <v>32</v>
      </c>
      <c r="AV123" s="58">
        <f t="shared" si="23"/>
        <v>12</v>
      </c>
      <c r="AW123" s="58" t="str" cm="1">
        <f t="array" ref="AW123">_xlfn.IFS(AV123=$AR$3,$AQ$3,AV123=$AR$4,$AQ$4,AV123=$AR$5,$AQ$5,AV123=$AR$6,$AQ$6,AV123=$AR$7,$AQ$7,AV123=$AR$8,$AQ$8,AV123=$AR$9,$AQ$9,AV123=$AR$10,$AQ$10,AV123=$AR$11,$AQ$11,AV123=$AR$12,$AQ$12,AV123=$AR$13,$AQ$13,AV123=$AR$14,$AQ$14)</f>
        <v>Z</v>
      </c>
      <c r="AY123" s="41" t="str">
        <f t="shared" si="30"/>
        <v>ADB Z32-IUS</v>
      </c>
      <c r="AZ123" s="41" t="str">
        <f t="shared" si="30"/>
        <v>ADD Z32-IUS</v>
      </c>
      <c r="BA123" s="41" t="str">
        <f t="shared" si="30"/>
        <v>HNG Z32-IUS</v>
      </c>
      <c r="BB123" s="41" t="str">
        <f t="shared" si="30"/>
        <v>DOM Z32-IUS</v>
      </c>
      <c r="BC123" s="41" t="str">
        <f t="shared" si="30"/>
        <v>TNC Z32-IUS</v>
      </c>
    </row>
    <row r="124" spans="2:55">
      <c r="B124" s="33">
        <f t="shared" si="25"/>
        <v>48580</v>
      </c>
      <c r="D124" s="35"/>
      <c r="E124" s="41"/>
      <c r="F124" s="41"/>
      <c r="G124" s="41"/>
      <c r="H124" s="42">
        <v>76.400000000000006</v>
      </c>
      <c r="J124" s="33">
        <f t="shared" si="26"/>
        <v>48580</v>
      </c>
      <c r="K124" s="36"/>
      <c r="L124" s="35"/>
      <c r="M124" s="41"/>
      <c r="N124" s="41"/>
      <c r="O124" s="41"/>
      <c r="P124" s="42">
        <v>65.3</v>
      </c>
      <c r="R124" s="33">
        <f t="shared" si="27"/>
        <v>48580</v>
      </c>
      <c r="S124" s="36"/>
      <c r="T124" s="35"/>
      <c r="U124" s="41"/>
      <c r="V124" s="41"/>
      <c r="W124" s="41"/>
      <c r="X124" s="44">
        <v>5.915</v>
      </c>
      <c r="Z124" s="33">
        <f t="shared" si="28"/>
        <v>48580</v>
      </c>
      <c r="AA124" s="36"/>
      <c r="AB124" s="35"/>
      <c r="AC124" s="41"/>
      <c r="AD124" s="41"/>
      <c r="AE124" s="41"/>
      <c r="AF124" s="44">
        <v>-0.49</v>
      </c>
      <c r="AH124" s="33">
        <f t="shared" si="29"/>
        <v>48580</v>
      </c>
      <c r="AT124" s="56">
        <f t="shared" si="21"/>
        <v>2033</v>
      </c>
      <c r="AU124" s="57" t="str">
        <f t="shared" si="22"/>
        <v>33</v>
      </c>
      <c r="AV124" s="58">
        <f t="shared" si="23"/>
        <v>1</v>
      </c>
      <c r="AW124" s="58" t="str" cm="1">
        <f t="array" ref="AW124">_xlfn.IFS(AV124=$AR$3,$AQ$3,AV124=$AR$4,$AQ$4,AV124=$AR$5,$AQ$5,AV124=$AR$6,$AQ$6,AV124=$AR$7,$AQ$7,AV124=$AR$8,$AQ$8,AV124=$AR$9,$AQ$9,AV124=$AR$10,$AQ$10,AV124=$AR$11,$AQ$11,AV124=$AR$12,$AQ$12,AV124=$AR$13,$AQ$13,AV124=$AR$14,$AQ$14)</f>
        <v>F</v>
      </c>
      <c r="AY124" s="41" t="str">
        <f t="shared" si="30"/>
        <v>ADB F33-IUS</v>
      </c>
      <c r="AZ124" s="41" t="str">
        <f t="shared" si="30"/>
        <v>ADD F33-IUS</v>
      </c>
      <c r="BA124" s="41" t="str">
        <f t="shared" si="30"/>
        <v>HNG F33-IUS</v>
      </c>
      <c r="BB124" s="41" t="str">
        <f t="shared" si="30"/>
        <v>DOM F33-IUS</v>
      </c>
      <c r="BC124" s="41" t="str">
        <f t="shared" si="30"/>
        <v>TNC F33-IUS</v>
      </c>
    </row>
    <row r="125" spans="2:55">
      <c r="B125" s="33">
        <f t="shared" si="25"/>
        <v>48611</v>
      </c>
      <c r="D125" s="35"/>
      <c r="E125" s="41"/>
      <c r="F125" s="41"/>
      <c r="G125" s="41"/>
      <c r="H125" s="42"/>
      <c r="J125" s="33">
        <f t="shared" si="26"/>
        <v>48611</v>
      </c>
      <c r="K125" s="36"/>
      <c r="L125" s="35"/>
      <c r="M125" s="41"/>
      <c r="N125" s="41"/>
      <c r="O125" s="41"/>
      <c r="P125" s="42"/>
      <c r="R125" s="33">
        <f t="shared" si="27"/>
        <v>48611</v>
      </c>
      <c r="S125" s="36"/>
      <c r="T125" s="35"/>
      <c r="U125" s="41"/>
      <c r="V125" s="41"/>
      <c r="W125" s="41"/>
      <c r="X125" s="44">
        <v>5.875</v>
      </c>
      <c r="Z125" s="33">
        <f t="shared" si="28"/>
        <v>48611</v>
      </c>
      <c r="AA125" s="36"/>
      <c r="AB125" s="35"/>
      <c r="AC125" s="41"/>
      <c r="AD125" s="41"/>
      <c r="AE125" s="41"/>
      <c r="AF125" s="44">
        <v>-0.505</v>
      </c>
      <c r="AH125" s="33">
        <f t="shared" si="29"/>
        <v>48611</v>
      </c>
      <c r="AT125" s="56">
        <f t="shared" si="21"/>
        <v>2033</v>
      </c>
      <c r="AU125" s="57" t="str">
        <f t="shared" si="22"/>
        <v>33</v>
      </c>
      <c r="AV125" s="58">
        <f t="shared" si="23"/>
        <v>2</v>
      </c>
      <c r="AW125" s="58" t="str" cm="1">
        <f t="array" ref="AW125">_xlfn.IFS(AV125=$AR$3,$AQ$3,AV125=$AR$4,$AQ$4,AV125=$AR$5,$AQ$5,AV125=$AR$6,$AQ$6,AV125=$AR$7,$AQ$7,AV125=$AR$8,$AQ$8,AV125=$AR$9,$AQ$9,AV125=$AR$10,$AQ$10,AV125=$AR$11,$AQ$11,AV125=$AR$12,$AQ$12,AV125=$AR$13,$AQ$13,AV125=$AR$14,$AQ$14)</f>
        <v>G</v>
      </c>
      <c r="AY125" s="41" t="str">
        <f t="shared" si="30"/>
        <v>ADB G33-IUS</v>
      </c>
      <c r="AZ125" s="41" t="str">
        <f t="shared" si="30"/>
        <v>ADD G33-IUS</v>
      </c>
      <c r="BA125" s="41" t="str">
        <f t="shared" si="30"/>
        <v>HNG G33-IUS</v>
      </c>
      <c r="BB125" s="41" t="str">
        <f t="shared" si="30"/>
        <v>DOM G33-IUS</v>
      </c>
      <c r="BC125" s="41" t="str">
        <f t="shared" si="30"/>
        <v>TNC G33-IUS</v>
      </c>
    </row>
    <row r="126" spans="2:55">
      <c r="B126" s="33">
        <f t="shared" si="25"/>
        <v>48639</v>
      </c>
      <c r="D126" s="35"/>
      <c r="E126" s="41"/>
      <c r="F126" s="41"/>
      <c r="G126" s="41"/>
      <c r="H126" s="42"/>
      <c r="J126" s="33">
        <f t="shared" si="26"/>
        <v>48639</v>
      </c>
      <c r="K126" s="36"/>
      <c r="L126" s="35"/>
      <c r="M126" s="41"/>
      <c r="N126" s="41"/>
      <c r="O126" s="41"/>
      <c r="P126" s="42"/>
      <c r="R126" s="33">
        <f t="shared" si="27"/>
        <v>48639</v>
      </c>
      <c r="S126" s="36"/>
      <c r="T126" s="35"/>
      <c r="U126" s="41"/>
      <c r="V126" s="41"/>
      <c r="W126" s="41"/>
      <c r="X126" s="44">
        <v>5.78</v>
      </c>
      <c r="Z126" s="33">
        <f t="shared" si="28"/>
        <v>48639</v>
      </c>
      <c r="AA126" s="36"/>
      <c r="AB126" s="35"/>
      <c r="AC126" s="41"/>
      <c r="AD126" s="41"/>
      <c r="AE126" s="41"/>
      <c r="AF126" s="44">
        <v>-0.48749999999999999</v>
      </c>
      <c r="AH126" s="33">
        <f t="shared" si="29"/>
        <v>48639</v>
      </c>
      <c r="AT126" s="56">
        <f t="shared" si="21"/>
        <v>2033</v>
      </c>
      <c r="AU126" s="57" t="str">
        <f t="shared" si="22"/>
        <v>33</v>
      </c>
      <c r="AV126" s="58">
        <f t="shared" si="23"/>
        <v>3</v>
      </c>
      <c r="AW126" s="58" t="str" cm="1">
        <f t="array" ref="AW126">_xlfn.IFS(AV126=$AR$3,$AQ$3,AV126=$AR$4,$AQ$4,AV126=$AR$5,$AQ$5,AV126=$AR$6,$AQ$6,AV126=$AR$7,$AQ$7,AV126=$AR$8,$AQ$8,AV126=$AR$9,$AQ$9,AV126=$AR$10,$AQ$10,AV126=$AR$11,$AQ$11,AV126=$AR$12,$AQ$12,AV126=$AR$13,$AQ$13,AV126=$AR$14,$AQ$14)</f>
        <v>H</v>
      </c>
      <c r="AY126" s="41" t="str">
        <f t="shared" si="30"/>
        <v>ADB H33-IUS</v>
      </c>
      <c r="AZ126" s="41" t="str">
        <f t="shared" si="30"/>
        <v>ADD H33-IUS</v>
      </c>
      <c r="BA126" s="41" t="str">
        <f t="shared" si="30"/>
        <v>HNG H33-IUS</v>
      </c>
      <c r="BB126" s="41" t="str">
        <f t="shared" si="30"/>
        <v>DOM H33-IUS</v>
      </c>
      <c r="BC126" s="41" t="str">
        <f t="shared" si="30"/>
        <v>TNC H33-IUS</v>
      </c>
    </row>
    <row r="127" spans="2:55">
      <c r="B127" s="33">
        <f t="shared" si="25"/>
        <v>48670</v>
      </c>
      <c r="D127" s="35"/>
      <c r="E127" s="41"/>
      <c r="F127" s="41"/>
      <c r="G127" s="41"/>
      <c r="H127" s="42"/>
      <c r="J127" s="33">
        <f t="shared" si="26"/>
        <v>48670</v>
      </c>
      <c r="K127" s="36"/>
      <c r="L127" s="35"/>
      <c r="M127" s="41"/>
      <c r="N127" s="41"/>
      <c r="O127" s="41"/>
      <c r="P127" s="42"/>
      <c r="R127" s="33">
        <f t="shared" si="27"/>
        <v>48670</v>
      </c>
      <c r="S127" s="36"/>
      <c r="T127" s="35"/>
      <c r="U127" s="41"/>
      <c r="V127" s="41"/>
      <c r="W127" s="41"/>
      <c r="X127" s="44">
        <v>5.45</v>
      </c>
      <c r="Z127" s="33">
        <f t="shared" si="28"/>
        <v>48670</v>
      </c>
      <c r="AA127" s="36"/>
      <c r="AB127" s="35"/>
      <c r="AC127" s="41"/>
      <c r="AD127" s="41"/>
      <c r="AE127" s="41"/>
      <c r="AF127" s="44">
        <v>-0.49249999999999999</v>
      </c>
      <c r="AH127" s="33">
        <f t="shared" si="29"/>
        <v>48670</v>
      </c>
      <c r="AT127" s="56">
        <f t="shared" si="21"/>
        <v>2033</v>
      </c>
      <c r="AU127" s="57" t="str">
        <f t="shared" si="22"/>
        <v>33</v>
      </c>
      <c r="AV127" s="58">
        <f t="shared" si="23"/>
        <v>4</v>
      </c>
      <c r="AW127" s="58" t="str" cm="1">
        <f t="array" ref="AW127">_xlfn.IFS(AV127=$AR$3,$AQ$3,AV127=$AR$4,$AQ$4,AV127=$AR$5,$AQ$5,AV127=$AR$6,$AQ$6,AV127=$AR$7,$AQ$7,AV127=$AR$8,$AQ$8,AV127=$AR$9,$AQ$9,AV127=$AR$10,$AQ$10,AV127=$AR$11,$AQ$11,AV127=$AR$12,$AQ$12,AV127=$AR$13,$AQ$13,AV127=$AR$14,$AQ$14)</f>
        <v>J</v>
      </c>
      <c r="AY127" s="41" t="str">
        <f t="shared" si="30"/>
        <v>ADB J33-IUS</v>
      </c>
      <c r="AZ127" s="41" t="str">
        <f t="shared" si="30"/>
        <v>ADD J33-IUS</v>
      </c>
      <c r="BA127" s="41" t="str">
        <f t="shared" si="30"/>
        <v>HNG J33-IUS</v>
      </c>
      <c r="BB127" s="41" t="str">
        <f t="shared" si="30"/>
        <v>DOM J33-IUS</v>
      </c>
      <c r="BC127" s="41" t="str">
        <f t="shared" si="30"/>
        <v>TNC J33-IUS</v>
      </c>
    </row>
    <row r="128" spans="2:55">
      <c r="B128" s="33">
        <f t="shared" si="25"/>
        <v>48700</v>
      </c>
      <c r="D128" s="35"/>
      <c r="E128" s="41"/>
      <c r="F128" s="41"/>
      <c r="G128" s="41"/>
      <c r="H128" s="42"/>
      <c r="J128" s="33">
        <f t="shared" si="26"/>
        <v>48700</v>
      </c>
      <c r="K128" s="36"/>
      <c r="L128" s="35"/>
      <c r="M128" s="41"/>
      <c r="N128" s="41"/>
      <c r="O128" s="41"/>
      <c r="P128" s="42"/>
      <c r="R128" s="33">
        <f t="shared" si="27"/>
        <v>48700</v>
      </c>
      <c r="S128" s="36"/>
      <c r="T128" s="35"/>
      <c r="U128" s="41"/>
      <c r="V128" s="41"/>
      <c r="W128" s="41"/>
      <c r="X128" s="44">
        <v>5.4279999999999999</v>
      </c>
      <c r="Z128" s="33">
        <f t="shared" si="28"/>
        <v>48700</v>
      </c>
      <c r="AA128" s="36"/>
      <c r="AB128" s="35"/>
      <c r="AC128" s="41"/>
      <c r="AD128" s="41"/>
      <c r="AE128" s="41"/>
      <c r="AF128" s="44">
        <v>-0.71750000000000003</v>
      </c>
      <c r="AH128" s="33">
        <f t="shared" si="29"/>
        <v>48700</v>
      </c>
      <c r="AT128" s="56">
        <f t="shared" si="21"/>
        <v>2033</v>
      </c>
      <c r="AU128" s="57" t="str">
        <f t="shared" si="22"/>
        <v>33</v>
      </c>
      <c r="AV128" s="58">
        <f t="shared" si="23"/>
        <v>5</v>
      </c>
      <c r="AW128" s="58" t="str" cm="1">
        <f t="array" ref="AW128">_xlfn.IFS(AV128=$AR$3,$AQ$3,AV128=$AR$4,$AQ$4,AV128=$AR$5,$AQ$5,AV128=$AR$6,$AQ$6,AV128=$AR$7,$AQ$7,AV128=$AR$8,$AQ$8,AV128=$AR$9,$AQ$9,AV128=$AR$10,$AQ$10,AV128=$AR$11,$AQ$11,AV128=$AR$12,$AQ$12,AV128=$AR$13,$AQ$13,AV128=$AR$14,$AQ$14)</f>
        <v>K</v>
      </c>
      <c r="AY128" s="41" t="str">
        <f t="shared" si="30"/>
        <v>ADB K33-IUS</v>
      </c>
      <c r="AZ128" s="41" t="str">
        <f t="shared" si="30"/>
        <v>ADD K33-IUS</v>
      </c>
      <c r="BA128" s="41" t="str">
        <f t="shared" si="30"/>
        <v>HNG K33-IUS</v>
      </c>
      <c r="BB128" s="41" t="str">
        <f t="shared" si="30"/>
        <v>DOM K33-IUS</v>
      </c>
      <c r="BC128" s="41" t="str">
        <f t="shared" si="30"/>
        <v>TNC K33-IUS</v>
      </c>
    </row>
    <row r="129" spans="2:55">
      <c r="B129" s="33">
        <f t="shared" si="25"/>
        <v>48731</v>
      </c>
      <c r="D129" s="35"/>
      <c r="E129" s="41"/>
      <c r="F129" s="41"/>
      <c r="G129" s="41"/>
      <c r="H129" s="42"/>
      <c r="J129" s="33">
        <f t="shared" si="26"/>
        <v>48731</v>
      </c>
      <c r="K129" s="36"/>
      <c r="L129" s="35"/>
      <c r="M129" s="41"/>
      <c r="N129" s="41"/>
      <c r="O129" s="41"/>
      <c r="P129" s="42"/>
      <c r="R129" s="33">
        <f t="shared" si="27"/>
        <v>48731</v>
      </c>
      <c r="S129" s="36"/>
      <c r="T129" s="35"/>
      <c r="U129" s="41"/>
      <c r="V129" s="41"/>
      <c r="W129" s="41"/>
      <c r="X129" s="44">
        <v>5.4630000000000001</v>
      </c>
      <c r="Z129" s="33">
        <f t="shared" si="28"/>
        <v>48731</v>
      </c>
      <c r="AA129" s="36"/>
      <c r="AB129" s="35"/>
      <c r="AC129" s="41"/>
      <c r="AD129" s="41"/>
      <c r="AE129" s="41"/>
      <c r="AF129" s="44">
        <v>-0.71750000000000003</v>
      </c>
      <c r="AH129" s="33">
        <f t="shared" si="29"/>
        <v>48731</v>
      </c>
      <c r="AT129" s="56">
        <f t="shared" si="21"/>
        <v>2033</v>
      </c>
      <c r="AU129" s="57" t="str">
        <f t="shared" si="22"/>
        <v>33</v>
      </c>
      <c r="AV129" s="58">
        <f t="shared" si="23"/>
        <v>6</v>
      </c>
      <c r="AW129" s="58" t="str" cm="1">
        <f t="array" ref="AW129">_xlfn.IFS(AV129=$AR$3,$AQ$3,AV129=$AR$4,$AQ$4,AV129=$AR$5,$AQ$5,AV129=$AR$6,$AQ$6,AV129=$AR$7,$AQ$7,AV129=$AR$8,$AQ$8,AV129=$AR$9,$AQ$9,AV129=$AR$10,$AQ$10,AV129=$AR$11,$AQ$11,AV129=$AR$12,$AQ$12,AV129=$AR$13,$AQ$13,AV129=$AR$14,$AQ$14)</f>
        <v>M</v>
      </c>
      <c r="AY129" s="41" t="str">
        <f t="shared" si="30"/>
        <v>ADB M33-IUS</v>
      </c>
      <c r="AZ129" s="41" t="str">
        <f t="shared" si="30"/>
        <v>ADD M33-IUS</v>
      </c>
      <c r="BA129" s="41" t="str">
        <f t="shared" si="30"/>
        <v>HNG M33-IUS</v>
      </c>
      <c r="BB129" s="41" t="str">
        <f t="shared" si="30"/>
        <v>DOM M33-IUS</v>
      </c>
      <c r="BC129" s="41" t="str">
        <f t="shared" si="30"/>
        <v>TNC M33-IUS</v>
      </c>
    </row>
    <row r="130" spans="2:55">
      <c r="B130" s="33">
        <f t="shared" si="25"/>
        <v>48761</v>
      </c>
      <c r="D130" s="35"/>
      <c r="E130" s="41"/>
      <c r="F130" s="41"/>
      <c r="G130" s="41"/>
      <c r="H130" s="42"/>
      <c r="J130" s="33">
        <f t="shared" si="26"/>
        <v>48761</v>
      </c>
      <c r="K130" s="36"/>
      <c r="L130" s="35"/>
      <c r="M130" s="41"/>
      <c r="N130" s="41"/>
      <c r="O130" s="41"/>
      <c r="P130" s="42"/>
      <c r="R130" s="33">
        <f t="shared" si="27"/>
        <v>48761</v>
      </c>
      <c r="S130" s="36"/>
      <c r="T130" s="35"/>
      <c r="U130" s="41"/>
      <c r="V130" s="41"/>
      <c r="W130" s="41"/>
      <c r="X130" s="44">
        <v>5.5030000000000001</v>
      </c>
      <c r="Z130" s="33">
        <f t="shared" si="28"/>
        <v>48761</v>
      </c>
      <c r="AA130" s="36"/>
      <c r="AB130" s="35"/>
      <c r="AC130" s="41"/>
      <c r="AD130" s="41"/>
      <c r="AE130" s="41"/>
      <c r="AF130" s="44">
        <v>-0.85</v>
      </c>
      <c r="AH130" s="33">
        <f t="shared" si="29"/>
        <v>48761</v>
      </c>
      <c r="AT130" s="56">
        <f t="shared" si="21"/>
        <v>2033</v>
      </c>
      <c r="AU130" s="57" t="str">
        <f t="shared" si="22"/>
        <v>33</v>
      </c>
      <c r="AV130" s="58">
        <f t="shared" si="23"/>
        <v>7</v>
      </c>
      <c r="AW130" s="58" t="str" cm="1">
        <f t="array" ref="AW130">_xlfn.IFS(AV130=$AR$3,$AQ$3,AV130=$AR$4,$AQ$4,AV130=$AR$5,$AQ$5,AV130=$AR$6,$AQ$6,AV130=$AR$7,$AQ$7,AV130=$AR$8,$AQ$8,AV130=$AR$9,$AQ$9,AV130=$AR$10,$AQ$10,AV130=$AR$11,$AQ$11,AV130=$AR$12,$AQ$12,AV130=$AR$13,$AQ$13,AV130=$AR$14,$AQ$14)</f>
        <v>N</v>
      </c>
      <c r="AY130" s="41" t="str">
        <f t="shared" si="30"/>
        <v>ADB N33-IUS</v>
      </c>
      <c r="AZ130" s="41" t="str">
        <f t="shared" si="30"/>
        <v>ADD N33-IUS</v>
      </c>
      <c r="BA130" s="41" t="str">
        <f t="shared" si="30"/>
        <v>HNG N33-IUS</v>
      </c>
      <c r="BB130" s="41" t="str">
        <f t="shared" si="30"/>
        <v>DOM N33-IUS</v>
      </c>
      <c r="BC130" s="41" t="str">
        <f t="shared" si="30"/>
        <v>TNC N33-IUS</v>
      </c>
    </row>
    <row r="131" spans="2:55">
      <c r="B131" s="33">
        <f t="shared" si="25"/>
        <v>48792</v>
      </c>
      <c r="D131" s="35"/>
      <c r="E131" s="41"/>
      <c r="F131" s="41"/>
      <c r="G131" s="41"/>
      <c r="H131" s="42"/>
      <c r="J131" s="33">
        <f t="shared" si="26"/>
        <v>48792</v>
      </c>
      <c r="K131" s="36"/>
      <c r="L131" s="35"/>
      <c r="M131" s="41"/>
      <c r="N131" s="41"/>
      <c r="O131" s="41"/>
      <c r="P131" s="42"/>
      <c r="R131" s="33">
        <f t="shared" si="27"/>
        <v>48792</v>
      </c>
      <c r="S131" s="36"/>
      <c r="T131" s="35"/>
      <c r="U131" s="41"/>
      <c r="V131" s="41"/>
      <c r="W131" s="41"/>
      <c r="X131" s="44">
        <v>5.5430000000000001</v>
      </c>
      <c r="Z131" s="33">
        <f t="shared" si="28"/>
        <v>48792</v>
      </c>
      <c r="AA131" s="36"/>
      <c r="AB131" s="35"/>
      <c r="AC131" s="41"/>
      <c r="AD131" s="41"/>
      <c r="AE131" s="41"/>
      <c r="AF131" s="44">
        <v>-0.9425</v>
      </c>
      <c r="AH131" s="33">
        <f t="shared" si="29"/>
        <v>48792</v>
      </c>
      <c r="AT131" s="56">
        <f t="shared" si="21"/>
        <v>2033</v>
      </c>
      <c r="AU131" s="57" t="str">
        <f t="shared" si="22"/>
        <v>33</v>
      </c>
      <c r="AV131" s="58">
        <f t="shared" si="23"/>
        <v>8</v>
      </c>
      <c r="AW131" s="58" t="str" cm="1">
        <f t="array" ref="AW131">_xlfn.IFS(AV131=$AR$3,$AQ$3,AV131=$AR$4,$AQ$4,AV131=$AR$5,$AQ$5,AV131=$AR$6,$AQ$6,AV131=$AR$7,$AQ$7,AV131=$AR$8,$AQ$8,AV131=$AR$9,$AQ$9,AV131=$AR$10,$AQ$10,AV131=$AR$11,$AQ$11,AV131=$AR$12,$AQ$12,AV131=$AR$13,$AQ$13,AV131=$AR$14,$AQ$14)</f>
        <v>Q</v>
      </c>
      <c r="AY131" s="41" t="str">
        <f t="shared" si="30"/>
        <v>ADB Q33-IUS</v>
      </c>
      <c r="AZ131" s="41" t="str">
        <f t="shared" si="30"/>
        <v>ADD Q33-IUS</v>
      </c>
      <c r="BA131" s="41" t="str">
        <f t="shared" si="30"/>
        <v>HNG Q33-IUS</v>
      </c>
      <c r="BB131" s="41" t="str">
        <f t="shared" si="30"/>
        <v>DOM Q33-IUS</v>
      </c>
      <c r="BC131" s="41" t="str">
        <f t="shared" si="30"/>
        <v>TNC Q33-IUS</v>
      </c>
    </row>
    <row r="132" spans="2:55">
      <c r="B132" s="33">
        <f t="shared" si="25"/>
        <v>48823</v>
      </c>
      <c r="D132" s="35"/>
      <c r="E132" s="41"/>
      <c r="F132" s="41"/>
      <c r="G132" s="41"/>
      <c r="H132" s="42"/>
      <c r="J132" s="33">
        <f t="shared" si="26"/>
        <v>48823</v>
      </c>
      <c r="K132" s="36"/>
      <c r="L132" s="35"/>
      <c r="M132" s="41"/>
      <c r="N132" s="41"/>
      <c r="O132" s="41"/>
      <c r="P132" s="42"/>
      <c r="R132" s="33">
        <f t="shared" si="27"/>
        <v>48823</v>
      </c>
      <c r="S132" s="36"/>
      <c r="T132" s="35"/>
      <c r="U132" s="41"/>
      <c r="V132" s="41"/>
      <c r="W132" s="41"/>
      <c r="X132" s="44">
        <v>5.5579999999999998</v>
      </c>
      <c r="Z132" s="33">
        <f t="shared" si="28"/>
        <v>48823</v>
      </c>
      <c r="AA132" s="36"/>
      <c r="AB132" s="35"/>
      <c r="AC132" s="41"/>
      <c r="AD132" s="41"/>
      <c r="AE132" s="41"/>
      <c r="AF132" s="44">
        <v>-1.2524999999999999</v>
      </c>
      <c r="AH132" s="33">
        <f t="shared" si="29"/>
        <v>48823</v>
      </c>
      <c r="AT132" s="56">
        <f t="shared" si="21"/>
        <v>2033</v>
      </c>
      <c r="AU132" s="57" t="str">
        <f t="shared" si="22"/>
        <v>33</v>
      </c>
      <c r="AV132" s="58">
        <f t="shared" si="23"/>
        <v>9</v>
      </c>
      <c r="AW132" s="58" t="str" cm="1">
        <f t="array" ref="AW132">_xlfn.IFS(AV132=$AR$3,$AQ$3,AV132=$AR$4,$AQ$4,AV132=$AR$5,$AQ$5,AV132=$AR$6,$AQ$6,AV132=$AR$7,$AQ$7,AV132=$AR$8,$AQ$8,AV132=$AR$9,$AQ$9,AV132=$AR$10,$AQ$10,AV132=$AR$11,$AQ$11,AV132=$AR$12,$AQ$12,AV132=$AR$13,$AQ$13,AV132=$AR$14,$AQ$14)</f>
        <v>U</v>
      </c>
      <c r="AY132" s="41" t="str">
        <f t="shared" si="30"/>
        <v>ADB U33-IUS</v>
      </c>
      <c r="AZ132" s="41" t="str">
        <f t="shared" si="30"/>
        <v>ADD U33-IUS</v>
      </c>
      <c r="BA132" s="41" t="str">
        <f t="shared" si="30"/>
        <v>HNG U33-IUS</v>
      </c>
      <c r="BB132" s="41" t="str">
        <f t="shared" si="30"/>
        <v>DOM U33-IUS</v>
      </c>
      <c r="BC132" s="41" t="str">
        <f t="shared" si="30"/>
        <v>TNC U33-IUS</v>
      </c>
    </row>
    <row r="133" spans="2:55">
      <c r="B133" s="33"/>
      <c r="D133" s="35"/>
      <c r="E133" s="41"/>
      <c r="F133" s="41"/>
      <c r="H133" s="43"/>
      <c r="J133" s="33"/>
      <c r="K133" s="36"/>
      <c r="L133" s="35"/>
      <c r="M133" s="41"/>
      <c r="N133" s="41"/>
      <c r="P133" s="43"/>
      <c r="R133" s="33">
        <v>48670</v>
      </c>
      <c r="S133" s="36"/>
      <c r="T133" s="35"/>
      <c r="U133" s="41"/>
      <c r="V133" s="41"/>
      <c r="W133" s="41"/>
      <c r="X133" s="44">
        <v>5.6040000000000001</v>
      </c>
      <c r="Z133" s="33">
        <v>48670</v>
      </c>
      <c r="AA133" s="36"/>
      <c r="AB133" s="35"/>
      <c r="AC133" s="41"/>
      <c r="AD133" s="41"/>
      <c r="AE133" s="41"/>
      <c r="AF133" s="44">
        <v>-1.2275</v>
      </c>
      <c r="AT133" s="56">
        <f t="shared" ref="AT133:AT168" si="31">YEAR(R133)</f>
        <v>2033</v>
      </c>
      <c r="AU133" s="57" t="str">
        <f t="shared" ref="AU133:AU168" si="32">RIGHT(AT133,2)</f>
        <v>33</v>
      </c>
      <c r="AV133" s="58">
        <f t="shared" ref="AV133:AV168" si="33">MONTH(R133)</f>
        <v>4</v>
      </c>
      <c r="AW133" s="58" t="str" cm="1">
        <f t="array" ref="AW133">_xlfn.IFS(AV133=$AR$3,$AQ$3,AV133=$AR$4,$AQ$4,AV133=$AR$5,$AQ$5,AV133=$AR$6,$AQ$6,AV133=$AR$7,$AQ$7,AV133=$AR$8,$AQ$8,AV133=$AR$9,$AQ$9,AV133=$AR$10,$AQ$10,AV133=$AR$11,$AQ$11,AV133=$AR$12,$AQ$12,AV133=$AR$13,$AQ$13,AV133=$AR$14,$AQ$14)</f>
        <v>J</v>
      </c>
      <c r="AY133" s="41" t="str">
        <f t="shared" ref="AY133:BC168" si="34">AY$3&amp;" "&amp;$AW133&amp;$AU133&amp;"-IUS"</f>
        <v>ADB J33-IUS</v>
      </c>
      <c r="AZ133" s="41" t="str">
        <f t="shared" si="34"/>
        <v>ADD J33-IUS</v>
      </c>
      <c r="BA133" s="41" t="str">
        <f t="shared" si="34"/>
        <v>HNG J33-IUS</v>
      </c>
      <c r="BB133" s="41" t="str">
        <f t="shared" si="34"/>
        <v>DOM J33-IUS</v>
      </c>
      <c r="BC133" s="41" t="str">
        <f t="shared" si="34"/>
        <v>TNC J33-IUS</v>
      </c>
    </row>
    <row r="134" spans="2:55">
      <c r="B134" s="33"/>
      <c r="D134" s="35"/>
      <c r="E134" s="41"/>
      <c r="F134" s="41"/>
      <c r="H134" s="43"/>
      <c r="J134" s="33"/>
      <c r="K134" s="36"/>
      <c r="L134" s="35"/>
      <c r="M134" s="41"/>
      <c r="N134" s="41"/>
      <c r="P134" s="43"/>
      <c r="R134" s="33">
        <v>48700</v>
      </c>
      <c r="S134" s="36"/>
      <c r="T134" s="35"/>
      <c r="U134" s="41"/>
      <c r="V134" s="41"/>
      <c r="W134" s="41"/>
      <c r="X134" s="44">
        <v>5.7039999999999997</v>
      </c>
      <c r="Z134" s="33">
        <v>48700</v>
      </c>
      <c r="AA134" s="36"/>
      <c r="AB134" s="35"/>
      <c r="AC134" s="41"/>
      <c r="AD134" s="41"/>
      <c r="AE134" s="41"/>
      <c r="AF134" s="44">
        <v>-0.4975</v>
      </c>
      <c r="AT134" s="56">
        <f t="shared" si="31"/>
        <v>2033</v>
      </c>
      <c r="AU134" s="57" t="str">
        <f t="shared" si="32"/>
        <v>33</v>
      </c>
      <c r="AV134" s="58">
        <f t="shared" si="33"/>
        <v>5</v>
      </c>
      <c r="AW134" s="58" t="str" cm="1">
        <f t="array" ref="AW134">_xlfn.IFS(AV134=$AR$3,$AQ$3,AV134=$AR$4,$AQ$4,AV134=$AR$5,$AQ$5,AV134=$AR$6,$AQ$6,AV134=$AR$7,$AQ$7,AV134=$AR$8,$AQ$8,AV134=$AR$9,$AQ$9,AV134=$AR$10,$AQ$10,AV134=$AR$11,$AQ$11,AV134=$AR$12,$AQ$12,AV134=$AR$13,$AQ$13,AV134=$AR$14,$AQ$14)</f>
        <v>K</v>
      </c>
      <c r="AY134" s="41" t="str">
        <f t="shared" si="34"/>
        <v>ADB K33-IUS</v>
      </c>
      <c r="AZ134" s="41" t="str">
        <f t="shared" si="34"/>
        <v>ADD K33-IUS</v>
      </c>
      <c r="BA134" s="41" t="str">
        <f t="shared" si="34"/>
        <v>HNG K33-IUS</v>
      </c>
      <c r="BB134" s="41" t="str">
        <f t="shared" si="34"/>
        <v>DOM K33-IUS</v>
      </c>
      <c r="BC134" s="41" t="str">
        <f t="shared" si="34"/>
        <v>TNC K33-IUS</v>
      </c>
    </row>
    <row r="135" spans="2:55">
      <c r="B135" s="33"/>
      <c r="D135" s="35"/>
      <c r="E135" s="41"/>
      <c r="F135" s="41"/>
      <c r="H135" s="43"/>
      <c r="J135" s="33"/>
      <c r="K135" s="36"/>
      <c r="L135" s="35"/>
      <c r="M135" s="41"/>
      <c r="N135" s="41"/>
      <c r="P135" s="43"/>
      <c r="R135" s="33">
        <v>48731</v>
      </c>
      <c r="S135" s="36"/>
      <c r="T135" s="35"/>
      <c r="U135" s="41"/>
      <c r="V135" s="41"/>
      <c r="W135" s="41"/>
      <c r="X135" s="44">
        <v>5.9039999999999999</v>
      </c>
      <c r="Z135" s="33">
        <v>48731</v>
      </c>
      <c r="AA135" s="36"/>
      <c r="AB135" s="35"/>
      <c r="AC135" s="41"/>
      <c r="AD135" s="41"/>
      <c r="AE135" s="41"/>
      <c r="AF135" s="44">
        <v>-0.27750000000000002</v>
      </c>
      <c r="AT135" s="56">
        <f t="shared" si="31"/>
        <v>2033</v>
      </c>
      <c r="AU135" s="57" t="str">
        <f t="shared" si="32"/>
        <v>33</v>
      </c>
      <c r="AV135" s="58">
        <f t="shared" si="33"/>
        <v>6</v>
      </c>
      <c r="AW135" s="58" t="str" cm="1">
        <f t="array" ref="AW135">_xlfn.IFS(AV135=$AR$3,$AQ$3,AV135=$AR$4,$AQ$4,AV135=$AR$5,$AQ$5,AV135=$AR$6,$AQ$6,AV135=$AR$7,$AQ$7,AV135=$AR$8,$AQ$8,AV135=$AR$9,$AQ$9,AV135=$AR$10,$AQ$10,AV135=$AR$11,$AQ$11,AV135=$AR$12,$AQ$12,AV135=$AR$13,$AQ$13,AV135=$AR$14,$AQ$14)</f>
        <v>M</v>
      </c>
      <c r="AY135" s="41" t="str">
        <f t="shared" si="34"/>
        <v>ADB M33-IUS</v>
      </c>
      <c r="AZ135" s="41" t="str">
        <f t="shared" si="34"/>
        <v>ADD M33-IUS</v>
      </c>
      <c r="BA135" s="41" t="str">
        <f t="shared" si="34"/>
        <v>HNG M33-IUS</v>
      </c>
      <c r="BB135" s="41" t="str">
        <f t="shared" si="34"/>
        <v>DOM M33-IUS</v>
      </c>
      <c r="BC135" s="41" t="str">
        <f t="shared" si="34"/>
        <v>TNC M33-IUS</v>
      </c>
    </row>
    <row r="136" spans="2:55">
      <c r="B136" s="33"/>
      <c r="D136" s="35"/>
      <c r="E136" s="41"/>
      <c r="F136" s="41"/>
      <c r="H136" s="43"/>
      <c r="J136" s="33"/>
      <c r="K136" s="36"/>
      <c r="L136" s="35"/>
      <c r="M136" s="41"/>
      <c r="N136" s="41"/>
      <c r="P136" s="43"/>
      <c r="R136" s="33">
        <v>48761</v>
      </c>
      <c r="S136" s="36"/>
      <c r="T136" s="35"/>
      <c r="U136" s="41"/>
      <c r="V136" s="41"/>
      <c r="W136" s="41"/>
      <c r="X136" s="44">
        <v>6.0540000000000003</v>
      </c>
      <c r="Z136" s="33">
        <v>48761</v>
      </c>
      <c r="AA136" s="36"/>
      <c r="AB136" s="35"/>
      <c r="AC136" s="41"/>
      <c r="AD136" s="41"/>
      <c r="AE136" s="41"/>
      <c r="AF136" s="44"/>
      <c r="AT136" s="56">
        <f t="shared" si="31"/>
        <v>2033</v>
      </c>
      <c r="AU136" s="57" t="str">
        <f t="shared" si="32"/>
        <v>33</v>
      </c>
      <c r="AV136" s="58">
        <f t="shared" si="33"/>
        <v>7</v>
      </c>
      <c r="AW136" s="58" t="str" cm="1">
        <f t="array" ref="AW136">_xlfn.IFS(AV136=$AR$3,$AQ$3,AV136=$AR$4,$AQ$4,AV136=$AR$5,$AQ$5,AV136=$AR$6,$AQ$6,AV136=$AR$7,$AQ$7,AV136=$AR$8,$AQ$8,AV136=$AR$9,$AQ$9,AV136=$AR$10,$AQ$10,AV136=$AR$11,$AQ$11,AV136=$AR$12,$AQ$12,AV136=$AR$13,$AQ$13,AV136=$AR$14,$AQ$14)</f>
        <v>N</v>
      </c>
      <c r="AY136" s="41" t="str">
        <f t="shared" si="34"/>
        <v>ADB N33-IUS</v>
      </c>
      <c r="AZ136" s="41" t="str">
        <f t="shared" si="34"/>
        <v>ADD N33-IUS</v>
      </c>
      <c r="BA136" s="41" t="str">
        <f t="shared" si="34"/>
        <v>HNG N33-IUS</v>
      </c>
      <c r="BB136" s="41" t="str">
        <f t="shared" si="34"/>
        <v>DOM N33-IUS</v>
      </c>
      <c r="BC136" s="41" t="str">
        <f t="shared" si="34"/>
        <v>TNC N33-IUS</v>
      </c>
    </row>
    <row r="137" spans="2:55">
      <c r="B137" s="33"/>
      <c r="D137" s="35"/>
      <c r="E137" s="41"/>
      <c r="F137" s="41"/>
      <c r="H137" s="43"/>
      <c r="J137" s="33"/>
      <c r="K137" s="36"/>
      <c r="L137" s="35"/>
      <c r="M137" s="41"/>
      <c r="N137" s="41"/>
      <c r="P137" s="43"/>
      <c r="R137" s="33">
        <v>48792</v>
      </c>
      <c r="S137" s="36"/>
      <c r="T137" s="35"/>
      <c r="U137" s="41"/>
      <c r="V137" s="41"/>
      <c r="W137" s="41"/>
      <c r="X137" s="44">
        <v>6.0190000000000001</v>
      </c>
      <c r="Z137" s="33">
        <v>48792</v>
      </c>
      <c r="AA137" s="36"/>
      <c r="AB137" s="35"/>
      <c r="AC137" s="41"/>
      <c r="AD137" s="41"/>
      <c r="AE137" s="41"/>
      <c r="AF137" s="44"/>
      <c r="AT137" s="56">
        <f t="shared" si="31"/>
        <v>2033</v>
      </c>
      <c r="AU137" s="57" t="str">
        <f t="shared" si="32"/>
        <v>33</v>
      </c>
      <c r="AV137" s="58">
        <f t="shared" si="33"/>
        <v>8</v>
      </c>
      <c r="AW137" s="58" t="str" cm="1">
        <f t="array" ref="AW137">_xlfn.IFS(AV137=$AR$3,$AQ$3,AV137=$AR$4,$AQ$4,AV137=$AR$5,$AQ$5,AV137=$AR$6,$AQ$6,AV137=$AR$7,$AQ$7,AV137=$AR$8,$AQ$8,AV137=$AR$9,$AQ$9,AV137=$AR$10,$AQ$10,AV137=$AR$11,$AQ$11,AV137=$AR$12,$AQ$12,AV137=$AR$13,$AQ$13,AV137=$AR$14,$AQ$14)</f>
        <v>Q</v>
      </c>
      <c r="AY137" s="41" t="str">
        <f t="shared" si="34"/>
        <v>ADB Q33-IUS</v>
      </c>
      <c r="AZ137" s="41" t="str">
        <f t="shared" si="34"/>
        <v>ADD Q33-IUS</v>
      </c>
      <c r="BA137" s="41" t="str">
        <f t="shared" si="34"/>
        <v>HNG Q33-IUS</v>
      </c>
      <c r="BB137" s="41" t="str">
        <f t="shared" si="34"/>
        <v>DOM Q33-IUS</v>
      </c>
      <c r="BC137" s="41" t="str">
        <f t="shared" si="34"/>
        <v>TNC Q33-IUS</v>
      </c>
    </row>
    <row r="138" spans="2:55">
      <c r="B138" s="33"/>
      <c r="D138" s="35"/>
      <c r="E138" s="41"/>
      <c r="F138" s="41"/>
      <c r="H138" s="43"/>
      <c r="J138" s="33"/>
      <c r="K138" s="36"/>
      <c r="L138" s="35"/>
      <c r="M138" s="41"/>
      <c r="N138" s="41"/>
      <c r="P138" s="43"/>
      <c r="R138" s="33">
        <v>48823</v>
      </c>
      <c r="S138" s="36"/>
      <c r="T138" s="35"/>
      <c r="U138" s="41"/>
      <c r="V138" s="41"/>
      <c r="W138" s="41"/>
      <c r="X138" s="44">
        <v>5.9340000000000002</v>
      </c>
      <c r="Z138" s="33">
        <v>48823</v>
      </c>
      <c r="AA138" s="36"/>
      <c r="AB138" s="35"/>
      <c r="AC138" s="41"/>
      <c r="AD138" s="41"/>
      <c r="AE138" s="41"/>
      <c r="AF138" s="44"/>
      <c r="AT138" s="56">
        <f t="shared" si="31"/>
        <v>2033</v>
      </c>
      <c r="AU138" s="57" t="str">
        <f t="shared" si="32"/>
        <v>33</v>
      </c>
      <c r="AV138" s="58">
        <f t="shared" si="33"/>
        <v>9</v>
      </c>
      <c r="AW138" s="58" t="str" cm="1">
        <f t="array" ref="AW138">_xlfn.IFS(AV138=$AR$3,$AQ$3,AV138=$AR$4,$AQ$4,AV138=$AR$5,$AQ$5,AV138=$AR$6,$AQ$6,AV138=$AR$7,$AQ$7,AV138=$AR$8,$AQ$8,AV138=$AR$9,$AQ$9,AV138=$AR$10,$AQ$10,AV138=$AR$11,$AQ$11,AV138=$AR$12,$AQ$12,AV138=$AR$13,$AQ$13,AV138=$AR$14,$AQ$14)</f>
        <v>U</v>
      </c>
      <c r="AY138" s="41" t="str">
        <f t="shared" si="34"/>
        <v>ADB U33-IUS</v>
      </c>
      <c r="AZ138" s="41" t="str">
        <f t="shared" si="34"/>
        <v>ADD U33-IUS</v>
      </c>
      <c r="BA138" s="41" t="str">
        <f t="shared" si="34"/>
        <v>HNG U33-IUS</v>
      </c>
      <c r="BB138" s="41" t="str">
        <f t="shared" si="34"/>
        <v>DOM U33-IUS</v>
      </c>
      <c r="BC138" s="41" t="str">
        <f t="shared" si="34"/>
        <v>TNC U33-IUS</v>
      </c>
    </row>
    <row r="139" spans="2:55">
      <c r="B139" s="33"/>
      <c r="D139" s="35"/>
      <c r="E139" s="41"/>
      <c r="F139" s="41"/>
      <c r="H139" s="43"/>
      <c r="J139" s="33"/>
      <c r="K139" s="36"/>
      <c r="L139" s="35"/>
      <c r="M139" s="41"/>
      <c r="N139" s="41"/>
      <c r="P139" s="43"/>
      <c r="R139" s="33">
        <v>48853</v>
      </c>
      <c r="S139" s="36"/>
      <c r="T139" s="35"/>
      <c r="U139" s="41"/>
      <c r="V139" s="41"/>
      <c r="W139" s="41"/>
      <c r="X139" s="44">
        <v>5.6040000000000001</v>
      </c>
      <c r="Z139" s="33">
        <v>48853</v>
      </c>
      <c r="AA139" s="36"/>
      <c r="AB139" s="35"/>
      <c r="AC139" s="41"/>
      <c r="AD139" s="41"/>
      <c r="AE139" s="41"/>
      <c r="AF139" s="44"/>
      <c r="AT139" s="56">
        <f t="shared" si="31"/>
        <v>2033</v>
      </c>
      <c r="AU139" s="57" t="str">
        <f t="shared" si="32"/>
        <v>33</v>
      </c>
      <c r="AV139" s="58">
        <f t="shared" si="33"/>
        <v>10</v>
      </c>
      <c r="AW139" s="58" t="str" cm="1">
        <f t="array" ref="AW139">_xlfn.IFS(AV139=$AR$3,$AQ$3,AV139=$AR$4,$AQ$4,AV139=$AR$5,$AQ$5,AV139=$AR$6,$AQ$6,AV139=$AR$7,$AQ$7,AV139=$AR$8,$AQ$8,AV139=$AR$9,$AQ$9,AV139=$AR$10,$AQ$10,AV139=$AR$11,$AQ$11,AV139=$AR$12,$AQ$12,AV139=$AR$13,$AQ$13,AV139=$AR$14,$AQ$14)</f>
        <v>V</v>
      </c>
      <c r="AY139" s="41" t="str">
        <f t="shared" si="34"/>
        <v>ADB V33-IUS</v>
      </c>
      <c r="AZ139" s="41" t="str">
        <f t="shared" si="34"/>
        <v>ADD V33-IUS</v>
      </c>
      <c r="BA139" s="41" t="str">
        <f t="shared" si="34"/>
        <v>HNG V33-IUS</v>
      </c>
      <c r="BB139" s="41" t="str">
        <f t="shared" si="34"/>
        <v>DOM V33-IUS</v>
      </c>
      <c r="BC139" s="41" t="str">
        <f t="shared" si="34"/>
        <v>TNC V33-IUS</v>
      </c>
    </row>
    <row r="140" spans="2:55">
      <c r="B140" s="33"/>
      <c r="D140" s="35"/>
      <c r="E140" s="41"/>
      <c r="F140" s="41"/>
      <c r="H140" s="43"/>
      <c r="J140" s="33"/>
      <c r="K140" s="36"/>
      <c r="L140" s="35"/>
      <c r="M140" s="41"/>
      <c r="N140" s="41"/>
      <c r="P140" s="43"/>
      <c r="R140" s="33">
        <v>48884</v>
      </c>
      <c r="S140" s="36"/>
      <c r="T140" s="35"/>
      <c r="U140" s="41"/>
      <c r="V140" s="41"/>
      <c r="W140" s="41"/>
      <c r="X140" s="44">
        <v>5.5819999999999999</v>
      </c>
      <c r="Z140" s="33">
        <v>48884</v>
      </c>
      <c r="AA140" s="36"/>
      <c r="AB140" s="35"/>
      <c r="AC140" s="41"/>
      <c r="AD140" s="41"/>
      <c r="AE140" s="41"/>
      <c r="AF140" s="44"/>
      <c r="AT140" s="56">
        <f t="shared" si="31"/>
        <v>2033</v>
      </c>
      <c r="AU140" s="57" t="str">
        <f t="shared" si="32"/>
        <v>33</v>
      </c>
      <c r="AV140" s="58">
        <f t="shared" si="33"/>
        <v>11</v>
      </c>
      <c r="AW140" s="58" t="str" cm="1">
        <f t="array" ref="AW140">_xlfn.IFS(AV140=$AR$3,$AQ$3,AV140=$AR$4,$AQ$4,AV140=$AR$5,$AQ$5,AV140=$AR$6,$AQ$6,AV140=$AR$7,$AQ$7,AV140=$AR$8,$AQ$8,AV140=$AR$9,$AQ$9,AV140=$AR$10,$AQ$10,AV140=$AR$11,$AQ$11,AV140=$AR$12,$AQ$12,AV140=$AR$13,$AQ$13,AV140=$AR$14,$AQ$14)</f>
        <v>X</v>
      </c>
      <c r="AY140" s="41" t="str">
        <f t="shared" si="34"/>
        <v>ADB X33-IUS</v>
      </c>
      <c r="AZ140" s="41" t="str">
        <f t="shared" si="34"/>
        <v>ADD X33-IUS</v>
      </c>
      <c r="BA140" s="41" t="str">
        <f t="shared" si="34"/>
        <v>HNG X33-IUS</v>
      </c>
      <c r="BB140" s="41" t="str">
        <f t="shared" si="34"/>
        <v>DOM X33-IUS</v>
      </c>
      <c r="BC140" s="41" t="str">
        <f t="shared" si="34"/>
        <v>TNC X33-IUS</v>
      </c>
    </row>
    <row r="141" spans="2:55">
      <c r="B141" s="33"/>
      <c r="D141" s="35"/>
      <c r="E141" s="41"/>
      <c r="F141" s="41"/>
      <c r="H141" s="43"/>
      <c r="J141" s="33"/>
      <c r="K141" s="36"/>
      <c r="L141" s="35"/>
      <c r="M141" s="41"/>
      <c r="N141" s="41"/>
      <c r="P141" s="43"/>
      <c r="R141" s="33">
        <v>48914</v>
      </c>
      <c r="S141" s="36"/>
      <c r="T141" s="35"/>
      <c r="U141" s="41"/>
      <c r="V141" s="41"/>
      <c r="W141" s="41"/>
      <c r="X141" s="44">
        <v>5.617</v>
      </c>
      <c r="Z141" s="33">
        <v>48914</v>
      </c>
      <c r="AA141" s="36"/>
      <c r="AB141" s="35"/>
      <c r="AC141" s="41"/>
      <c r="AD141" s="41"/>
      <c r="AE141" s="41"/>
      <c r="AF141" s="44"/>
      <c r="AT141" s="56">
        <f t="shared" si="31"/>
        <v>2033</v>
      </c>
      <c r="AU141" s="57" t="str">
        <f t="shared" si="32"/>
        <v>33</v>
      </c>
      <c r="AV141" s="58">
        <f t="shared" si="33"/>
        <v>12</v>
      </c>
      <c r="AW141" s="58" t="str" cm="1">
        <f t="array" ref="AW141">_xlfn.IFS(AV141=$AR$3,$AQ$3,AV141=$AR$4,$AQ$4,AV141=$AR$5,$AQ$5,AV141=$AR$6,$AQ$6,AV141=$AR$7,$AQ$7,AV141=$AR$8,$AQ$8,AV141=$AR$9,$AQ$9,AV141=$AR$10,$AQ$10,AV141=$AR$11,$AQ$11,AV141=$AR$12,$AQ$12,AV141=$AR$13,$AQ$13,AV141=$AR$14,$AQ$14)</f>
        <v>Z</v>
      </c>
      <c r="AY141" s="41" t="str">
        <f t="shared" si="34"/>
        <v>ADB Z33-IUS</v>
      </c>
      <c r="AZ141" s="41" t="str">
        <f t="shared" si="34"/>
        <v>ADD Z33-IUS</v>
      </c>
      <c r="BA141" s="41" t="str">
        <f t="shared" si="34"/>
        <v>HNG Z33-IUS</v>
      </c>
      <c r="BB141" s="41" t="str">
        <f t="shared" si="34"/>
        <v>DOM Z33-IUS</v>
      </c>
      <c r="BC141" s="41" t="str">
        <f t="shared" si="34"/>
        <v>TNC Z33-IUS</v>
      </c>
    </row>
    <row r="142" spans="2:55">
      <c r="B142" s="33"/>
      <c r="D142" s="35"/>
      <c r="E142" s="41"/>
      <c r="F142" s="41"/>
      <c r="H142" s="43"/>
      <c r="J142" s="33"/>
      <c r="K142" s="36"/>
      <c r="L142" s="35"/>
      <c r="M142" s="41"/>
      <c r="N142" s="41"/>
      <c r="P142" s="43"/>
      <c r="R142" s="33">
        <v>48945</v>
      </c>
      <c r="S142" s="36"/>
      <c r="T142" s="35"/>
      <c r="U142" s="41"/>
      <c r="V142" s="41"/>
      <c r="W142" s="41"/>
      <c r="X142" s="44">
        <v>5.657</v>
      </c>
      <c r="Z142" s="33">
        <v>48914</v>
      </c>
      <c r="AA142" s="36"/>
      <c r="AB142" s="35"/>
      <c r="AC142" s="41"/>
      <c r="AD142" s="41"/>
      <c r="AE142" s="41"/>
      <c r="AF142" s="44"/>
      <c r="AT142" s="56">
        <f t="shared" si="31"/>
        <v>2034</v>
      </c>
      <c r="AU142" s="57" t="str">
        <f t="shared" si="32"/>
        <v>34</v>
      </c>
      <c r="AV142" s="58">
        <f t="shared" si="33"/>
        <v>1</v>
      </c>
      <c r="AW142" s="58" t="str" cm="1">
        <f t="array" ref="AW142">_xlfn.IFS(AV142=$AR$3,$AQ$3,AV142=$AR$4,$AQ$4,AV142=$AR$5,$AQ$5,AV142=$AR$6,$AQ$6,AV142=$AR$7,$AQ$7,AV142=$AR$8,$AQ$8,AV142=$AR$9,$AQ$9,AV142=$AR$10,$AQ$10,AV142=$AR$11,$AQ$11,AV142=$AR$12,$AQ$12,AV142=$AR$13,$AQ$13,AV142=$AR$14,$AQ$14)</f>
        <v>F</v>
      </c>
      <c r="AY142" s="41" t="str">
        <f t="shared" si="34"/>
        <v>ADB F34-IUS</v>
      </c>
      <c r="AZ142" s="41" t="str">
        <f t="shared" si="34"/>
        <v>ADD F34-IUS</v>
      </c>
      <c r="BA142" s="41" t="str">
        <f t="shared" si="34"/>
        <v>HNG F34-IUS</v>
      </c>
      <c r="BB142" s="41" t="str">
        <f t="shared" si="34"/>
        <v>DOM F34-IUS</v>
      </c>
      <c r="BC142" s="41" t="str">
        <f t="shared" si="34"/>
        <v>TNC F34-IUS</v>
      </c>
    </row>
    <row r="143" spans="2:55">
      <c r="B143" s="33"/>
      <c r="D143" s="35"/>
      <c r="E143" s="41"/>
      <c r="F143" s="41"/>
      <c r="H143" s="43"/>
      <c r="J143" s="33"/>
      <c r="K143" s="36"/>
      <c r="L143" s="35"/>
      <c r="M143" s="41"/>
      <c r="N143" s="41"/>
      <c r="P143" s="43"/>
      <c r="R143" s="33">
        <v>48976</v>
      </c>
      <c r="S143" s="36"/>
      <c r="T143" s="35"/>
      <c r="U143" s="41"/>
      <c r="V143" s="41"/>
      <c r="W143" s="41"/>
      <c r="X143" s="44">
        <v>5.6970000000000001</v>
      </c>
      <c r="Z143" s="33">
        <v>48914</v>
      </c>
      <c r="AA143" s="36"/>
      <c r="AB143" s="35"/>
      <c r="AC143" s="41"/>
      <c r="AD143" s="41"/>
      <c r="AE143" s="41"/>
      <c r="AF143" s="44"/>
      <c r="AT143" s="56">
        <f t="shared" si="31"/>
        <v>2034</v>
      </c>
      <c r="AU143" s="57" t="str">
        <f t="shared" si="32"/>
        <v>34</v>
      </c>
      <c r="AV143" s="58">
        <f t="shared" si="33"/>
        <v>2</v>
      </c>
      <c r="AW143" s="58" t="str" cm="1">
        <f t="array" ref="AW143">_xlfn.IFS(AV143=$AR$3,$AQ$3,AV143=$AR$4,$AQ$4,AV143=$AR$5,$AQ$5,AV143=$AR$6,$AQ$6,AV143=$AR$7,$AQ$7,AV143=$AR$8,$AQ$8,AV143=$AR$9,$AQ$9,AV143=$AR$10,$AQ$10,AV143=$AR$11,$AQ$11,AV143=$AR$12,$AQ$12,AV143=$AR$13,$AQ$13,AV143=$AR$14,$AQ$14)</f>
        <v>G</v>
      </c>
      <c r="AY143" s="41" t="str">
        <f t="shared" si="34"/>
        <v>ADB G34-IUS</v>
      </c>
      <c r="AZ143" s="41" t="str">
        <f t="shared" si="34"/>
        <v>ADD G34-IUS</v>
      </c>
      <c r="BA143" s="41" t="str">
        <f t="shared" si="34"/>
        <v>HNG G34-IUS</v>
      </c>
      <c r="BB143" s="41" t="str">
        <f t="shared" si="34"/>
        <v>DOM G34-IUS</v>
      </c>
      <c r="BC143" s="41" t="str">
        <f t="shared" si="34"/>
        <v>TNC G34-IUS</v>
      </c>
    </row>
    <row r="144" spans="2:55">
      <c r="B144" s="33"/>
      <c r="D144" s="35"/>
      <c r="E144" s="41"/>
      <c r="F144" s="41"/>
      <c r="H144" s="43"/>
      <c r="J144" s="33"/>
      <c r="K144" s="36"/>
      <c r="L144" s="35"/>
      <c r="M144" s="41"/>
      <c r="N144" s="41"/>
      <c r="P144" s="43"/>
      <c r="R144" s="33">
        <v>49004</v>
      </c>
      <c r="S144" s="36"/>
      <c r="T144" s="35"/>
      <c r="U144" s="41"/>
      <c r="V144" s="41"/>
      <c r="W144" s="41"/>
      <c r="X144" s="44">
        <v>5.7119999999999997</v>
      </c>
      <c r="Z144" s="33">
        <v>48914</v>
      </c>
      <c r="AA144" s="36"/>
      <c r="AB144" s="35"/>
      <c r="AC144" s="41"/>
      <c r="AD144" s="41"/>
      <c r="AE144" s="41"/>
      <c r="AF144" s="44"/>
      <c r="AT144" s="56">
        <f t="shared" si="31"/>
        <v>2034</v>
      </c>
      <c r="AU144" s="57" t="str">
        <f t="shared" si="32"/>
        <v>34</v>
      </c>
      <c r="AV144" s="58">
        <f t="shared" si="33"/>
        <v>3</v>
      </c>
      <c r="AW144" s="58" t="str" cm="1">
        <f t="array" ref="AW144">_xlfn.IFS(AV144=$AR$3,$AQ$3,AV144=$AR$4,$AQ$4,AV144=$AR$5,$AQ$5,AV144=$AR$6,$AQ$6,AV144=$AR$7,$AQ$7,AV144=$AR$8,$AQ$8,AV144=$AR$9,$AQ$9,AV144=$AR$10,$AQ$10,AV144=$AR$11,$AQ$11,AV144=$AR$12,$AQ$12,AV144=$AR$13,$AQ$13,AV144=$AR$14,$AQ$14)</f>
        <v>H</v>
      </c>
      <c r="AY144" s="41" t="str">
        <f t="shared" si="34"/>
        <v>ADB H34-IUS</v>
      </c>
      <c r="AZ144" s="41" t="str">
        <f t="shared" si="34"/>
        <v>ADD H34-IUS</v>
      </c>
      <c r="BA144" s="41" t="str">
        <f t="shared" si="34"/>
        <v>HNG H34-IUS</v>
      </c>
      <c r="BB144" s="41" t="str">
        <f t="shared" si="34"/>
        <v>DOM H34-IUS</v>
      </c>
      <c r="BC144" s="41" t="str">
        <f t="shared" si="34"/>
        <v>TNC H34-IUS</v>
      </c>
    </row>
    <row r="145" spans="2:55">
      <c r="B145" s="33"/>
      <c r="D145" s="35"/>
      <c r="E145" s="41"/>
      <c r="F145" s="41"/>
      <c r="H145" s="43"/>
      <c r="J145" s="33"/>
      <c r="K145" s="36"/>
      <c r="L145" s="35"/>
      <c r="M145" s="41"/>
      <c r="N145" s="41"/>
      <c r="P145" s="43"/>
      <c r="R145" s="33">
        <v>49035</v>
      </c>
      <c r="S145" s="36"/>
      <c r="T145" s="35"/>
      <c r="U145" s="41"/>
      <c r="V145" s="41"/>
      <c r="W145" s="41"/>
      <c r="X145" s="44">
        <v>5.758</v>
      </c>
      <c r="Z145" s="33"/>
      <c r="AA145" s="36"/>
      <c r="AB145" s="35"/>
      <c r="AC145" s="41"/>
      <c r="AD145" s="41"/>
      <c r="AF145" s="45"/>
      <c r="AT145" s="56">
        <f t="shared" si="31"/>
        <v>2034</v>
      </c>
      <c r="AU145" s="57" t="str">
        <f t="shared" si="32"/>
        <v>34</v>
      </c>
      <c r="AV145" s="58">
        <f t="shared" si="33"/>
        <v>4</v>
      </c>
      <c r="AW145" s="58" t="str" cm="1">
        <f t="array" ref="AW145">_xlfn.IFS(AV145=$AR$3,$AQ$3,AV145=$AR$4,$AQ$4,AV145=$AR$5,$AQ$5,AV145=$AR$6,$AQ$6,AV145=$AR$7,$AQ$7,AV145=$AR$8,$AQ$8,AV145=$AR$9,$AQ$9,AV145=$AR$10,$AQ$10,AV145=$AR$11,$AQ$11,AV145=$AR$12,$AQ$12,AV145=$AR$13,$AQ$13,AV145=$AR$14,$AQ$14)</f>
        <v>J</v>
      </c>
      <c r="AY145" s="41" t="str">
        <f t="shared" si="34"/>
        <v>ADB J34-IUS</v>
      </c>
      <c r="AZ145" s="41" t="str">
        <f t="shared" si="34"/>
        <v>ADD J34-IUS</v>
      </c>
      <c r="BA145" s="41" t="str">
        <f t="shared" si="34"/>
        <v>HNG J34-IUS</v>
      </c>
      <c r="BB145" s="41" t="str">
        <f t="shared" si="34"/>
        <v>DOM J34-IUS</v>
      </c>
      <c r="BC145" s="41" t="str">
        <f t="shared" si="34"/>
        <v>TNC J34-IUS</v>
      </c>
    </row>
    <row r="146" spans="2:55">
      <c r="B146" s="33"/>
      <c r="D146" s="35"/>
      <c r="E146" s="41"/>
      <c r="F146" s="41"/>
      <c r="H146" s="43"/>
      <c r="J146" s="33"/>
      <c r="K146" s="36"/>
      <c r="L146" s="35"/>
      <c r="M146" s="41"/>
      <c r="N146" s="41"/>
      <c r="P146" s="43"/>
      <c r="R146" s="33">
        <v>49065</v>
      </c>
      <c r="S146" s="36"/>
      <c r="T146" s="35"/>
      <c r="U146" s="41"/>
      <c r="V146" s="41"/>
      <c r="W146" s="41"/>
      <c r="X146" s="44">
        <v>5.83</v>
      </c>
      <c r="Z146" s="33"/>
      <c r="AA146" s="36"/>
      <c r="AB146" s="35"/>
      <c r="AC146" s="41"/>
      <c r="AD146" s="41"/>
      <c r="AF146" s="45"/>
      <c r="AT146" s="56">
        <f t="shared" si="31"/>
        <v>2034</v>
      </c>
      <c r="AU146" s="57" t="str">
        <f t="shared" si="32"/>
        <v>34</v>
      </c>
      <c r="AV146" s="58">
        <f t="shared" si="33"/>
        <v>5</v>
      </c>
      <c r="AW146" s="58" t="str" cm="1">
        <f t="array" ref="AW146">_xlfn.IFS(AV146=$AR$3,$AQ$3,AV146=$AR$4,$AQ$4,AV146=$AR$5,$AQ$5,AV146=$AR$6,$AQ$6,AV146=$AR$7,$AQ$7,AV146=$AR$8,$AQ$8,AV146=$AR$9,$AQ$9,AV146=$AR$10,$AQ$10,AV146=$AR$11,$AQ$11,AV146=$AR$12,$AQ$12,AV146=$AR$13,$AQ$13,AV146=$AR$14,$AQ$14)</f>
        <v>K</v>
      </c>
      <c r="AY146" s="41" t="str">
        <f t="shared" si="34"/>
        <v>ADB K34-IUS</v>
      </c>
      <c r="AZ146" s="41" t="str">
        <f t="shared" si="34"/>
        <v>ADD K34-IUS</v>
      </c>
      <c r="BA146" s="41" t="str">
        <f t="shared" si="34"/>
        <v>HNG K34-IUS</v>
      </c>
      <c r="BB146" s="41" t="str">
        <f t="shared" si="34"/>
        <v>DOM K34-IUS</v>
      </c>
      <c r="BC146" s="41" t="str">
        <f t="shared" si="34"/>
        <v>TNC K34-IUS</v>
      </c>
    </row>
    <row r="147" spans="2:55">
      <c r="R147" s="33">
        <v>49096</v>
      </c>
      <c r="S147" s="36"/>
      <c r="T147" s="35"/>
      <c r="U147" s="41"/>
      <c r="V147" s="41"/>
      <c r="W147" s="41"/>
      <c r="X147" s="44">
        <v>5.9850000000000003</v>
      </c>
      <c r="Z147" s="33"/>
      <c r="AA147" s="36"/>
      <c r="AB147" s="35"/>
      <c r="AC147" s="41"/>
      <c r="AD147" s="41"/>
      <c r="AF147" s="45"/>
      <c r="AT147" s="56">
        <f t="shared" si="31"/>
        <v>2034</v>
      </c>
      <c r="AU147" s="57" t="str">
        <f t="shared" si="32"/>
        <v>34</v>
      </c>
      <c r="AV147" s="58">
        <f t="shared" si="33"/>
        <v>6</v>
      </c>
      <c r="AW147" s="58" t="str" cm="1">
        <f t="array" ref="AW147">_xlfn.IFS(AV147=$AR$3,$AQ$3,AV147=$AR$4,$AQ$4,AV147=$AR$5,$AQ$5,AV147=$AR$6,$AQ$6,AV147=$AR$7,$AQ$7,AV147=$AR$8,$AQ$8,AV147=$AR$9,$AQ$9,AV147=$AR$10,$AQ$10,AV147=$AR$11,$AQ$11,AV147=$AR$12,$AQ$12,AV147=$AR$13,$AQ$13,AV147=$AR$14,$AQ$14)</f>
        <v>M</v>
      </c>
      <c r="AY147" s="41" t="str">
        <f t="shared" si="34"/>
        <v>ADB M34-IUS</v>
      </c>
      <c r="AZ147" s="41" t="str">
        <f t="shared" si="34"/>
        <v>ADD M34-IUS</v>
      </c>
      <c r="BA147" s="41" t="str">
        <f t="shared" si="34"/>
        <v>HNG M34-IUS</v>
      </c>
      <c r="BB147" s="41" t="str">
        <f t="shared" si="34"/>
        <v>DOM M34-IUS</v>
      </c>
      <c r="BC147" s="41" t="str">
        <f t="shared" si="34"/>
        <v>TNC M34-IUS</v>
      </c>
    </row>
    <row r="148" spans="2:55">
      <c r="R148" s="33">
        <v>49126</v>
      </c>
      <c r="S148" s="36"/>
      <c r="T148" s="35"/>
      <c r="U148" s="41"/>
      <c r="V148" s="41"/>
      <c r="W148" s="41"/>
      <c r="X148" s="44">
        <v>6.1929999999999996</v>
      </c>
      <c r="Z148" s="33"/>
      <c r="AA148" s="36"/>
      <c r="AB148" s="35"/>
      <c r="AC148" s="41"/>
      <c r="AD148" s="41"/>
      <c r="AF148" s="45"/>
      <c r="AT148" s="56">
        <f t="shared" si="31"/>
        <v>2034</v>
      </c>
      <c r="AU148" s="57" t="str">
        <f t="shared" si="32"/>
        <v>34</v>
      </c>
      <c r="AV148" s="58">
        <f t="shared" si="33"/>
        <v>7</v>
      </c>
      <c r="AW148" s="58" t="str" cm="1">
        <f t="array" ref="AW148">_xlfn.IFS(AV148=$AR$3,$AQ$3,AV148=$AR$4,$AQ$4,AV148=$AR$5,$AQ$5,AV148=$AR$6,$AQ$6,AV148=$AR$7,$AQ$7,AV148=$AR$8,$AQ$8,AV148=$AR$9,$AQ$9,AV148=$AR$10,$AQ$10,AV148=$AR$11,$AQ$11,AV148=$AR$12,$AQ$12,AV148=$AR$13,$AQ$13,AV148=$AR$14,$AQ$14)</f>
        <v>N</v>
      </c>
      <c r="AY148" s="41" t="str">
        <f t="shared" si="34"/>
        <v>ADB N34-IUS</v>
      </c>
      <c r="AZ148" s="41" t="str">
        <f t="shared" si="34"/>
        <v>ADD N34-IUS</v>
      </c>
      <c r="BA148" s="41" t="str">
        <f t="shared" si="34"/>
        <v>HNG N34-IUS</v>
      </c>
      <c r="BB148" s="41" t="str">
        <f t="shared" si="34"/>
        <v>DOM N34-IUS</v>
      </c>
      <c r="BC148" s="41" t="str">
        <f t="shared" si="34"/>
        <v>TNC N34-IUS</v>
      </c>
    </row>
    <row r="149" spans="2:55">
      <c r="R149" s="33">
        <v>49157</v>
      </c>
      <c r="S149" s="36"/>
      <c r="T149" s="35"/>
      <c r="U149" s="41"/>
      <c r="V149" s="41"/>
      <c r="W149" s="41"/>
      <c r="X149" s="44">
        <v>6.1630000000000003</v>
      </c>
      <c r="AF149" s="45"/>
      <c r="AT149" s="56">
        <f t="shared" si="31"/>
        <v>2034</v>
      </c>
      <c r="AU149" s="57" t="str">
        <f t="shared" si="32"/>
        <v>34</v>
      </c>
      <c r="AV149" s="58">
        <f t="shared" si="33"/>
        <v>8</v>
      </c>
      <c r="AW149" s="58" t="str" cm="1">
        <f t="array" ref="AW149">_xlfn.IFS(AV149=$AR$3,$AQ$3,AV149=$AR$4,$AQ$4,AV149=$AR$5,$AQ$5,AV149=$AR$6,$AQ$6,AV149=$AR$7,$AQ$7,AV149=$AR$8,$AQ$8,AV149=$AR$9,$AQ$9,AV149=$AR$10,$AQ$10,AV149=$AR$11,$AQ$11,AV149=$AR$12,$AQ$12,AV149=$AR$13,$AQ$13,AV149=$AR$14,$AQ$14)</f>
        <v>Q</v>
      </c>
      <c r="AY149" s="41" t="str">
        <f t="shared" si="34"/>
        <v>ADB Q34-IUS</v>
      </c>
      <c r="AZ149" s="41" t="str">
        <f t="shared" si="34"/>
        <v>ADD Q34-IUS</v>
      </c>
      <c r="BA149" s="41" t="str">
        <f t="shared" si="34"/>
        <v>HNG Q34-IUS</v>
      </c>
      <c r="BB149" s="41" t="str">
        <f t="shared" si="34"/>
        <v>DOM Q34-IUS</v>
      </c>
      <c r="BC149" s="41" t="str">
        <f t="shared" si="34"/>
        <v>TNC Q34-IUS</v>
      </c>
    </row>
    <row r="150" spans="2:55">
      <c r="R150" s="33">
        <v>49188</v>
      </c>
      <c r="S150" s="36"/>
      <c r="T150" s="35"/>
      <c r="U150" s="41"/>
      <c r="V150" s="41"/>
      <c r="W150" s="41"/>
      <c r="X150" s="44">
        <v>6.0880000000000001</v>
      </c>
      <c r="AT150" s="56">
        <f t="shared" si="31"/>
        <v>2034</v>
      </c>
      <c r="AU150" s="57" t="str">
        <f t="shared" si="32"/>
        <v>34</v>
      </c>
      <c r="AV150" s="58">
        <f t="shared" si="33"/>
        <v>9</v>
      </c>
      <c r="AW150" s="58" t="str" cm="1">
        <f t="array" ref="AW150">_xlfn.IFS(AV150=$AR$3,$AQ$3,AV150=$AR$4,$AQ$4,AV150=$AR$5,$AQ$5,AV150=$AR$6,$AQ$6,AV150=$AR$7,$AQ$7,AV150=$AR$8,$AQ$8,AV150=$AR$9,$AQ$9,AV150=$AR$10,$AQ$10,AV150=$AR$11,$AQ$11,AV150=$AR$12,$AQ$12,AV150=$AR$13,$AQ$13,AV150=$AR$14,$AQ$14)</f>
        <v>U</v>
      </c>
      <c r="AY150" s="41" t="str">
        <f t="shared" si="34"/>
        <v>ADB U34-IUS</v>
      </c>
      <c r="AZ150" s="41" t="str">
        <f t="shared" si="34"/>
        <v>ADD U34-IUS</v>
      </c>
      <c r="BA150" s="41" t="str">
        <f t="shared" si="34"/>
        <v>HNG U34-IUS</v>
      </c>
      <c r="BB150" s="41" t="str">
        <f t="shared" si="34"/>
        <v>DOM U34-IUS</v>
      </c>
      <c r="BC150" s="41" t="str">
        <f t="shared" si="34"/>
        <v>TNC U34-IUS</v>
      </c>
    </row>
    <row r="151" spans="2:55">
      <c r="R151" s="33">
        <v>49218</v>
      </c>
      <c r="S151" s="36"/>
      <c r="T151" s="35"/>
      <c r="U151" s="41"/>
      <c r="V151" s="41"/>
      <c r="W151" s="41"/>
      <c r="X151" s="44">
        <v>5.758</v>
      </c>
      <c r="AT151" s="56">
        <f t="shared" si="31"/>
        <v>2034</v>
      </c>
      <c r="AU151" s="57" t="str">
        <f t="shared" si="32"/>
        <v>34</v>
      </c>
      <c r="AV151" s="58">
        <f t="shared" si="33"/>
        <v>10</v>
      </c>
      <c r="AW151" s="58" t="str" cm="1">
        <f t="array" ref="AW151">_xlfn.IFS(AV151=$AR$3,$AQ$3,AV151=$AR$4,$AQ$4,AV151=$AR$5,$AQ$5,AV151=$AR$6,$AQ$6,AV151=$AR$7,$AQ$7,AV151=$AR$8,$AQ$8,AV151=$AR$9,$AQ$9,AV151=$AR$10,$AQ$10,AV151=$AR$11,$AQ$11,AV151=$AR$12,$AQ$12,AV151=$AR$13,$AQ$13,AV151=$AR$14,$AQ$14)</f>
        <v>V</v>
      </c>
      <c r="AY151" s="41" t="str">
        <f t="shared" si="34"/>
        <v>ADB V34-IUS</v>
      </c>
      <c r="AZ151" s="41" t="str">
        <f t="shared" si="34"/>
        <v>ADD V34-IUS</v>
      </c>
      <c r="BA151" s="41" t="str">
        <f t="shared" si="34"/>
        <v>HNG V34-IUS</v>
      </c>
      <c r="BB151" s="41" t="str">
        <f t="shared" si="34"/>
        <v>DOM V34-IUS</v>
      </c>
      <c r="BC151" s="41" t="str">
        <f t="shared" si="34"/>
        <v>TNC V34-IUS</v>
      </c>
    </row>
    <row r="152" spans="2:55">
      <c r="R152" s="33">
        <v>49249</v>
      </c>
      <c r="S152" s="36"/>
      <c r="T152" s="35"/>
      <c r="U152" s="41"/>
      <c r="V152" s="41"/>
      <c r="W152" s="41"/>
      <c r="X152" s="44">
        <v>5.7359999999999998</v>
      </c>
      <c r="AT152" s="56">
        <f t="shared" si="31"/>
        <v>2034</v>
      </c>
      <c r="AU152" s="57" t="str">
        <f t="shared" si="32"/>
        <v>34</v>
      </c>
      <c r="AV152" s="58">
        <f t="shared" si="33"/>
        <v>11</v>
      </c>
      <c r="AW152" s="58" t="str" cm="1">
        <f t="array" ref="AW152">_xlfn.IFS(AV152=$AR$3,$AQ$3,AV152=$AR$4,$AQ$4,AV152=$AR$5,$AQ$5,AV152=$AR$6,$AQ$6,AV152=$AR$7,$AQ$7,AV152=$AR$8,$AQ$8,AV152=$AR$9,$AQ$9,AV152=$AR$10,$AQ$10,AV152=$AR$11,$AQ$11,AV152=$AR$12,$AQ$12,AV152=$AR$13,$AQ$13,AV152=$AR$14,$AQ$14)</f>
        <v>X</v>
      </c>
      <c r="AY152" s="41" t="str">
        <f t="shared" si="34"/>
        <v>ADB X34-IUS</v>
      </c>
      <c r="AZ152" s="41" t="str">
        <f t="shared" si="34"/>
        <v>ADD X34-IUS</v>
      </c>
      <c r="BA152" s="41" t="str">
        <f t="shared" si="34"/>
        <v>HNG X34-IUS</v>
      </c>
      <c r="BB152" s="41" t="str">
        <f t="shared" si="34"/>
        <v>DOM X34-IUS</v>
      </c>
      <c r="BC152" s="41" t="str">
        <f t="shared" si="34"/>
        <v>TNC X34-IUS</v>
      </c>
    </row>
    <row r="153" spans="2:55">
      <c r="R153" s="33">
        <v>49279</v>
      </c>
      <c r="S153" s="36"/>
      <c r="T153" s="35"/>
      <c r="U153" s="41"/>
      <c r="V153" s="41"/>
      <c r="W153" s="41"/>
      <c r="X153" s="44">
        <v>5.7709999999999999</v>
      </c>
      <c r="AT153" s="56">
        <f t="shared" si="31"/>
        <v>2034</v>
      </c>
      <c r="AU153" s="57" t="str">
        <f t="shared" si="32"/>
        <v>34</v>
      </c>
      <c r="AV153" s="58">
        <f t="shared" si="33"/>
        <v>12</v>
      </c>
      <c r="AW153" s="58" t="str" cm="1">
        <f t="array" ref="AW153">_xlfn.IFS(AV153=$AR$3,$AQ$3,AV153=$AR$4,$AQ$4,AV153=$AR$5,$AQ$5,AV153=$AR$6,$AQ$6,AV153=$AR$7,$AQ$7,AV153=$AR$8,$AQ$8,AV153=$AR$9,$AQ$9,AV153=$AR$10,$AQ$10,AV153=$AR$11,$AQ$11,AV153=$AR$12,$AQ$12,AV153=$AR$13,$AQ$13,AV153=$AR$14,$AQ$14)</f>
        <v>Z</v>
      </c>
      <c r="AY153" s="41" t="str">
        <f t="shared" si="34"/>
        <v>ADB Z34-IUS</v>
      </c>
      <c r="AZ153" s="41" t="str">
        <f t="shared" si="34"/>
        <v>ADD Z34-IUS</v>
      </c>
      <c r="BA153" s="41" t="str">
        <f t="shared" si="34"/>
        <v>HNG Z34-IUS</v>
      </c>
      <c r="BB153" s="41" t="str">
        <f t="shared" si="34"/>
        <v>DOM Z34-IUS</v>
      </c>
      <c r="BC153" s="41" t="str">
        <f t="shared" si="34"/>
        <v>TNC Z34-IUS</v>
      </c>
    </row>
    <row r="154" spans="2:55">
      <c r="R154" s="33">
        <v>49310</v>
      </c>
      <c r="S154" s="36"/>
      <c r="T154" s="35"/>
      <c r="U154" s="41"/>
      <c r="V154" s="41"/>
      <c r="W154" s="41"/>
      <c r="X154" s="44">
        <v>5.8109999999999999</v>
      </c>
      <c r="AT154" s="56">
        <f t="shared" si="31"/>
        <v>2035</v>
      </c>
      <c r="AU154" s="57" t="str">
        <f t="shared" si="32"/>
        <v>35</v>
      </c>
      <c r="AV154" s="58">
        <f t="shared" si="33"/>
        <v>1</v>
      </c>
      <c r="AW154" s="58" t="str" cm="1">
        <f t="array" ref="AW154">_xlfn.IFS(AV154=$AR$3,$AQ$3,AV154=$AR$4,$AQ$4,AV154=$AR$5,$AQ$5,AV154=$AR$6,$AQ$6,AV154=$AR$7,$AQ$7,AV154=$AR$8,$AQ$8,AV154=$AR$9,$AQ$9,AV154=$AR$10,$AQ$10,AV154=$AR$11,$AQ$11,AV154=$AR$12,$AQ$12,AV154=$AR$13,$AQ$13,AV154=$AR$14,$AQ$14)</f>
        <v>F</v>
      </c>
      <c r="AY154" s="41" t="str">
        <f t="shared" si="34"/>
        <v>ADB F35-IUS</v>
      </c>
      <c r="AZ154" s="41" t="str">
        <f t="shared" si="34"/>
        <v>ADD F35-IUS</v>
      </c>
      <c r="BA154" s="41" t="str">
        <f t="shared" si="34"/>
        <v>HNG F35-IUS</v>
      </c>
      <c r="BB154" s="41" t="str">
        <f t="shared" si="34"/>
        <v>DOM F35-IUS</v>
      </c>
      <c r="BC154" s="41" t="str">
        <f t="shared" si="34"/>
        <v>TNC F35-IUS</v>
      </c>
    </row>
    <row r="155" spans="2:55">
      <c r="R155" s="33">
        <v>49341</v>
      </c>
      <c r="S155" s="36"/>
      <c r="T155" s="35"/>
      <c r="U155" s="41"/>
      <c r="V155" s="41"/>
      <c r="W155" s="41"/>
      <c r="X155" s="44">
        <v>5.851</v>
      </c>
      <c r="AT155" s="56">
        <f t="shared" si="31"/>
        <v>2035</v>
      </c>
      <c r="AU155" s="57" t="str">
        <f t="shared" si="32"/>
        <v>35</v>
      </c>
      <c r="AV155" s="58">
        <f t="shared" si="33"/>
        <v>2</v>
      </c>
      <c r="AW155" s="58" t="str" cm="1">
        <f t="array" ref="AW155">_xlfn.IFS(AV155=$AR$3,$AQ$3,AV155=$AR$4,$AQ$4,AV155=$AR$5,$AQ$5,AV155=$AR$6,$AQ$6,AV155=$AR$7,$AQ$7,AV155=$AR$8,$AQ$8,AV155=$AR$9,$AQ$9,AV155=$AR$10,$AQ$10,AV155=$AR$11,$AQ$11,AV155=$AR$12,$AQ$12,AV155=$AR$13,$AQ$13,AV155=$AR$14,$AQ$14)</f>
        <v>G</v>
      </c>
      <c r="AY155" s="41" t="str">
        <f t="shared" si="34"/>
        <v>ADB G35-IUS</v>
      </c>
      <c r="AZ155" s="41" t="str">
        <f t="shared" si="34"/>
        <v>ADD G35-IUS</v>
      </c>
      <c r="BA155" s="41" t="str">
        <f t="shared" si="34"/>
        <v>HNG G35-IUS</v>
      </c>
      <c r="BB155" s="41" t="str">
        <f t="shared" si="34"/>
        <v>DOM G35-IUS</v>
      </c>
      <c r="BC155" s="41" t="str">
        <f t="shared" si="34"/>
        <v>TNC G35-IUS</v>
      </c>
    </row>
    <row r="156" spans="2:55">
      <c r="R156" s="33">
        <v>49369</v>
      </c>
      <c r="S156" s="36"/>
      <c r="T156" s="35"/>
      <c r="U156" s="41"/>
      <c r="V156" s="41"/>
      <c r="W156" s="41"/>
      <c r="X156" s="44">
        <v>5.8659999999999997</v>
      </c>
      <c r="AT156" s="56">
        <f t="shared" si="31"/>
        <v>2035</v>
      </c>
      <c r="AU156" s="57" t="str">
        <f t="shared" si="32"/>
        <v>35</v>
      </c>
      <c r="AV156" s="58">
        <f t="shared" si="33"/>
        <v>3</v>
      </c>
      <c r="AW156" s="58" t="str" cm="1">
        <f t="array" ref="AW156">_xlfn.IFS(AV156=$AR$3,$AQ$3,AV156=$AR$4,$AQ$4,AV156=$AR$5,$AQ$5,AV156=$AR$6,$AQ$6,AV156=$AR$7,$AQ$7,AV156=$AR$8,$AQ$8,AV156=$AR$9,$AQ$9,AV156=$AR$10,$AQ$10,AV156=$AR$11,$AQ$11,AV156=$AR$12,$AQ$12,AV156=$AR$13,$AQ$13,AV156=$AR$14,$AQ$14)</f>
        <v>H</v>
      </c>
      <c r="AY156" s="41" t="str">
        <f t="shared" si="34"/>
        <v>ADB H35-IUS</v>
      </c>
      <c r="AZ156" s="41" t="str">
        <f t="shared" si="34"/>
        <v>ADD H35-IUS</v>
      </c>
      <c r="BA156" s="41" t="str">
        <f t="shared" si="34"/>
        <v>HNG H35-IUS</v>
      </c>
      <c r="BB156" s="41" t="str">
        <f t="shared" si="34"/>
        <v>DOM H35-IUS</v>
      </c>
      <c r="BC156" s="41" t="str">
        <f t="shared" si="34"/>
        <v>TNC H35-IUS</v>
      </c>
    </row>
    <row r="157" spans="2:55">
      <c r="R157" s="33">
        <v>49400</v>
      </c>
      <c r="S157" s="36"/>
      <c r="T157" s="35"/>
      <c r="U157" s="41"/>
      <c r="V157" s="41"/>
      <c r="W157" s="41"/>
      <c r="X157" s="44">
        <v>5.9119999999999999</v>
      </c>
      <c r="AT157" s="56">
        <f t="shared" si="31"/>
        <v>2035</v>
      </c>
      <c r="AU157" s="57" t="str">
        <f t="shared" si="32"/>
        <v>35</v>
      </c>
      <c r="AV157" s="58">
        <f t="shared" si="33"/>
        <v>4</v>
      </c>
      <c r="AW157" s="58" t="str" cm="1">
        <f t="array" ref="AW157">_xlfn.IFS(AV157=$AR$3,$AQ$3,AV157=$AR$4,$AQ$4,AV157=$AR$5,$AQ$5,AV157=$AR$6,$AQ$6,AV157=$AR$7,$AQ$7,AV157=$AR$8,$AQ$8,AV157=$AR$9,$AQ$9,AV157=$AR$10,$AQ$10,AV157=$AR$11,$AQ$11,AV157=$AR$12,$AQ$12,AV157=$AR$13,$AQ$13,AV157=$AR$14,$AQ$14)</f>
        <v>J</v>
      </c>
      <c r="AY157" s="41" t="str">
        <f t="shared" si="34"/>
        <v>ADB J35-IUS</v>
      </c>
      <c r="AZ157" s="41" t="str">
        <f t="shared" si="34"/>
        <v>ADD J35-IUS</v>
      </c>
      <c r="BA157" s="41" t="str">
        <f t="shared" si="34"/>
        <v>HNG J35-IUS</v>
      </c>
      <c r="BB157" s="41" t="str">
        <f t="shared" si="34"/>
        <v>DOM J35-IUS</v>
      </c>
      <c r="BC157" s="41" t="str">
        <f t="shared" si="34"/>
        <v>TNC J35-IUS</v>
      </c>
    </row>
    <row r="158" spans="2:55">
      <c r="R158" s="33">
        <v>49430</v>
      </c>
      <c r="S158" s="36"/>
      <c r="T158" s="35"/>
      <c r="U158" s="41"/>
      <c r="V158" s="41"/>
      <c r="W158" s="41"/>
      <c r="X158" s="44">
        <v>5.9560000000000004</v>
      </c>
      <c r="AT158" s="56">
        <f t="shared" si="31"/>
        <v>2035</v>
      </c>
      <c r="AU158" s="57" t="str">
        <f t="shared" si="32"/>
        <v>35</v>
      </c>
      <c r="AV158" s="58">
        <f t="shared" si="33"/>
        <v>5</v>
      </c>
      <c r="AW158" s="58" t="str" cm="1">
        <f t="array" ref="AW158">_xlfn.IFS(AV158=$AR$3,$AQ$3,AV158=$AR$4,$AQ$4,AV158=$AR$5,$AQ$5,AV158=$AR$6,$AQ$6,AV158=$AR$7,$AQ$7,AV158=$AR$8,$AQ$8,AV158=$AR$9,$AQ$9,AV158=$AR$10,$AQ$10,AV158=$AR$11,$AQ$11,AV158=$AR$12,$AQ$12,AV158=$AR$13,$AQ$13,AV158=$AR$14,$AQ$14)</f>
        <v>K</v>
      </c>
      <c r="AY158" s="41" t="str">
        <f t="shared" si="34"/>
        <v>ADB K35-IUS</v>
      </c>
      <c r="AZ158" s="41" t="str">
        <f t="shared" si="34"/>
        <v>ADD K35-IUS</v>
      </c>
      <c r="BA158" s="41" t="str">
        <f t="shared" si="34"/>
        <v>HNG K35-IUS</v>
      </c>
      <c r="BB158" s="41" t="str">
        <f t="shared" si="34"/>
        <v>DOM K35-IUS</v>
      </c>
      <c r="BC158" s="41" t="str">
        <f t="shared" si="34"/>
        <v>TNC K35-IUS</v>
      </c>
    </row>
    <row r="159" spans="2:55">
      <c r="R159" s="33">
        <v>49461</v>
      </c>
      <c r="S159" s="36"/>
      <c r="T159" s="35"/>
      <c r="U159" s="41"/>
      <c r="V159" s="41"/>
      <c r="W159" s="41"/>
      <c r="X159" s="44">
        <v>6.0659999999999998</v>
      </c>
      <c r="AT159" s="56">
        <f t="shared" si="31"/>
        <v>2035</v>
      </c>
      <c r="AU159" s="57" t="str">
        <f t="shared" si="32"/>
        <v>35</v>
      </c>
      <c r="AV159" s="58">
        <f t="shared" si="33"/>
        <v>6</v>
      </c>
      <c r="AW159" s="58" t="str" cm="1">
        <f t="array" ref="AW159">_xlfn.IFS(AV159=$AR$3,$AQ$3,AV159=$AR$4,$AQ$4,AV159=$AR$5,$AQ$5,AV159=$AR$6,$AQ$6,AV159=$AR$7,$AQ$7,AV159=$AR$8,$AQ$8,AV159=$AR$9,$AQ$9,AV159=$AR$10,$AQ$10,AV159=$AR$11,$AQ$11,AV159=$AR$12,$AQ$12,AV159=$AR$13,$AQ$13,AV159=$AR$14,$AQ$14)</f>
        <v>M</v>
      </c>
      <c r="AY159" s="41" t="str">
        <f t="shared" si="34"/>
        <v>ADB M35-IUS</v>
      </c>
      <c r="AZ159" s="41" t="str">
        <f t="shared" si="34"/>
        <v>ADD M35-IUS</v>
      </c>
      <c r="BA159" s="41" t="str">
        <f t="shared" si="34"/>
        <v>HNG M35-IUS</v>
      </c>
      <c r="BB159" s="41" t="str">
        <f t="shared" si="34"/>
        <v>DOM M35-IUS</v>
      </c>
      <c r="BC159" s="41" t="str">
        <f t="shared" si="34"/>
        <v>TNC M35-IUS</v>
      </c>
    </row>
    <row r="160" spans="2:55">
      <c r="R160" s="33">
        <v>49491</v>
      </c>
      <c r="S160" s="36"/>
      <c r="T160" s="35"/>
      <c r="U160" s="41"/>
      <c r="V160" s="41"/>
      <c r="W160" s="41"/>
      <c r="X160" s="44"/>
      <c r="AT160" s="56">
        <f t="shared" si="31"/>
        <v>2035</v>
      </c>
      <c r="AU160" s="57" t="str">
        <f t="shared" si="32"/>
        <v>35</v>
      </c>
      <c r="AV160" s="58">
        <f t="shared" si="33"/>
        <v>7</v>
      </c>
      <c r="AW160" s="58" t="str" cm="1">
        <f t="array" ref="AW160">_xlfn.IFS(AV160=$AR$3,$AQ$3,AV160=$AR$4,$AQ$4,AV160=$AR$5,$AQ$5,AV160=$AR$6,$AQ$6,AV160=$AR$7,$AQ$7,AV160=$AR$8,$AQ$8,AV160=$AR$9,$AQ$9,AV160=$AR$10,$AQ$10,AV160=$AR$11,$AQ$11,AV160=$AR$12,$AQ$12,AV160=$AR$13,$AQ$13,AV160=$AR$14,$AQ$14)</f>
        <v>N</v>
      </c>
      <c r="AY160" s="41" t="str">
        <f t="shared" si="34"/>
        <v>ADB N35-IUS</v>
      </c>
      <c r="AZ160" s="41" t="str">
        <f t="shared" si="34"/>
        <v>ADD N35-IUS</v>
      </c>
      <c r="BA160" s="41" t="str">
        <f t="shared" si="34"/>
        <v>HNG N35-IUS</v>
      </c>
      <c r="BB160" s="41" t="str">
        <f t="shared" si="34"/>
        <v>DOM N35-IUS</v>
      </c>
      <c r="BC160" s="41" t="str">
        <f t="shared" si="34"/>
        <v>TNC N35-IUS</v>
      </c>
    </row>
    <row r="161" spans="18:55">
      <c r="R161" s="33">
        <v>49522</v>
      </c>
      <c r="S161" s="36"/>
      <c r="T161" s="35"/>
      <c r="U161" s="41"/>
      <c r="V161" s="41"/>
      <c r="W161" s="41"/>
      <c r="X161" s="44"/>
      <c r="AT161" s="56">
        <f t="shared" si="31"/>
        <v>2035</v>
      </c>
      <c r="AU161" s="57" t="str">
        <f t="shared" si="32"/>
        <v>35</v>
      </c>
      <c r="AV161" s="58">
        <f t="shared" si="33"/>
        <v>8</v>
      </c>
      <c r="AW161" s="58" t="str" cm="1">
        <f t="array" ref="AW161">_xlfn.IFS(AV161=$AR$3,$AQ$3,AV161=$AR$4,$AQ$4,AV161=$AR$5,$AQ$5,AV161=$AR$6,$AQ$6,AV161=$AR$7,$AQ$7,AV161=$AR$8,$AQ$8,AV161=$AR$9,$AQ$9,AV161=$AR$10,$AQ$10,AV161=$AR$11,$AQ$11,AV161=$AR$12,$AQ$12,AV161=$AR$13,$AQ$13,AV161=$AR$14,$AQ$14)</f>
        <v>Q</v>
      </c>
      <c r="AY161" s="41" t="str">
        <f t="shared" si="34"/>
        <v>ADB Q35-IUS</v>
      </c>
      <c r="AZ161" s="41" t="str">
        <f t="shared" si="34"/>
        <v>ADD Q35-IUS</v>
      </c>
      <c r="BA161" s="41" t="str">
        <f t="shared" si="34"/>
        <v>HNG Q35-IUS</v>
      </c>
      <c r="BB161" s="41" t="str">
        <f t="shared" si="34"/>
        <v>DOM Q35-IUS</v>
      </c>
      <c r="BC161" s="41" t="str">
        <f t="shared" si="34"/>
        <v>TNC Q35-IUS</v>
      </c>
    </row>
    <row r="162" spans="18:55">
      <c r="R162" s="33">
        <v>49553</v>
      </c>
      <c r="S162" s="36"/>
      <c r="T162" s="35"/>
      <c r="U162" s="41"/>
      <c r="V162" s="41"/>
      <c r="W162" s="41"/>
      <c r="X162" s="44"/>
      <c r="AT162" s="56">
        <f t="shared" si="31"/>
        <v>2035</v>
      </c>
      <c r="AU162" s="57" t="str">
        <f t="shared" si="32"/>
        <v>35</v>
      </c>
      <c r="AV162" s="58">
        <f t="shared" si="33"/>
        <v>9</v>
      </c>
      <c r="AW162" s="58" t="str" cm="1">
        <f t="array" ref="AW162">_xlfn.IFS(AV162=$AR$3,$AQ$3,AV162=$AR$4,$AQ$4,AV162=$AR$5,$AQ$5,AV162=$AR$6,$AQ$6,AV162=$AR$7,$AQ$7,AV162=$AR$8,$AQ$8,AV162=$AR$9,$AQ$9,AV162=$AR$10,$AQ$10,AV162=$AR$11,$AQ$11,AV162=$AR$12,$AQ$12,AV162=$AR$13,$AQ$13,AV162=$AR$14,$AQ$14)</f>
        <v>U</v>
      </c>
      <c r="AY162" s="41" t="str">
        <f t="shared" si="34"/>
        <v>ADB U35-IUS</v>
      </c>
      <c r="AZ162" s="41" t="str">
        <f t="shared" si="34"/>
        <v>ADD U35-IUS</v>
      </c>
      <c r="BA162" s="41" t="str">
        <f t="shared" si="34"/>
        <v>HNG U35-IUS</v>
      </c>
      <c r="BB162" s="41" t="str">
        <f t="shared" si="34"/>
        <v>DOM U35-IUS</v>
      </c>
      <c r="BC162" s="41" t="str">
        <f t="shared" si="34"/>
        <v>TNC U35-IUS</v>
      </c>
    </row>
    <row r="163" spans="18:55">
      <c r="R163" s="33">
        <v>49583</v>
      </c>
      <c r="S163" s="36"/>
      <c r="T163" s="35"/>
      <c r="U163" s="41"/>
      <c r="V163" s="41"/>
      <c r="W163" s="41"/>
      <c r="X163" s="44"/>
      <c r="AT163" s="56">
        <f t="shared" si="31"/>
        <v>2035</v>
      </c>
      <c r="AU163" s="57" t="str">
        <f t="shared" si="32"/>
        <v>35</v>
      </c>
      <c r="AV163" s="58">
        <f t="shared" si="33"/>
        <v>10</v>
      </c>
      <c r="AW163" s="58" t="str" cm="1">
        <f t="array" ref="AW163">_xlfn.IFS(AV163=$AR$3,$AQ$3,AV163=$AR$4,$AQ$4,AV163=$AR$5,$AQ$5,AV163=$AR$6,$AQ$6,AV163=$AR$7,$AQ$7,AV163=$AR$8,$AQ$8,AV163=$AR$9,$AQ$9,AV163=$AR$10,$AQ$10,AV163=$AR$11,$AQ$11,AV163=$AR$12,$AQ$12,AV163=$AR$13,$AQ$13,AV163=$AR$14,$AQ$14)</f>
        <v>V</v>
      </c>
      <c r="AY163" s="41" t="str">
        <f t="shared" si="34"/>
        <v>ADB V35-IUS</v>
      </c>
      <c r="AZ163" s="41" t="str">
        <f t="shared" si="34"/>
        <v>ADD V35-IUS</v>
      </c>
      <c r="BA163" s="41" t="str">
        <f t="shared" si="34"/>
        <v>HNG V35-IUS</v>
      </c>
      <c r="BB163" s="41" t="str">
        <f t="shared" si="34"/>
        <v>DOM V35-IUS</v>
      </c>
      <c r="BC163" s="41" t="str">
        <f t="shared" si="34"/>
        <v>TNC V35-IUS</v>
      </c>
    </row>
    <row r="164" spans="18:55">
      <c r="R164" s="33">
        <v>49614</v>
      </c>
      <c r="S164" s="36"/>
      <c r="T164" s="35"/>
      <c r="U164" s="41"/>
      <c r="V164" s="41"/>
      <c r="W164" s="41"/>
      <c r="X164" s="44"/>
      <c r="AT164" s="56">
        <f t="shared" si="31"/>
        <v>2035</v>
      </c>
      <c r="AU164" s="57" t="str">
        <f t="shared" si="32"/>
        <v>35</v>
      </c>
      <c r="AV164" s="58">
        <f t="shared" si="33"/>
        <v>11</v>
      </c>
      <c r="AW164" s="58" t="str" cm="1">
        <f t="array" ref="AW164">_xlfn.IFS(AV164=$AR$3,$AQ$3,AV164=$AR$4,$AQ$4,AV164=$AR$5,$AQ$5,AV164=$AR$6,$AQ$6,AV164=$AR$7,$AQ$7,AV164=$AR$8,$AQ$8,AV164=$AR$9,$AQ$9,AV164=$AR$10,$AQ$10,AV164=$AR$11,$AQ$11,AV164=$AR$12,$AQ$12,AV164=$AR$13,$AQ$13,AV164=$AR$14,$AQ$14)</f>
        <v>X</v>
      </c>
      <c r="AY164" s="41" t="str">
        <f t="shared" si="34"/>
        <v>ADB X35-IUS</v>
      </c>
      <c r="AZ164" s="41" t="str">
        <f t="shared" si="34"/>
        <v>ADD X35-IUS</v>
      </c>
      <c r="BA164" s="41" t="str">
        <f t="shared" si="34"/>
        <v>HNG X35-IUS</v>
      </c>
      <c r="BB164" s="41" t="str">
        <f t="shared" si="34"/>
        <v>DOM X35-IUS</v>
      </c>
      <c r="BC164" s="41" t="str">
        <f t="shared" si="34"/>
        <v>TNC X35-IUS</v>
      </c>
    </row>
    <row r="165" spans="18:55">
      <c r="R165" s="33">
        <v>49644</v>
      </c>
      <c r="S165" s="36"/>
      <c r="T165" s="35"/>
      <c r="U165" s="41"/>
      <c r="V165" s="41"/>
      <c r="W165" s="41"/>
      <c r="X165" s="44"/>
      <c r="AT165" s="56">
        <f t="shared" si="31"/>
        <v>2035</v>
      </c>
      <c r="AU165" s="57" t="str">
        <f t="shared" si="32"/>
        <v>35</v>
      </c>
      <c r="AV165" s="58">
        <f t="shared" si="33"/>
        <v>12</v>
      </c>
      <c r="AW165" s="58" t="str" cm="1">
        <f t="array" ref="AW165">_xlfn.IFS(AV165=$AR$3,$AQ$3,AV165=$AR$4,$AQ$4,AV165=$AR$5,$AQ$5,AV165=$AR$6,$AQ$6,AV165=$AR$7,$AQ$7,AV165=$AR$8,$AQ$8,AV165=$AR$9,$AQ$9,AV165=$AR$10,$AQ$10,AV165=$AR$11,$AQ$11,AV165=$AR$12,$AQ$12,AV165=$AR$13,$AQ$13,AV165=$AR$14,$AQ$14)</f>
        <v>Z</v>
      </c>
      <c r="AY165" s="41" t="str">
        <f t="shared" si="34"/>
        <v>ADB Z35-IUS</v>
      </c>
      <c r="AZ165" s="41" t="str">
        <f t="shared" si="34"/>
        <v>ADD Z35-IUS</v>
      </c>
      <c r="BA165" s="41" t="str">
        <f t="shared" si="34"/>
        <v>HNG Z35-IUS</v>
      </c>
      <c r="BB165" s="41" t="str">
        <f t="shared" si="34"/>
        <v>DOM Z35-IUS</v>
      </c>
      <c r="BC165" s="41" t="str">
        <f t="shared" si="34"/>
        <v>TNC Z35-IUS</v>
      </c>
    </row>
    <row r="166" spans="18:55">
      <c r="R166" s="33">
        <v>49644</v>
      </c>
      <c r="S166" s="36"/>
      <c r="T166" s="35"/>
      <c r="U166" s="41"/>
      <c r="V166" s="41"/>
      <c r="W166" s="41"/>
      <c r="X166" s="44"/>
      <c r="AT166" s="56">
        <f t="shared" si="31"/>
        <v>2035</v>
      </c>
      <c r="AU166" s="57" t="str">
        <f t="shared" si="32"/>
        <v>35</v>
      </c>
      <c r="AV166" s="58">
        <f t="shared" si="33"/>
        <v>12</v>
      </c>
      <c r="AW166" s="58" t="str" cm="1">
        <f t="array" ref="AW166">_xlfn.IFS(AV166=$AR$3,$AQ$3,AV166=$AR$4,$AQ$4,AV166=$AR$5,$AQ$5,AV166=$AR$6,$AQ$6,AV166=$AR$7,$AQ$7,AV166=$AR$8,$AQ$8,AV166=$AR$9,$AQ$9,AV166=$AR$10,$AQ$10,AV166=$AR$11,$AQ$11,AV166=$AR$12,$AQ$12,AV166=$AR$13,$AQ$13,AV166=$AR$14,$AQ$14)</f>
        <v>Z</v>
      </c>
      <c r="AY166" s="41" t="str">
        <f t="shared" si="34"/>
        <v>ADB Z35-IUS</v>
      </c>
      <c r="AZ166" s="41" t="str">
        <f t="shared" si="34"/>
        <v>ADD Z35-IUS</v>
      </c>
      <c r="BA166" s="41" t="str">
        <f t="shared" si="34"/>
        <v>HNG Z35-IUS</v>
      </c>
      <c r="BB166" s="41" t="str">
        <f t="shared" si="34"/>
        <v>DOM Z35-IUS</v>
      </c>
      <c r="BC166" s="41" t="str">
        <f t="shared" si="34"/>
        <v>TNC Z35-IUS</v>
      </c>
    </row>
    <row r="167" spans="18:55">
      <c r="R167" s="33">
        <v>49644</v>
      </c>
      <c r="S167" s="36"/>
      <c r="T167" s="35"/>
      <c r="U167" s="41"/>
      <c r="V167" s="41"/>
      <c r="W167" s="41"/>
      <c r="X167" s="44"/>
      <c r="AT167" s="56">
        <f t="shared" si="31"/>
        <v>2035</v>
      </c>
      <c r="AU167" s="57" t="str">
        <f t="shared" si="32"/>
        <v>35</v>
      </c>
      <c r="AV167" s="58">
        <f t="shared" si="33"/>
        <v>12</v>
      </c>
      <c r="AW167" s="58" t="str" cm="1">
        <f t="array" ref="AW167">_xlfn.IFS(AV167=$AR$3,$AQ$3,AV167=$AR$4,$AQ$4,AV167=$AR$5,$AQ$5,AV167=$AR$6,$AQ$6,AV167=$AR$7,$AQ$7,AV167=$AR$8,$AQ$8,AV167=$AR$9,$AQ$9,AV167=$AR$10,$AQ$10,AV167=$AR$11,$AQ$11,AV167=$AR$12,$AQ$12,AV167=$AR$13,$AQ$13,AV167=$AR$14,$AQ$14)</f>
        <v>Z</v>
      </c>
      <c r="AY167" s="41" t="str">
        <f t="shared" si="34"/>
        <v>ADB Z35-IUS</v>
      </c>
      <c r="AZ167" s="41" t="str">
        <f t="shared" si="34"/>
        <v>ADD Z35-IUS</v>
      </c>
      <c r="BA167" s="41" t="str">
        <f t="shared" si="34"/>
        <v>HNG Z35-IUS</v>
      </c>
      <c r="BB167" s="41" t="str">
        <f t="shared" si="34"/>
        <v>DOM Z35-IUS</v>
      </c>
      <c r="BC167" s="41" t="str">
        <f t="shared" si="34"/>
        <v>TNC Z35-IUS</v>
      </c>
    </row>
    <row r="168" spans="18:55">
      <c r="R168" s="33">
        <v>49644</v>
      </c>
      <c r="S168" s="36"/>
      <c r="T168" s="35"/>
      <c r="U168" s="41"/>
      <c r="V168" s="41"/>
      <c r="W168" s="41"/>
      <c r="X168" s="44"/>
      <c r="AT168" s="56">
        <f t="shared" si="31"/>
        <v>2035</v>
      </c>
      <c r="AU168" s="57" t="str">
        <f t="shared" si="32"/>
        <v>35</v>
      </c>
      <c r="AV168" s="58">
        <f t="shared" si="33"/>
        <v>12</v>
      </c>
      <c r="AW168" s="58" t="str" cm="1">
        <f t="array" ref="AW168">_xlfn.IFS(AV168=$AR$3,$AQ$3,AV168=$AR$4,$AQ$4,AV168=$AR$5,$AQ$5,AV168=$AR$6,$AQ$6,AV168=$AR$7,$AQ$7,AV168=$AR$8,$AQ$8,AV168=$AR$9,$AQ$9,AV168=$AR$10,$AQ$10,AV168=$AR$11,$AQ$11,AV168=$AR$12,$AQ$12,AV168=$AR$13,$AQ$13,AV168=$AR$14,$AQ$14)</f>
        <v>Z</v>
      </c>
      <c r="AY168" s="41" t="str">
        <f t="shared" si="34"/>
        <v>ADB Z35-IUS</v>
      </c>
      <c r="AZ168" s="41" t="str">
        <f t="shared" si="34"/>
        <v>ADD Z35-IUS</v>
      </c>
      <c r="BA168" s="41" t="str">
        <f t="shared" si="34"/>
        <v>HNG Z35-IUS</v>
      </c>
      <c r="BB168" s="41" t="str">
        <f t="shared" si="34"/>
        <v>DOM Z35-IUS</v>
      </c>
      <c r="BC168" s="41" t="str">
        <f t="shared" si="34"/>
        <v>TNC Z35-IUS</v>
      </c>
    </row>
    <row r="169" spans="18:55">
      <c r="R169" s="33"/>
      <c r="S169" s="36"/>
      <c r="T169" s="35"/>
      <c r="U169" s="41"/>
      <c r="V169" s="41"/>
      <c r="X169" s="45"/>
    </row>
    <row r="170" spans="18:55">
      <c r="R170" s="33"/>
      <c r="S170" s="36"/>
      <c r="T170" s="35"/>
      <c r="U170" s="41"/>
      <c r="V170" s="41"/>
      <c r="X170" s="45"/>
    </row>
    <row r="171" spans="18:55">
      <c r="R171" s="33"/>
      <c r="S171" s="36"/>
      <c r="T171" s="35"/>
      <c r="U171" s="41"/>
      <c r="V171" s="41"/>
      <c r="X171" s="45"/>
    </row>
    <row r="172" spans="18:55">
      <c r="R172" s="33"/>
      <c r="S172" s="36"/>
      <c r="T172" s="35"/>
      <c r="U172" s="41"/>
      <c r="V172" s="41"/>
      <c r="X172" s="45"/>
    </row>
    <row r="173" spans="18:55">
      <c r="R173" s="33"/>
      <c r="S173" s="36"/>
      <c r="T173" s="35"/>
      <c r="U173" s="41"/>
      <c r="X173" s="45"/>
    </row>
  </sheetData>
  <mergeCells count="5">
    <mergeCell ref="E2:H2"/>
    <mergeCell ref="M2:P2"/>
    <mergeCell ref="U2:X2"/>
    <mergeCell ref="AC2:AF2"/>
    <mergeCell ref="AK2:AN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8D420-6E7F-4CAD-B6CE-8BA921EB4124}">
  <dimension ref="D2"/>
  <sheetViews>
    <sheetView workbookViewId="0">
      <selection activeCell="C4" sqref="C4"/>
    </sheetView>
  </sheetViews>
  <sheetFormatPr defaultRowHeight="12.75"/>
  <cols>
    <col min="3" max="3" width="13" bestFit="1" customWidth="1"/>
    <col min="4" max="4" width="10.375" bestFit="1" customWidth="1"/>
  </cols>
  <sheetData>
    <row r="2" spans="4:4">
      <c r="D2" s="33">
        <v>44911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dimension ref="A2:D38"/>
  <sheetViews>
    <sheetView zoomScale="85" zoomScaleNormal="85" workbookViewId="0">
      <selection activeCell="F42" sqref="F42"/>
    </sheetView>
  </sheetViews>
  <sheetFormatPr defaultColWidth="8.75" defaultRowHeight="12.75" outlineLevelRow="1"/>
  <cols>
    <col min="1" max="1" width="37.625" style="1" customWidth="1"/>
    <col min="2" max="4" width="10.75" style="2" customWidth="1"/>
    <col min="5" max="16384" width="8.75" style="1"/>
  </cols>
  <sheetData>
    <row r="2" spans="1:4" ht="13.5" thickBot="1">
      <c r="A2" s="1" t="s">
        <v>2</v>
      </c>
    </row>
    <row r="3" spans="1:4">
      <c r="A3" s="6" t="s">
        <v>9</v>
      </c>
      <c r="B3" s="7">
        <v>2010</v>
      </c>
      <c r="C3" s="7">
        <v>2011</v>
      </c>
      <c r="D3" s="27" t="s">
        <v>0</v>
      </c>
    </row>
    <row r="4" spans="1:4">
      <c r="A4" s="4"/>
      <c r="D4" s="5"/>
    </row>
    <row r="5" spans="1:4">
      <c r="A5" s="8" t="s">
        <v>14</v>
      </c>
      <c r="B5" s="9" t="e">
        <f>#REF!</f>
        <v>#REF!</v>
      </c>
      <c r="C5" s="9" t="e">
        <f>#REF!</f>
        <v>#REF!</v>
      </c>
      <c r="D5" s="10" t="e">
        <f>C5-B5</f>
        <v>#REF!</v>
      </c>
    </row>
    <row r="6" spans="1:4">
      <c r="A6" s="3" t="s">
        <v>10</v>
      </c>
      <c r="B6" s="11" t="e">
        <f>#REF!</f>
        <v>#REF!</v>
      </c>
      <c r="C6" s="11" t="e">
        <f>#REF!</f>
        <v>#REF!</v>
      </c>
      <c r="D6" s="12" t="e">
        <f t="shared" ref="D6:D15" si="0">C6-B6</f>
        <v>#REF!</v>
      </c>
    </row>
    <row r="7" spans="1:4">
      <c r="A7" s="3" t="s">
        <v>11</v>
      </c>
      <c r="B7" s="11" t="e">
        <f>#REF!</f>
        <v>#REF!</v>
      </c>
      <c r="C7" s="11" t="e">
        <f>#REF!</f>
        <v>#REF!</v>
      </c>
      <c r="D7" s="12" t="e">
        <f t="shared" si="0"/>
        <v>#REF!</v>
      </c>
    </row>
    <row r="8" spans="1:4">
      <c r="A8" s="3" t="s">
        <v>12</v>
      </c>
      <c r="B8" s="11" t="e">
        <f>#REF!</f>
        <v>#REF!</v>
      </c>
      <c r="C8" s="11" t="e">
        <f>#REF!</f>
        <v>#REF!</v>
      </c>
      <c r="D8" s="12" t="e">
        <f t="shared" si="0"/>
        <v>#REF!</v>
      </c>
    </row>
    <row r="9" spans="1:4">
      <c r="A9" s="3" t="s">
        <v>13</v>
      </c>
      <c r="B9" s="11" t="e">
        <f>#REF!</f>
        <v>#REF!</v>
      </c>
      <c r="C9" s="11" t="e">
        <f>#REF!</f>
        <v>#REF!</v>
      </c>
      <c r="D9" s="12" t="e">
        <f t="shared" si="0"/>
        <v>#REF!</v>
      </c>
    </row>
    <row r="10" spans="1:4">
      <c r="A10" s="8" t="s">
        <v>15</v>
      </c>
      <c r="B10" s="9" t="e">
        <f>#REF!</f>
        <v>#REF!</v>
      </c>
      <c r="C10" s="9" t="e">
        <f>#REF!</f>
        <v>#REF!</v>
      </c>
      <c r="D10" s="10" t="e">
        <f t="shared" si="0"/>
        <v>#REF!</v>
      </c>
    </row>
    <row r="11" spans="1:4">
      <c r="A11" s="3" t="s">
        <v>16</v>
      </c>
      <c r="B11" s="11" t="e">
        <f>#REF!</f>
        <v>#REF!</v>
      </c>
      <c r="C11" s="11" t="e">
        <f>#REF!</f>
        <v>#REF!</v>
      </c>
      <c r="D11" s="12" t="e">
        <f t="shared" si="0"/>
        <v>#REF!</v>
      </c>
    </row>
    <row r="12" spans="1:4">
      <c r="A12" s="3" t="s">
        <v>6</v>
      </c>
      <c r="B12" s="11" t="e">
        <f>#REF!</f>
        <v>#REF!</v>
      </c>
      <c r="C12" s="11" t="e">
        <f>#REF!</f>
        <v>#REF!</v>
      </c>
      <c r="D12" s="12" t="e">
        <f t="shared" si="0"/>
        <v>#REF!</v>
      </c>
    </row>
    <row r="13" spans="1:4">
      <c r="A13" s="3" t="s">
        <v>7</v>
      </c>
      <c r="B13" s="11" t="e">
        <f>#REF!</f>
        <v>#REF!</v>
      </c>
      <c r="C13" s="11" t="e">
        <f>#REF!</f>
        <v>#REF!</v>
      </c>
      <c r="D13" s="12" t="e">
        <f t="shared" si="0"/>
        <v>#REF!</v>
      </c>
    </row>
    <row r="14" spans="1:4" ht="13.5" thickBot="1">
      <c r="A14" s="3" t="s">
        <v>8</v>
      </c>
      <c r="B14" s="11" t="e">
        <f>#REF!</f>
        <v>#REF!</v>
      </c>
      <c r="C14" s="11" t="e">
        <f>#REF!</f>
        <v>#REF!</v>
      </c>
      <c r="D14" s="12" t="e">
        <f t="shared" si="0"/>
        <v>#REF!</v>
      </c>
    </row>
    <row r="15" spans="1:4" ht="14.25" thickTop="1" thickBot="1">
      <c r="A15" s="13" t="s">
        <v>17</v>
      </c>
      <c r="B15" s="14" t="e">
        <f>#REF!</f>
        <v>#REF!</v>
      </c>
      <c r="C15" s="14" t="e">
        <f>#REF!</f>
        <v>#REF!</v>
      </c>
      <c r="D15" s="15" t="e">
        <f t="shared" si="0"/>
        <v>#REF!</v>
      </c>
    </row>
    <row r="20" spans="1:4">
      <c r="A20" s="1" t="s">
        <v>3</v>
      </c>
      <c r="B20" s="28">
        <v>0</v>
      </c>
    </row>
    <row r="22" spans="1:4" hidden="1" outlineLevel="1"/>
    <row r="23" spans="1:4" ht="13.5" hidden="1" outlineLevel="1" thickBot="1">
      <c r="A23" s="1" t="s">
        <v>1</v>
      </c>
    </row>
    <row r="24" spans="1:4" hidden="1" outlineLevel="1">
      <c r="A24" s="16" t="s">
        <v>9</v>
      </c>
      <c r="B24" s="17">
        <v>2010</v>
      </c>
      <c r="C24" s="17">
        <v>2011</v>
      </c>
      <c r="D24" s="29" t="s">
        <v>0</v>
      </c>
    </row>
    <row r="25" spans="1:4" hidden="1" outlineLevel="1">
      <c r="A25" s="30"/>
      <c r="B25" s="31"/>
      <c r="C25" s="31"/>
      <c r="D25" s="32"/>
    </row>
    <row r="26" spans="1:4" hidden="1" outlineLevel="1">
      <c r="A26" s="18" t="s">
        <v>14</v>
      </c>
      <c r="B26" s="19">
        <v>6434343.0788300959</v>
      </c>
      <c r="C26" s="19">
        <v>7573360.4743372761</v>
      </c>
      <c r="D26" s="20">
        <v>1139017.3955071801</v>
      </c>
    </row>
    <row r="27" spans="1:4" hidden="1" outlineLevel="1">
      <c r="A27" s="21" t="s">
        <v>10</v>
      </c>
      <c r="B27" s="22">
        <v>1694800.7814567536</v>
      </c>
      <c r="C27" s="22">
        <v>2293380.7916019424</v>
      </c>
      <c r="D27" s="23">
        <v>598580.01014518877</v>
      </c>
    </row>
    <row r="28" spans="1:4" hidden="1" outlineLevel="1">
      <c r="A28" s="21" t="s">
        <v>11</v>
      </c>
      <c r="B28" s="22">
        <v>2263225.0925258994</v>
      </c>
      <c r="C28" s="22">
        <v>3237993.5290661994</v>
      </c>
      <c r="D28" s="23">
        <v>974768.43654030003</v>
      </c>
    </row>
    <row r="29" spans="1:4" hidden="1" outlineLevel="1">
      <c r="A29" s="21" t="s">
        <v>12</v>
      </c>
      <c r="B29" s="22">
        <v>2476317.2048474425</v>
      </c>
      <c r="C29" s="22">
        <v>2041986.1536691329</v>
      </c>
      <c r="D29" s="23">
        <v>-434331.0511783096</v>
      </c>
    </row>
    <row r="30" spans="1:4" hidden="1" outlineLevel="1">
      <c r="A30" s="21" t="s">
        <v>13</v>
      </c>
      <c r="B30" s="22">
        <v>0</v>
      </c>
      <c r="C30" s="22">
        <v>0</v>
      </c>
      <c r="D30" s="23">
        <v>0</v>
      </c>
    </row>
    <row r="31" spans="1:4" hidden="1" outlineLevel="1">
      <c r="A31" s="18" t="s">
        <v>15</v>
      </c>
      <c r="B31" s="19">
        <v>3678930.8767179018</v>
      </c>
      <c r="C31" s="19">
        <v>2926359.4756151601</v>
      </c>
      <c r="D31" s="20">
        <v>-752571.40110274171</v>
      </c>
    </row>
    <row r="32" spans="1:4" hidden="1" outlineLevel="1">
      <c r="A32" s="21" t="s">
        <v>16</v>
      </c>
      <c r="B32" s="22">
        <v>160039.67567798161</v>
      </c>
      <c r="C32" s="22">
        <v>193414.23253671941</v>
      </c>
      <c r="D32" s="23">
        <v>33374.556858737807</v>
      </c>
    </row>
    <row r="33" spans="1:4" hidden="1" outlineLevel="1">
      <c r="A33" s="21" t="s">
        <v>6</v>
      </c>
      <c r="B33" s="22">
        <v>171658.37011604785</v>
      </c>
      <c r="C33" s="22">
        <v>441717.88817842928</v>
      </c>
      <c r="D33" s="23">
        <v>270059.51806238142</v>
      </c>
    </row>
    <row r="34" spans="1:4" hidden="1" outlineLevel="1">
      <c r="A34" s="21" t="s">
        <v>7</v>
      </c>
      <c r="B34" s="22">
        <v>2.3370419849597385E-2</v>
      </c>
      <c r="C34" s="22">
        <v>0.21878197538504712</v>
      </c>
      <c r="D34" s="23">
        <v>0.19541155553544973</v>
      </c>
    </row>
    <row r="35" spans="1:4" ht="13.5" hidden="1" outlineLevel="1" thickBot="1">
      <c r="A35" s="21" t="s">
        <v>8</v>
      </c>
      <c r="B35" s="22">
        <v>3347232.8075534524</v>
      </c>
      <c r="C35" s="22">
        <v>2291227.1361180358</v>
      </c>
      <c r="D35" s="23">
        <v>-1056005.6714354167</v>
      </c>
    </row>
    <row r="36" spans="1:4" ht="14.25" hidden="1" outlineLevel="1" thickTop="1" thickBot="1">
      <c r="A36" s="24" t="s">
        <v>17</v>
      </c>
      <c r="B36" s="25">
        <v>10113273.955547998</v>
      </c>
      <c r="C36" s="25">
        <v>10499719.949952435</v>
      </c>
      <c r="D36" s="26">
        <v>386445.99440443702</v>
      </c>
    </row>
    <row r="37" spans="1:4" hidden="1" outlineLevel="1"/>
    <row r="38" spans="1:4" collapsed="1"/>
  </sheetData>
  <phoneticPr fontId="3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722B0A89-AA95-4DA8-AB27-8FD11ECA799C}">
  <ds:schemaRefs>
    <ds:schemaRef ds:uri="http://schemas.microsoft.com/DataMashup"/>
  </ds:schemaRefs>
</ds:datastoreItem>
</file>

<file path=customXml/itemProps2.xml><?xml version="1.0" encoding="utf-8"?>
<ds:datastoreItem xmlns:ds="http://schemas.openxmlformats.org/officeDocument/2006/customXml" ds:itemID="{0FDC0AD3-C9B9-4610-9372-3BD7E614CD8B}">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ICE Curves</vt:lpstr>
      <vt:lpstr>Inputs</vt:lpstr>
      <vt:lpstr>11vs10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Damon Anderson</dc:creator>
  <cp:lastModifiedBy>bjcasamass</cp:lastModifiedBy>
  <cp:lastPrinted>2022-12-09T20:39:18Z</cp:lastPrinted>
  <dcterms:created xsi:type="dcterms:W3CDTF">2011-03-15T13:10:06Z</dcterms:created>
  <dcterms:modified xsi:type="dcterms:W3CDTF">2022-12-22T19:53:12Z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vWorkbookVersion">
    <vt:i4>5</vt:i4>
  </property>
  <property fmtid="{D5CDD505-2E9C-101B-9397-08002B2CF9AE}" pid="3" name="{A44787D4-0540-4523-9961-78E4036D8C6D}">
    <vt:lpwstr>{32DDE5D3-B517-4214-A6E2-83A05023346F}</vt:lpwstr>
  </property>
</Properties>
</file>